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24226"/>
  <xr:revisionPtr revIDLastSave="0" documentId="8_{9F637528-4A60-42A4-92D8-C34FFAF5D04F}" xr6:coauthVersionLast="47" xr6:coauthVersionMax="47" xr10:uidLastSave="{00000000-0000-0000-0000-000000000000}"/>
  <bookViews>
    <workbookView xWindow="-120" yWindow="-120" windowWidth="20730" windowHeight="11160" firstSheet="1" activeTab="2" xr2:uid="{00000000-000D-0000-FFFF-FFFF00000000}"/>
  </bookViews>
  <sheets>
    <sheet name="PO_AND_PSO" sheetId="5" r:id="rId1"/>
    <sheet name="CO_PO MAPPING_PRINT" sheetId="7" r:id="rId2"/>
    <sheet name="CO_ATT_INPUTS" sheetId="1" r:id="rId3"/>
    <sheet name="CO DIRECT ATT" sheetId="3" r:id="rId4"/>
    <sheet name="CO INDIRECT ATT" sheetId="8" r:id="rId5"/>
    <sheet name="CO ATT" sheetId="10" r:id="rId6"/>
    <sheet name="FOR SESSION PURPOSE" sheetId="4" state="hidden" r:id="rId7"/>
  </sheets>
  <externalReferences>
    <externalReference r:id="rId8"/>
    <externalReference r:id="rId9"/>
  </externalReferences>
  <definedNames>
    <definedName name="_xlnm.Print_Area" localSheetId="5">'CO ATT'!$A$1:$O$62</definedName>
    <definedName name="_xlnm.Print_Area" localSheetId="3">'CO DIRECT ATT'!$A$1:$N$325</definedName>
    <definedName name="_xlnm.Print_Area" localSheetId="4">'CO INDIRECT ATT'!$A$1:$I$326</definedName>
    <definedName name="_xlnm.Print_Area" localSheetId="2">CO_ATT_INPUTS!$A$1:$AJ$327</definedName>
    <definedName name="_xlnm.Print_Titles" localSheetId="3">'CO DIRECT ATT'!$16:$18</definedName>
    <definedName name="_xlnm.Print_Titles" localSheetId="4">'CO INDIRECT ATT'!$15:$16</definedName>
    <definedName name="_xlnm.Print_Titles" localSheetId="2">CO_ATT_INPUTS!$16:$18</definedName>
    <definedName name="_xlnm.Print_Titles" localSheetId="1">'CO_PO MAPPING_PRINT'!$61:$62</definedName>
    <definedName name="_xlnm.Print_Titles" localSheetId="0">PO_AND_PSO!$10:$10</definedName>
  </definedNames>
  <calcPr calcId="191029"/>
</workbook>
</file>

<file path=xl/calcChain.xml><?xml version="1.0" encoding="utf-8"?>
<calcChain xmlns="http://schemas.openxmlformats.org/spreadsheetml/2006/main">
  <c r="AB82" i="1" l="1"/>
  <c r="AD82" i="1"/>
  <c r="AA83" i="1"/>
  <c r="AC83" i="1"/>
  <c r="AE83" i="1"/>
  <c r="AB84" i="1"/>
  <c r="AD84" i="1"/>
  <c r="AA85" i="1"/>
  <c r="AC85" i="1"/>
  <c r="AE85" i="1"/>
  <c r="AB86" i="1"/>
  <c r="AD86" i="1"/>
  <c r="AA87" i="1"/>
  <c r="AC87" i="1"/>
  <c r="AE87" i="1"/>
  <c r="AB88" i="1"/>
  <c r="AD88" i="1"/>
  <c r="AA89" i="1"/>
  <c r="AC89" i="1"/>
  <c r="AE89" i="1"/>
  <c r="AB90" i="1"/>
  <c r="AD90" i="1"/>
  <c r="AA91" i="1"/>
  <c r="AC91" i="1"/>
  <c r="AE91" i="1"/>
  <c r="AB92" i="1"/>
  <c r="AD92" i="1"/>
  <c r="AA93" i="1"/>
  <c r="AC93" i="1"/>
  <c r="AE93" i="1"/>
  <c r="AB94" i="1"/>
  <c r="AD94" i="1"/>
  <c r="AA95" i="1"/>
  <c r="AC95" i="1"/>
  <c r="AE95" i="1"/>
  <c r="AB96" i="1"/>
  <c r="AD96" i="1"/>
  <c r="AA97" i="1"/>
  <c r="AC97" i="1"/>
  <c r="AE97" i="1"/>
  <c r="AB98" i="1"/>
  <c r="AD98" i="1"/>
  <c r="AA99" i="1"/>
  <c r="AC99" i="1"/>
  <c r="AE99" i="1"/>
  <c r="AB100" i="1"/>
  <c r="AD100" i="1"/>
  <c r="AA101" i="1"/>
  <c r="AC101" i="1"/>
  <c r="AE101" i="1"/>
  <c r="AB102" i="1"/>
  <c r="AD102" i="1"/>
  <c r="AA103" i="1"/>
  <c r="AC103" i="1"/>
  <c r="AE103" i="1"/>
  <c r="AB31" i="1"/>
  <c r="AD31" i="1"/>
  <c r="AA20" i="1"/>
  <c r="AB20" i="1"/>
  <c r="AD20" i="1"/>
  <c r="AE20" i="1"/>
  <c r="AA21" i="1"/>
  <c r="AB21" i="1"/>
  <c r="AC21" i="1"/>
  <c r="AD21" i="1"/>
  <c r="AE21" i="1"/>
  <c r="AA22" i="1"/>
  <c r="AB22" i="1"/>
  <c r="AC22" i="1"/>
  <c r="AD22" i="1"/>
  <c r="AE22" i="1"/>
  <c r="AA23" i="1"/>
  <c r="AB23" i="1"/>
  <c r="AC23" i="1"/>
  <c r="AE23" i="1"/>
  <c r="AA24" i="1"/>
  <c r="AB24" i="1"/>
  <c r="AC24" i="1"/>
  <c r="AD24" i="1"/>
  <c r="AE24" i="1"/>
  <c r="AA25" i="1"/>
  <c r="AB25" i="1"/>
  <c r="AC25" i="1"/>
  <c r="AD25" i="1"/>
  <c r="AE25" i="1"/>
  <c r="AA26" i="1"/>
  <c r="AB26" i="1"/>
  <c r="AC26" i="1"/>
  <c r="AD26" i="1"/>
  <c r="AA27" i="1"/>
  <c r="AB27" i="1"/>
  <c r="AC27" i="1"/>
  <c r="AD27" i="1"/>
  <c r="AE27" i="1"/>
  <c r="AA28" i="1"/>
  <c r="AB28" i="1"/>
  <c r="AC28" i="1"/>
  <c r="AD28" i="1"/>
  <c r="AE28" i="1"/>
  <c r="AA29" i="1"/>
  <c r="AB29" i="1"/>
  <c r="AC29" i="1"/>
  <c r="AD29" i="1"/>
  <c r="AE29" i="1"/>
  <c r="AB30" i="1"/>
  <c r="AC30" i="1"/>
  <c r="AD30" i="1"/>
  <c r="AE30" i="1"/>
  <c r="AB19" i="1"/>
  <c r="AC19" i="1"/>
  <c r="AE19" i="1"/>
  <c r="AA19" i="1"/>
  <c r="AC20" i="1"/>
  <c r="AD23" i="1"/>
  <c r="AE26" i="1"/>
  <c r="AA30" i="1"/>
  <c r="AA31" i="1"/>
  <c r="AC31" i="1"/>
  <c r="AE31" i="1"/>
  <c r="AA32" i="1"/>
  <c r="AB32" i="1"/>
  <c r="AC32" i="1"/>
  <c r="AD32" i="1"/>
  <c r="AE32" i="1"/>
  <c r="AA33" i="1"/>
  <c r="AB33" i="1"/>
  <c r="AC33" i="1"/>
  <c r="AD33" i="1"/>
  <c r="AE33" i="1"/>
  <c r="AA34" i="1"/>
  <c r="AB34" i="1"/>
  <c r="AC34" i="1"/>
  <c r="AD34" i="1"/>
  <c r="AE34" i="1"/>
  <c r="AA35" i="1"/>
  <c r="AB35" i="1"/>
  <c r="AC35" i="1"/>
  <c r="AD35" i="1"/>
  <c r="AE35" i="1"/>
  <c r="AA36" i="1"/>
  <c r="AB36" i="1"/>
  <c r="AC36" i="1"/>
  <c r="AD36" i="1"/>
  <c r="AE36" i="1"/>
  <c r="AA37" i="1"/>
  <c r="AB37" i="1"/>
  <c r="AC37" i="1"/>
  <c r="AD37" i="1"/>
  <c r="AE37" i="1"/>
  <c r="AA38" i="1"/>
  <c r="AB38" i="1"/>
  <c r="AC38" i="1"/>
  <c r="AD38" i="1"/>
  <c r="AE38" i="1"/>
  <c r="AA39" i="1"/>
  <c r="AB39" i="1"/>
  <c r="AC39" i="1"/>
  <c r="AD39" i="1"/>
  <c r="AE39" i="1"/>
  <c r="AA40" i="1"/>
  <c r="AB40" i="1"/>
  <c r="AC40" i="1"/>
  <c r="AD40" i="1"/>
  <c r="AE40" i="1"/>
  <c r="AA41" i="1"/>
  <c r="AB41" i="1"/>
  <c r="AC41" i="1"/>
  <c r="AD41" i="1"/>
  <c r="AE41" i="1"/>
  <c r="AA42" i="1"/>
  <c r="AB42" i="1"/>
  <c r="AC42" i="1"/>
  <c r="AD42" i="1"/>
  <c r="AE42" i="1"/>
  <c r="AA43" i="1"/>
  <c r="AB43" i="1"/>
  <c r="AC43" i="1"/>
  <c r="AD43" i="1"/>
  <c r="AE43" i="1"/>
  <c r="AA44" i="1"/>
  <c r="AB44" i="1"/>
  <c r="AC44" i="1"/>
  <c r="AD44" i="1"/>
  <c r="AE44" i="1"/>
  <c r="AA45" i="1"/>
  <c r="AB45" i="1"/>
  <c r="AC45" i="1"/>
  <c r="AD45" i="1"/>
  <c r="AE45" i="1"/>
  <c r="AA46" i="1"/>
  <c r="AB46" i="1"/>
  <c r="AC46" i="1"/>
  <c r="AD46" i="1"/>
  <c r="AE46" i="1"/>
  <c r="AA47" i="1"/>
  <c r="AB47" i="1"/>
  <c r="AC47" i="1"/>
  <c r="AD47" i="1"/>
  <c r="AE47" i="1"/>
  <c r="AA48" i="1"/>
  <c r="AB48" i="1"/>
  <c r="AC48" i="1"/>
  <c r="AD48" i="1"/>
  <c r="AE48" i="1"/>
  <c r="AA49" i="1"/>
  <c r="AB49" i="1"/>
  <c r="AC49" i="1"/>
  <c r="AD49" i="1"/>
  <c r="AE49" i="1"/>
  <c r="AA50" i="1"/>
  <c r="AB50" i="1"/>
  <c r="AC50" i="1"/>
  <c r="AD50" i="1"/>
  <c r="AE50" i="1"/>
  <c r="AA51" i="1"/>
  <c r="AB51" i="1"/>
  <c r="AC51" i="1"/>
  <c r="AD51" i="1"/>
  <c r="AE51" i="1"/>
  <c r="AA52" i="1"/>
  <c r="AB52" i="1"/>
  <c r="AC52" i="1"/>
  <c r="AD52" i="1"/>
  <c r="AE52" i="1"/>
  <c r="AA53" i="1"/>
  <c r="AB53" i="1"/>
  <c r="AC53" i="1"/>
  <c r="AD53" i="1"/>
  <c r="AE53" i="1"/>
  <c r="AA54" i="1"/>
  <c r="AB54" i="1"/>
  <c r="AC54" i="1"/>
  <c r="AD54" i="1"/>
  <c r="AE54" i="1"/>
  <c r="AA55" i="1"/>
  <c r="AB55" i="1"/>
  <c r="AC55" i="1"/>
  <c r="AD55" i="1"/>
  <c r="AE55" i="1"/>
  <c r="AA56" i="1"/>
  <c r="AB56" i="1"/>
  <c r="AC56" i="1"/>
  <c r="AD56" i="1"/>
  <c r="AE56" i="1"/>
  <c r="AA57" i="1"/>
  <c r="AB57" i="1"/>
  <c r="AC57" i="1"/>
  <c r="AD57" i="1"/>
  <c r="AE57" i="1"/>
  <c r="AA58" i="1"/>
  <c r="AB58" i="1"/>
  <c r="AC58" i="1"/>
  <c r="AD58" i="1"/>
  <c r="AE58" i="1"/>
  <c r="AA59" i="1"/>
  <c r="AB59" i="1"/>
  <c r="AC59" i="1"/>
  <c r="AD59" i="1"/>
  <c r="AE59" i="1"/>
  <c r="AA60" i="1"/>
  <c r="AB60" i="1"/>
  <c r="AC60" i="1"/>
  <c r="AD60" i="1"/>
  <c r="AE60" i="1"/>
  <c r="AA61" i="1"/>
  <c r="AB61" i="1"/>
  <c r="AC61" i="1"/>
  <c r="AD61" i="1"/>
  <c r="AE61" i="1"/>
  <c r="AA62" i="1"/>
  <c r="AB62" i="1"/>
  <c r="AC62" i="1"/>
  <c r="AD62" i="1"/>
  <c r="AE62" i="1"/>
  <c r="AA63" i="1"/>
  <c r="AB63" i="1"/>
  <c r="AC63" i="1"/>
  <c r="AD63" i="1"/>
  <c r="AE63" i="1"/>
  <c r="AA64" i="1"/>
  <c r="AB64" i="1"/>
  <c r="AC64" i="1"/>
  <c r="AD64" i="1"/>
  <c r="AE64" i="1"/>
  <c r="AA65" i="1"/>
  <c r="AB65" i="1"/>
  <c r="AC65" i="1"/>
  <c r="AD65" i="1"/>
  <c r="AE65" i="1"/>
  <c r="AA66" i="1"/>
  <c r="AB66" i="1"/>
  <c r="AC66" i="1"/>
  <c r="AD66" i="1"/>
  <c r="AE66" i="1"/>
  <c r="AA67" i="1"/>
  <c r="AB67" i="1"/>
  <c r="AC67" i="1"/>
  <c r="AD67" i="1"/>
  <c r="AE67" i="1"/>
  <c r="AA68" i="1"/>
  <c r="AB68" i="1"/>
  <c r="AC68" i="1"/>
  <c r="AD68" i="1"/>
  <c r="AE68" i="1"/>
  <c r="AA69" i="1"/>
  <c r="AB69" i="1"/>
  <c r="AC69" i="1"/>
  <c r="AD69" i="1"/>
  <c r="AE69" i="1"/>
  <c r="AA70" i="1"/>
  <c r="AB70" i="1"/>
  <c r="AC70" i="1"/>
  <c r="AD70" i="1"/>
  <c r="AE70" i="1"/>
  <c r="AA71" i="1"/>
  <c r="AB71" i="1"/>
  <c r="AC71" i="1"/>
  <c r="AD71" i="1"/>
  <c r="AE71" i="1"/>
  <c r="AA72" i="1"/>
  <c r="AB72" i="1"/>
  <c r="AC72" i="1"/>
  <c r="AD72" i="1"/>
  <c r="AE72" i="1"/>
  <c r="AA73" i="1"/>
  <c r="AB73" i="1"/>
  <c r="AC73" i="1"/>
  <c r="AD73" i="1"/>
  <c r="AE73" i="1"/>
  <c r="AA74" i="1"/>
  <c r="AB74" i="1"/>
  <c r="AC74" i="1"/>
  <c r="AD74" i="1"/>
  <c r="AE74" i="1"/>
  <c r="AA75" i="1"/>
  <c r="AB75" i="1"/>
  <c r="AC75" i="1"/>
  <c r="AD75" i="1"/>
  <c r="AE75" i="1"/>
  <c r="AA76" i="1"/>
  <c r="AB76" i="1"/>
  <c r="AC76" i="1"/>
  <c r="AD76" i="1"/>
  <c r="AE76" i="1"/>
  <c r="AA77" i="1"/>
  <c r="AB77" i="1"/>
  <c r="AC77" i="1"/>
  <c r="AD77" i="1"/>
  <c r="AE77" i="1"/>
  <c r="AA78" i="1"/>
  <c r="AB78" i="1"/>
  <c r="AC78" i="1"/>
  <c r="AD78" i="1"/>
  <c r="AE78" i="1"/>
  <c r="AA79" i="1"/>
  <c r="AB79" i="1"/>
  <c r="AC79" i="1"/>
  <c r="AD79" i="1"/>
  <c r="AE79" i="1"/>
  <c r="AA80" i="1"/>
  <c r="AB80" i="1"/>
  <c r="AC80" i="1"/>
  <c r="AD80" i="1"/>
  <c r="AE80" i="1"/>
  <c r="AA81" i="1"/>
  <c r="AB81" i="1"/>
  <c r="AC81" i="1"/>
  <c r="AD81" i="1"/>
  <c r="AE81" i="1"/>
  <c r="AA82" i="1"/>
  <c r="AC82" i="1"/>
  <c r="AE82" i="1"/>
  <c r="AB83" i="1"/>
  <c r="AD83" i="1"/>
  <c r="AA84" i="1"/>
  <c r="AC84" i="1"/>
  <c r="AE84" i="1"/>
  <c r="AB85" i="1"/>
  <c r="AD85" i="1"/>
  <c r="AA86" i="1"/>
  <c r="AC86" i="1"/>
  <c r="AE86" i="1"/>
  <c r="AB87" i="1"/>
  <c r="AD87" i="1"/>
  <c r="AA88" i="1"/>
  <c r="AC88" i="1"/>
  <c r="AE88" i="1"/>
  <c r="AB89" i="1"/>
  <c r="AD89" i="1"/>
  <c r="AA90" i="1"/>
  <c r="AC90" i="1"/>
  <c r="AE90" i="1"/>
  <c r="AB91" i="1"/>
  <c r="AD91" i="1"/>
  <c r="AA92" i="1"/>
  <c r="AC92" i="1"/>
  <c r="AE92" i="1"/>
  <c r="AB93" i="1"/>
  <c r="AD93" i="1"/>
  <c r="AA94" i="1"/>
  <c r="AC94" i="1"/>
  <c r="AE94" i="1"/>
  <c r="AB95" i="1"/>
  <c r="AD95" i="1"/>
  <c r="AA96" i="1"/>
  <c r="AC96" i="1"/>
  <c r="AE96" i="1"/>
  <c r="AB97" i="1"/>
  <c r="AD97" i="1"/>
  <c r="AA98" i="1"/>
  <c r="AC98" i="1"/>
  <c r="AE98" i="1"/>
  <c r="AB99" i="1"/>
  <c r="AD99" i="1"/>
  <c r="AA100" i="1"/>
  <c r="AC100" i="1"/>
  <c r="AE100" i="1"/>
  <c r="AB101" i="1"/>
  <c r="AD101" i="1"/>
  <c r="AA102" i="1"/>
  <c r="AC102" i="1"/>
  <c r="AE102" i="1"/>
  <c r="AB103" i="1"/>
  <c r="AD103" i="1"/>
  <c r="AA104" i="1"/>
  <c r="AB104" i="1"/>
  <c r="AC104" i="1"/>
  <c r="AD104" i="1"/>
  <c r="AE104" i="1"/>
  <c r="AA105" i="1"/>
  <c r="AB105" i="1"/>
  <c r="AC105" i="1"/>
  <c r="AD105" i="1"/>
  <c r="AE105" i="1"/>
  <c r="AA106" i="1"/>
  <c r="AB106" i="1"/>
  <c r="AC106" i="1"/>
  <c r="AD106" i="1"/>
  <c r="AE106" i="1"/>
  <c r="AA107" i="1"/>
  <c r="AB107" i="1"/>
  <c r="AC107" i="1"/>
  <c r="AD107" i="1"/>
  <c r="AE107" i="1"/>
  <c r="AA108" i="1"/>
  <c r="AB108" i="1"/>
  <c r="AC108" i="1"/>
  <c r="AD108" i="1"/>
  <c r="AE108" i="1"/>
  <c r="AA109" i="1"/>
  <c r="AB109" i="1"/>
  <c r="AC109" i="1"/>
  <c r="AD109" i="1"/>
  <c r="AE109" i="1"/>
  <c r="AA110" i="1"/>
  <c r="AB110" i="1"/>
  <c r="AC110" i="1"/>
  <c r="AD110" i="1"/>
  <c r="AE110" i="1"/>
  <c r="AA111" i="1"/>
  <c r="AB111" i="1"/>
  <c r="AC111" i="1"/>
  <c r="AD111" i="1"/>
  <c r="AE111" i="1"/>
  <c r="AA112" i="1"/>
  <c r="AB112" i="1"/>
  <c r="AC112" i="1"/>
  <c r="AD112" i="1"/>
  <c r="AE112" i="1"/>
  <c r="AA113" i="1"/>
  <c r="AB113" i="1"/>
  <c r="AC113" i="1"/>
  <c r="AD113" i="1"/>
  <c r="AE113" i="1"/>
  <c r="AA114" i="1"/>
  <c r="AB114" i="1"/>
  <c r="AC114" i="1"/>
  <c r="AD114" i="1"/>
  <c r="AE114" i="1"/>
  <c r="AA115" i="1"/>
  <c r="AB115" i="1"/>
  <c r="AC115" i="1"/>
  <c r="AD115" i="1"/>
  <c r="AE115" i="1"/>
  <c r="AA116" i="1"/>
  <c r="AB116" i="1"/>
  <c r="AC116" i="1"/>
  <c r="AD116" i="1"/>
  <c r="AE116" i="1"/>
  <c r="AA117" i="1"/>
  <c r="AB117" i="1"/>
  <c r="AC117" i="1"/>
  <c r="AD117" i="1"/>
  <c r="AE117" i="1"/>
  <c r="AA118" i="1"/>
  <c r="AB118" i="1"/>
  <c r="AC118" i="1"/>
  <c r="AD118" i="1"/>
  <c r="AE118" i="1"/>
  <c r="AA119" i="1"/>
  <c r="AB119" i="1"/>
  <c r="AC119" i="1"/>
  <c r="AD119" i="1"/>
  <c r="AE119" i="1"/>
  <c r="AA120" i="1"/>
  <c r="AB120" i="1"/>
  <c r="AC120" i="1"/>
  <c r="AD120" i="1"/>
  <c r="AE120" i="1"/>
  <c r="AA121" i="1"/>
  <c r="AB121" i="1"/>
  <c r="AC121" i="1"/>
  <c r="AD121" i="1"/>
  <c r="AE121" i="1"/>
  <c r="AA122" i="1"/>
  <c r="AB122" i="1"/>
  <c r="AC122" i="1"/>
  <c r="AD122" i="1"/>
  <c r="AE122" i="1"/>
  <c r="AA123" i="1"/>
  <c r="AB123" i="1"/>
  <c r="AC123" i="1"/>
  <c r="AD123" i="1"/>
  <c r="AE123" i="1"/>
  <c r="AA124" i="1"/>
  <c r="AB124" i="1"/>
  <c r="AC124" i="1"/>
  <c r="AD124" i="1"/>
  <c r="AE124" i="1"/>
  <c r="AA125" i="1"/>
  <c r="AB125" i="1"/>
  <c r="AC125" i="1"/>
  <c r="AD125" i="1"/>
  <c r="AE125" i="1"/>
  <c r="AA126" i="1"/>
  <c r="AB126" i="1"/>
  <c r="AC126" i="1"/>
  <c r="AD126" i="1"/>
  <c r="AE126" i="1"/>
  <c r="AA127" i="1"/>
  <c r="AB127" i="1"/>
  <c r="AC127" i="1"/>
  <c r="AD127" i="1"/>
  <c r="AE127" i="1"/>
  <c r="AA128" i="1"/>
  <c r="AB128" i="1"/>
  <c r="AC128" i="1"/>
  <c r="AD128" i="1"/>
  <c r="AE128" i="1"/>
  <c r="AA129" i="1"/>
  <c r="AB129" i="1"/>
  <c r="AC129" i="1"/>
  <c r="AD129" i="1"/>
  <c r="AE129" i="1"/>
  <c r="AA130" i="1"/>
  <c r="AB130" i="1"/>
  <c r="AC130" i="1"/>
  <c r="AD130" i="1"/>
  <c r="AE130" i="1"/>
  <c r="AA131" i="1"/>
  <c r="AB131" i="1"/>
  <c r="AC131" i="1"/>
  <c r="AD131" i="1"/>
  <c r="AE131" i="1"/>
  <c r="AA132" i="1"/>
  <c r="AB132" i="1"/>
  <c r="AC132" i="1"/>
  <c r="AD132" i="1"/>
  <c r="AE132" i="1"/>
  <c r="AA133" i="1"/>
  <c r="AB133" i="1"/>
  <c r="AC133" i="1"/>
  <c r="AD133" i="1"/>
  <c r="AE133" i="1"/>
  <c r="AA134" i="1"/>
  <c r="AB134" i="1"/>
  <c r="AC134" i="1"/>
  <c r="AD134" i="1"/>
  <c r="AE134" i="1"/>
  <c r="AA135" i="1"/>
  <c r="AB135" i="1"/>
  <c r="AC135" i="1"/>
  <c r="AD135" i="1"/>
  <c r="AE135" i="1"/>
  <c r="AA136" i="1"/>
  <c r="AB136" i="1"/>
  <c r="AC136" i="1"/>
  <c r="AD136" i="1"/>
  <c r="AE136" i="1"/>
  <c r="AA137" i="1"/>
  <c r="AB137" i="1"/>
  <c r="AC137" i="1"/>
  <c r="AD137" i="1"/>
  <c r="AE137" i="1"/>
  <c r="AA138" i="1"/>
  <c r="AB138" i="1"/>
  <c r="AC138" i="1"/>
  <c r="AD138" i="1"/>
  <c r="AE138" i="1"/>
  <c r="AA139" i="1"/>
  <c r="AB139" i="1"/>
  <c r="AC139" i="1"/>
  <c r="AD139" i="1"/>
  <c r="AE139" i="1"/>
  <c r="AA140" i="1"/>
  <c r="AB140" i="1"/>
  <c r="AC140" i="1"/>
  <c r="AD140" i="1"/>
  <c r="AE140" i="1"/>
  <c r="AA141" i="1"/>
  <c r="AB141" i="1"/>
  <c r="AC141" i="1"/>
  <c r="AD141" i="1"/>
  <c r="AE141" i="1"/>
  <c r="AA142" i="1"/>
  <c r="AB142" i="1"/>
  <c r="AC142" i="1"/>
  <c r="AD142" i="1"/>
  <c r="AE142" i="1"/>
  <c r="AA143" i="1"/>
  <c r="AB143" i="1"/>
  <c r="AC143" i="1"/>
  <c r="AD143" i="1"/>
  <c r="AE143" i="1"/>
  <c r="AA144" i="1"/>
  <c r="AB144" i="1"/>
  <c r="AC144" i="1"/>
  <c r="AD144" i="1"/>
  <c r="AE144" i="1"/>
  <c r="AA145" i="1"/>
  <c r="AB145" i="1"/>
  <c r="AC145" i="1"/>
  <c r="AD145" i="1"/>
  <c r="AE145" i="1"/>
  <c r="AA146" i="1"/>
  <c r="AB146" i="1"/>
  <c r="AC146" i="1"/>
  <c r="AD146" i="1"/>
  <c r="AE146" i="1"/>
  <c r="AA147" i="1"/>
  <c r="AB147" i="1"/>
  <c r="AC147" i="1"/>
  <c r="AD147" i="1"/>
  <c r="AE147" i="1"/>
  <c r="AA148" i="1"/>
  <c r="AB148" i="1"/>
  <c r="AC148" i="1"/>
  <c r="AD148" i="1"/>
  <c r="AE148" i="1"/>
  <c r="AA149" i="1"/>
  <c r="AB149" i="1"/>
  <c r="AC149" i="1"/>
  <c r="AD149" i="1"/>
  <c r="AE149" i="1"/>
  <c r="AA150" i="1"/>
  <c r="AB150" i="1"/>
  <c r="AC150" i="1"/>
  <c r="AD150" i="1"/>
  <c r="AE150" i="1"/>
  <c r="AA151" i="1"/>
  <c r="AB151" i="1"/>
  <c r="AC151" i="1"/>
  <c r="AD151" i="1"/>
  <c r="AE151" i="1"/>
  <c r="AA152" i="1"/>
  <c r="AB152" i="1"/>
  <c r="AC152" i="1"/>
  <c r="AD152" i="1"/>
  <c r="AE152" i="1"/>
  <c r="AA153" i="1"/>
  <c r="AB153" i="1"/>
  <c r="AC153" i="1"/>
  <c r="AD153" i="1"/>
  <c r="AE153" i="1"/>
  <c r="AA154" i="1"/>
  <c r="AB154" i="1"/>
  <c r="AC154" i="1"/>
  <c r="AD154" i="1"/>
  <c r="AE154" i="1"/>
  <c r="AA155" i="1"/>
  <c r="AB155" i="1"/>
  <c r="AC155" i="1"/>
  <c r="AD155" i="1"/>
  <c r="AE155" i="1"/>
  <c r="AA156" i="1"/>
  <c r="AB156" i="1"/>
  <c r="AC156" i="1"/>
  <c r="AD156" i="1"/>
  <c r="AE156" i="1"/>
  <c r="AA157" i="1"/>
  <c r="AB157" i="1"/>
  <c r="AC157" i="1"/>
  <c r="AD157" i="1"/>
  <c r="AE157" i="1"/>
  <c r="AA158" i="1"/>
  <c r="AB158" i="1"/>
  <c r="AC158" i="1"/>
  <c r="AD158" i="1"/>
  <c r="AE158" i="1"/>
  <c r="AA159" i="1"/>
  <c r="AB159" i="1"/>
  <c r="AC159" i="1"/>
  <c r="AD159" i="1"/>
  <c r="AE159" i="1"/>
  <c r="AA160" i="1"/>
  <c r="AB160" i="1"/>
  <c r="AC160" i="1"/>
  <c r="AD160" i="1"/>
  <c r="AE160" i="1"/>
  <c r="AA161" i="1"/>
  <c r="AB161" i="1"/>
  <c r="AC161" i="1"/>
  <c r="AD161" i="1"/>
  <c r="AE161" i="1"/>
  <c r="AA162" i="1"/>
  <c r="AB162" i="1"/>
  <c r="AC162" i="1"/>
  <c r="AD162" i="1"/>
  <c r="AE162" i="1"/>
  <c r="AA163" i="1"/>
  <c r="AB163" i="1"/>
  <c r="AC163" i="1"/>
  <c r="AD163" i="1"/>
  <c r="AE163" i="1"/>
  <c r="AA164" i="1"/>
  <c r="AB164" i="1"/>
  <c r="AC164" i="1"/>
  <c r="AD164" i="1"/>
  <c r="AE164" i="1"/>
  <c r="AA165" i="1"/>
  <c r="AB165" i="1"/>
  <c r="AC165" i="1"/>
  <c r="AD165" i="1"/>
  <c r="AE165" i="1"/>
  <c r="AA166" i="1"/>
  <c r="AB166" i="1"/>
  <c r="AC166" i="1"/>
  <c r="AD166" i="1"/>
  <c r="AE166" i="1"/>
  <c r="AA167" i="1"/>
  <c r="AB167" i="1"/>
  <c r="AC167" i="1"/>
  <c r="AD167" i="1"/>
  <c r="AE167" i="1"/>
  <c r="AA168" i="1"/>
  <c r="AB168" i="1"/>
  <c r="AC168" i="1"/>
  <c r="AD168" i="1"/>
  <c r="AE168" i="1"/>
  <c r="AA169" i="1"/>
  <c r="AB169" i="1"/>
  <c r="AC169" i="1"/>
  <c r="AD169" i="1"/>
  <c r="AE169" i="1"/>
  <c r="AA170" i="1"/>
  <c r="AB170" i="1"/>
  <c r="AC170" i="1"/>
  <c r="AD170" i="1"/>
  <c r="AE170" i="1"/>
  <c r="AA171" i="1"/>
  <c r="AB171" i="1"/>
  <c r="AC171" i="1"/>
  <c r="AD171" i="1"/>
  <c r="AE171" i="1"/>
  <c r="AA172" i="1"/>
  <c r="AB172" i="1"/>
  <c r="AC172" i="1"/>
  <c r="AD172" i="1"/>
  <c r="AE172" i="1"/>
  <c r="AA173" i="1"/>
  <c r="AB173" i="1"/>
  <c r="AC173" i="1"/>
  <c r="AD173" i="1"/>
  <c r="AE173" i="1"/>
  <c r="AA174" i="1"/>
  <c r="AB174" i="1"/>
  <c r="AC174" i="1"/>
  <c r="AD174" i="1"/>
  <c r="AE174" i="1"/>
  <c r="AA175" i="1"/>
  <c r="AB175" i="1"/>
  <c r="AC175" i="1"/>
  <c r="AD175" i="1"/>
  <c r="AE175" i="1"/>
  <c r="AA176" i="1"/>
  <c r="AB176" i="1"/>
  <c r="AC176" i="1"/>
  <c r="AD176" i="1"/>
  <c r="AE176" i="1"/>
  <c r="AA177" i="1"/>
  <c r="AB177" i="1"/>
  <c r="AC177" i="1"/>
  <c r="AD177" i="1"/>
  <c r="AE177" i="1"/>
  <c r="AA178" i="1"/>
  <c r="AB178" i="1"/>
  <c r="AC178" i="1"/>
  <c r="AD178" i="1"/>
  <c r="AE178" i="1"/>
  <c r="AA179" i="1"/>
  <c r="AB179" i="1"/>
  <c r="AC179" i="1"/>
  <c r="AD179" i="1"/>
  <c r="AE179" i="1"/>
  <c r="AA180" i="1"/>
  <c r="AB180" i="1"/>
  <c r="AC180" i="1"/>
  <c r="AD180" i="1"/>
  <c r="AE180" i="1"/>
  <c r="AA181" i="1"/>
  <c r="AB181" i="1"/>
  <c r="AC181" i="1"/>
  <c r="AD181" i="1"/>
  <c r="AE181" i="1"/>
  <c r="AA182" i="1"/>
  <c r="AB182" i="1"/>
  <c r="AC182" i="1"/>
  <c r="AD182" i="1"/>
  <c r="AE182" i="1"/>
  <c r="AA183" i="1"/>
  <c r="AB183" i="1"/>
  <c r="AC183" i="1"/>
  <c r="AD183" i="1"/>
  <c r="AE183" i="1"/>
  <c r="AA184" i="1"/>
  <c r="AB184" i="1"/>
  <c r="AC184" i="1"/>
  <c r="AD184" i="1"/>
  <c r="AE184" i="1"/>
  <c r="AA185" i="1"/>
  <c r="AB185" i="1"/>
  <c r="AC185" i="1"/>
  <c r="AD185" i="1"/>
  <c r="AE185" i="1"/>
  <c r="AA186" i="1"/>
  <c r="AB186" i="1"/>
  <c r="AC186" i="1"/>
  <c r="AD186" i="1"/>
  <c r="AE186" i="1"/>
  <c r="AA187" i="1"/>
  <c r="AB187" i="1"/>
  <c r="AC187" i="1"/>
  <c r="AD187" i="1"/>
  <c r="AE187" i="1"/>
  <c r="AA188" i="1"/>
  <c r="AB188" i="1"/>
  <c r="AC188" i="1"/>
  <c r="AD188" i="1"/>
  <c r="AE188" i="1"/>
  <c r="AA189" i="1"/>
  <c r="AB189" i="1"/>
  <c r="AC189" i="1"/>
  <c r="AD189" i="1"/>
  <c r="AE189" i="1"/>
  <c r="AA190" i="1"/>
  <c r="AB190" i="1"/>
  <c r="AC190" i="1"/>
  <c r="AD190" i="1"/>
  <c r="AE190" i="1"/>
  <c r="AA191" i="1"/>
  <c r="AB191" i="1"/>
  <c r="AC191" i="1"/>
  <c r="AD191" i="1"/>
  <c r="AE191" i="1"/>
  <c r="AA192" i="1"/>
  <c r="AB192" i="1"/>
  <c r="AC192" i="1"/>
  <c r="AD192" i="1"/>
  <c r="AE192" i="1"/>
  <c r="AA193" i="1"/>
  <c r="AB193" i="1"/>
  <c r="AC193" i="1"/>
  <c r="AD193" i="1"/>
  <c r="AE193" i="1"/>
  <c r="AA194" i="1"/>
  <c r="AB194" i="1"/>
  <c r="AC194" i="1"/>
  <c r="AD194" i="1"/>
  <c r="AE194" i="1"/>
  <c r="AA195" i="1"/>
  <c r="AB195" i="1"/>
  <c r="AC195" i="1"/>
  <c r="AD195" i="1"/>
  <c r="AE195" i="1"/>
  <c r="AA196" i="1"/>
  <c r="AB196" i="1"/>
  <c r="AC196" i="1"/>
  <c r="AD196" i="1"/>
  <c r="AE196" i="1"/>
  <c r="AA197" i="1"/>
  <c r="AB197" i="1"/>
  <c r="AC197" i="1"/>
  <c r="AD197" i="1"/>
  <c r="AE197" i="1"/>
  <c r="AA198" i="1"/>
  <c r="AB198" i="1"/>
  <c r="AC198" i="1"/>
  <c r="AD198" i="1"/>
  <c r="AE198" i="1"/>
  <c r="AA199" i="1"/>
  <c r="AB199" i="1"/>
  <c r="AC199" i="1"/>
  <c r="AD199" i="1"/>
  <c r="AE199" i="1"/>
  <c r="AA200" i="1"/>
  <c r="AB200" i="1"/>
  <c r="AC200" i="1"/>
  <c r="AD200" i="1"/>
  <c r="AE200" i="1"/>
  <c r="AA201" i="1"/>
  <c r="AB201" i="1"/>
  <c r="AC201" i="1"/>
  <c r="AD201" i="1"/>
  <c r="AE201" i="1"/>
  <c r="AA202" i="1"/>
  <c r="AB202" i="1"/>
  <c r="AC202" i="1"/>
  <c r="AD202" i="1"/>
  <c r="AE202" i="1"/>
  <c r="AA203" i="1"/>
  <c r="AB203" i="1"/>
  <c r="AC203" i="1"/>
  <c r="AD203" i="1"/>
  <c r="AE203" i="1"/>
  <c r="AA204" i="1"/>
  <c r="AB204" i="1"/>
  <c r="AC204" i="1"/>
  <c r="AD204" i="1"/>
  <c r="AE204" i="1"/>
  <c r="AA205" i="1"/>
  <c r="AB205" i="1"/>
  <c r="AC205" i="1"/>
  <c r="AD205" i="1"/>
  <c r="AE205" i="1"/>
  <c r="AA206" i="1"/>
  <c r="AB206" i="1"/>
  <c r="AC206" i="1"/>
  <c r="AD206" i="1"/>
  <c r="AE206" i="1"/>
  <c r="AA207" i="1"/>
  <c r="AB207" i="1"/>
  <c r="AC207" i="1"/>
  <c r="AD207" i="1"/>
  <c r="AE207" i="1"/>
  <c r="AA208" i="1"/>
  <c r="AB208" i="1"/>
  <c r="AC208" i="1"/>
  <c r="AD208" i="1"/>
  <c r="AE208" i="1"/>
  <c r="AA209" i="1"/>
  <c r="AB209" i="1"/>
  <c r="AC209" i="1"/>
  <c r="AD209" i="1"/>
  <c r="AE209" i="1"/>
  <c r="AA210" i="1"/>
  <c r="AB210" i="1"/>
  <c r="AC210" i="1"/>
  <c r="AD210" i="1"/>
  <c r="AE210" i="1"/>
  <c r="AA211" i="1"/>
  <c r="AB211" i="1"/>
  <c r="AC211" i="1"/>
  <c r="AD211" i="1"/>
  <c r="AE211" i="1"/>
  <c r="AA212" i="1"/>
  <c r="AB212" i="1"/>
  <c r="AC212" i="1"/>
  <c r="AD212" i="1"/>
  <c r="AE212" i="1"/>
  <c r="AA213" i="1"/>
  <c r="AB213" i="1"/>
  <c r="AC213" i="1"/>
  <c r="AD213" i="1"/>
  <c r="AE213" i="1"/>
  <c r="AA214" i="1"/>
  <c r="AB214" i="1"/>
  <c r="AC214" i="1"/>
  <c r="AD214" i="1"/>
  <c r="AE214" i="1"/>
  <c r="AA215" i="1"/>
  <c r="AB215" i="1"/>
  <c r="AC215" i="1"/>
  <c r="AD215" i="1"/>
  <c r="AE215" i="1"/>
  <c r="AA216" i="1"/>
  <c r="AB216" i="1"/>
  <c r="AC216" i="1"/>
  <c r="AD216" i="1"/>
  <c r="AE216" i="1"/>
  <c r="AA217" i="1"/>
  <c r="AB217" i="1"/>
  <c r="AC217" i="1"/>
  <c r="AD217" i="1"/>
  <c r="AE217" i="1"/>
  <c r="AA218" i="1"/>
  <c r="AB218" i="1"/>
  <c r="AC218" i="1"/>
  <c r="AD218" i="1"/>
  <c r="AE218" i="1"/>
  <c r="AA219" i="1"/>
  <c r="AB219" i="1"/>
  <c r="AC219" i="1"/>
  <c r="AD219" i="1"/>
  <c r="AE219" i="1"/>
  <c r="AA220" i="1"/>
  <c r="AB220" i="1"/>
  <c r="AC220" i="1"/>
  <c r="AD220" i="1"/>
  <c r="AE220" i="1"/>
  <c r="AA221" i="1"/>
  <c r="AB221" i="1"/>
  <c r="AC221" i="1"/>
  <c r="AD221" i="1"/>
  <c r="AE221" i="1"/>
  <c r="AA222" i="1"/>
  <c r="AB222" i="1"/>
  <c r="AC222" i="1"/>
  <c r="AD222" i="1"/>
  <c r="AE222" i="1"/>
  <c r="AA223" i="1"/>
  <c r="AB223" i="1"/>
  <c r="AC223" i="1"/>
  <c r="AD223" i="1"/>
  <c r="AE223" i="1"/>
  <c r="AA224" i="1"/>
  <c r="AB224" i="1"/>
  <c r="AC224" i="1"/>
  <c r="AD224" i="1"/>
  <c r="AE224" i="1"/>
  <c r="AA225" i="1"/>
  <c r="AB225" i="1"/>
  <c r="AC225" i="1"/>
  <c r="AD225" i="1"/>
  <c r="AE225" i="1"/>
  <c r="AA226" i="1"/>
  <c r="AB226" i="1"/>
  <c r="AC226" i="1"/>
  <c r="AD226" i="1"/>
  <c r="AE226" i="1"/>
  <c r="AA227" i="1"/>
  <c r="AB227" i="1"/>
  <c r="AC227" i="1"/>
  <c r="AD227" i="1"/>
  <c r="AE227" i="1"/>
  <c r="AA228" i="1"/>
  <c r="AB228" i="1"/>
  <c r="AC228" i="1"/>
  <c r="AD228" i="1"/>
  <c r="AE228" i="1"/>
  <c r="AA229" i="1"/>
  <c r="AB229" i="1"/>
  <c r="AC229" i="1"/>
  <c r="AD229" i="1"/>
  <c r="AE229" i="1"/>
  <c r="AA230" i="1"/>
  <c r="AB230" i="1"/>
  <c r="AC230" i="1"/>
  <c r="AD230" i="1"/>
  <c r="AE230" i="1"/>
  <c r="AA231" i="1"/>
  <c r="AB231" i="1"/>
  <c r="AC231" i="1"/>
  <c r="AD231" i="1"/>
  <c r="AE231" i="1"/>
  <c r="AA232" i="1"/>
  <c r="AB232" i="1"/>
  <c r="AC232" i="1"/>
  <c r="AD232" i="1"/>
  <c r="AE232" i="1"/>
  <c r="AA233" i="1"/>
  <c r="AB233" i="1"/>
  <c r="AC233" i="1"/>
  <c r="AD233" i="1"/>
  <c r="AE233" i="1"/>
  <c r="AA234" i="1"/>
  <c r="AB234" i="1"/>
  <c r="AC234" i="1"/>
  <c r="AD234" i="1"/>
  <c r="AE234" i="1"/>
  <c r="AA235" i="1"/>
  <c r="AB235" i="1"/>
  <c r="AC235" i="1"/>
  <c r="AD235" i="1"/>
  <c r="AE235" i="1"/>
  <c r="AA236" i="1"/>
  <c r="AB236" i="1"/>
  <c r="AC236" i="1"/>
  <c r="AD236" i="1"/>
  <c r="AE236" i="1"/>
  <c r="AA237" i="1"/>
  <c r="AB237" i="1"/>
  <c r="AC237" i="1"/>
  <c r="AD237" i="1"/>
  <c r="AE237" i="1"/>
  <c r="AA238" i="1"/>
  <c r="AB238" i="1"/>
  <c r="AC238" i="1"/>
  <c r="AD238" i="1"/>
  <c r="AE238" i="1"/>
  <c r="AA239" i="1"/>
  <c r="AB239" i="1"/>
  <c r="AC239" i="1"/>
  <c r="AD239" i="1"/>
  <c r="AE239" i="1"/>
  <c r="AA240" i="1"/>
  <c r="AB240" i="1"/>
  <c r="AC240" i="1"/>
  <c r="AD240" i="1"/>
  <c r="AE240" i="1"/>
  <c r="AA241" i="1"/>
  <c r="AB241" i="1"/>
  <c r="AC241" i="1"/>
  <c r="AD241" i="1"/>
  <c r="AE241" i="1"/>
  <c r="AA242" i="1"/>
  <c r="AB242" i="1"/>
  <c r="AC242" i="1"/>
  <c r="AD242" i="1"/>
  <c r="AE242" i="1"/>
  <c r="AA243" i="1"/>
  <c r="AB243" i="1"/>
  <c r="AC243" i="1"/>
  <c r="AD243" i="1"/>
  <c r="AE243" i="1"/>
  <c r="AA244" i="1"/>
  <c r="AB244" i="1"/>
  <c r="AC244" i="1"/>
  <c r="AD244" i="1"/>
  <c r="AE244" i="1"/>
  <c r="AA245" i="1"/>
  <c r="AB245" i="1"/>
  <c r="AC245" i="1"/>
  <c r="AD245" i="1"/>
  <c r="AE245" i="1"/>
  <c r="AA246" i="1"/>
  <c r="AB246" i="1"/>
  <c r="AC246" i="1"/>
  <c r="AD246" i="1"/>
  <c r="AE246" i="1"/>
  <c r="AA247" i="1"/>
  <c r="AB247" i="1"/>
  <c r="AC247" i="1"/>
  <c r="AD247" i="1"/>
  <c r="AE247" i="1"/>
  <c r="AA248" i="1"/>
  <c r="AB248" i="1"/>
  <c r="AC248" i="1"/>
  <c r="AD248" i="1"/>
  <c r="AE248" i="1"/>
  <c r="AA249" i="1"/>
  <c r="AB249" i="1"/>
  <c r="AC249" i="1"/>
  <c r="AD249" i="1"/>
  <c r="AE249" i="1"/>
  <c r="AA250" i="1"/>
  <c r="AB250" i="1"/>
  <c r="AC250" i="1"/>
  <c r="AD250" i="1"/>
  <c r="AE250" i="1"/>
  <c r="AA251" i="1"/>
  <c r="AB251" i="1"/>
  <c r="AC251" i="1"/>
  <c r="AD251" i="1"/>
  <c r="AE251" i="1"/>
  <c r="AA252" i="1"/>
  <c r="AB252" i="1"/>
  <c r="AC252" i="1"/>
  <c r="AD252" i="1"/>
  <c r="AE252" i="1"/>
  <c r="AA253" i="1"/>
  <c r="AB253" i="1"/>
  <c r="AC253" i="1"/>
  <c r="AD253" i="1"/>
  <c r="AE253" i="1"/>
  <c r="AA254" i="1"/>
  <c r="AB254" i="1"/>
  <c r="AC254" i="1"/>
  <c r="AD254" i="1"/>
  <c r="AE254" i="1"/>
  <c r="AA255" i="1"/>
  <c r="AB255" i="1"/>
  <c r="AC255" i="1"/>
  <c r="AD255" i="1"/>
  <c r="AE255" i="1"/>
  <c r="AA256" i="1"/>
  <c r="AB256" i="1"/>
  <c r="AC256" i="1"/>
  <c r="AD256" i="1"/>
  <c r="AE256" i="1"/>
  <c r="AA257" i="1"/>
  <c r="AB257" i="1"/>
  <c r="AC257" i="1"/>
  <c r="AD257" i="1"/>
  <c r="AE257" i="1"/>
  <c r="AA258" i="1"/>
  <c r="AB258" i="1"/>
  <c r="AC258" i="1"/>
  <c r="AD258" i="1"/>
  <c r="AE258" i="1"/>
  <c r="AA259" i="1"/>
  <c r="AB259" i="1"/>
  <c r="AC259" i="1"/>
  <c r="AD259" i="1"/>
  <c r="AE259" i="1"/>
  <c r="AA260" i="1"/>
  <c r="AB260" i="1"/>
  <c r="AC260" i="1"/>
  <c r="AD260" i="1"/>
  <c r="AE260" i="1"/>
  <c r="AA261" i="1"/>
  <c r="AB261" i="1"/>
  <c r="AC261" i="1"/>
  <c r="AD261" i="1"/>
  <c r="AE261" i="1"/>
  <c r="AA262" i="1"/>
  <c r="AB262" i="1"/>
  <c r="AC262" i="1"/>
  <c r="AD262" i="1"/>
  <c r="AE262" i="1"/>
  <c r="AA263" i="1"/>
  <c r="AB263" i="1"/>
  <c r="AC263" i="1"/>
  <c r="AD263" i="1"/>
  <c r="AE263" i="1"/>
  <c r="AA264" i="1"/>
  <c r="AB264" i="1"/>
  <c r="AC264" i="1"/>
  <c r="AD264" i="1"/>
  <c r="AE264" i="1"/>
  <c r="AA265" i="1"/>
  <c r="AB265" i="1"/>
  <c r="AC265" i="1"/>
  <c r="AD265" i="1"/>
  <c r="AE265" i="1"/>
  <c r="AA266" i="1"/>
  <c r="AB266" i="1"/>
  <c r="AC266" i="1"/>
  <c r="AD266" i="1"/>
  <c r="AE266" i="1"/>
  <c r="AA267" i="1"/>
  <c r="AB267" i="1"/>
  <c r="AC267" i="1"/>
  <c r="AD267" i="1"/>
  <c r="AE267" i="1"/>
  <c r="AA268" i="1"/>
  <c r="AB268" i="1"/>
  <c r="AC268" i="1"/>
  <c r="AD268" i="1"/>
  <c r="AE268" i="1"/>
  <c r="AA269" i="1"/>
  <c r="AB269" i="1"/>
  <c r="AC269" i="1"/>
  <c r="AD269" i="1"/>
  <c r="AE269" i="1"/>
  <c r="AA270" i="1"/>
  <c r="AB270" i="1"/>
  <c r="AC270" i="1"/>
  <c r="AD270" i="1"/>
  <c r="AE270" i="1"/>
  <c r="AA271" i="1"/>
  <c r="AB271" i="1"/>
  <c r="AC271" i="1"/>
  <c r="AD271" i="1"/>
  <c r="AE271" i="1"/>
  <c r="AA272" i="1"/>
  <c r="AB272" i="1"/>
  <c r="AC272" i="1"/>
  <c r="AD272" i="1"/>
  <c r="AE272" i="1"/>
  <c r="AA273" i="1"/>
  <c r="AB273" i="1"/>
  <c r="AC273" i="1"/>
  <c r="AD273" i="1"/>
  <c r="AE273" i="1"/>
  <c r="AA274" i="1"/>
  <c r="AB274" i="1"/>
  <c r="AC274" i="1"/>
  <c r="AD274" i="1"/>
  <c r="AE274" i="1"/>
  <c r="AA275" i="1"/>
  <c r="AB275" i="1"/>
  <c r="AC275" i="1"/>
  <c r="AD275" i="1"/>
  <c r="AE275" i="1"/>
  <c r="AA276" i="1"/>
  <c r="AB276" i="1"/>
  <c r="AC276" i="1"/>
  <c r="AD276" i="1"/>
  <c r="AE276" i="1"/>
  <c r="AA277" i="1"/>
  <c r="AB277" i="1"/>
  <c r="AC277" i="1"/>
  <c r="AD277" i="1"/>
  <c r="AE277" i="1"/>
  <c r="AA278" i="1"/>
  <c r="AB278" i="1"/>
  <c r="AC278" i="1"/>
  <c r="AD278" i="1"/>
  <c r="AE278" i="1"/>
  <c r="AA279" i="1"/>
  <c r="AB279" i="1"/>
  <c r="AC279" i="1"/>
  <c r="AD279" i="1"/>
  <c r="AE279" i="1"/>
  <c r="AA280" i="1"/>
  <c r="AB280" i="1"/>
  <c r="AC280" i="1"/>
  <c r="AD280" i="1"/>
  <c r="AE280" i="1"/>
  <c r="AA281" i="1"/>
  <c r="AB281" i="1"/>
  <c r="AC281" i="1"/>
  <c r="AD281" i="1"/>
  <c r="AE281" i="1"/>
  <c r="AA282" i="1"/>
  <c r="AB282" i="1"/>
  <c r="AC282" i="1"/>
  <c r="AD282" i="1"/>
  <c r="AE282" i="1"/>
  <c r="AA283" i="1"/>
  <c r="AB283" i="1"/>
  <c r="AC283" i="1"/>
  <c r="AD283" i="1"/>
  <c r="AE283" i="1"/>
  <c r="AA284" i="1"/>
  <c r="AB284" i="1"/>
  <c r="AC284" i="1"/>
  <c r="AD284" i="1"/>
  <c r="AE284" i="1"/>
  <c r="AA285" i="1"/>
  <c r="AB285" i="1"/>
  <c r="AC285" i="1"/>
  <c r="AD285" i="1"/>
  <c r="AE285" i="1"/>
  <c r="AA286" i="1"/>
  <c r="AB286" i="1"/>
  <c r="AC286" i="1"/>
  <c r="AD286" i="1"/>
  <c r="AE286" i="1"/>
  <c r="AA287" i="1"/>
  <c r="AB287" i="1"/>
  <c r="AC287" i="1"/>
  <c r="AD287" i="1"/>
  <c r="AE287" i="1"/>
  <c r="AA288" i="1"/>
  <c r="AB288" i="1"/>
  <c r="AC288" i="1"/>
  <c r="AD288" i="1"/>
  <c r="AE288" i="1"/>
  <c r="AA289" i="1"/>
  <c r="AB289" i="1"/>
  <c r="AC289" i="1"/>
  <c r="AD289" i="1"/>
  <c r="AE289" i="1"/>
  <c r="AA290" i="1"/>
  <c r="AB290" i="1"/>
  <c r="AC290" i="1"/>
  <c r="AD290" i="1"/>
  <c r="AE290" i="1"/>
  <c r="AA291" i="1"/>
  <c r="AB291" i="1"/>
  <c r="AC291" i="1"/>
  <c r="AD291" i="1"/>
  <c r="AE291" i="1"/>
  <c r="AA292" i="1"/>
  <c r="AB292" i="1"/>
  <c r="AC292" i="1"/>
  <c r="AD292" i="1"/>
  <c r="AE292" i="1"/>
  <c r="AA293" i="1"/>
  <c r="AB293" i="1"/>
  <c r="AC293" i="1"/>
  <c r="AD293" i="1"/>
  <c r="AE293" i="1"/>
  <c r="AA294" i="1"/>
  <c r="AB294" i="1"/>
  <c r="AC294" i="1"/>
  <c r="AD294" i="1"/>
  <c r="AE294" i="1"/>
  <c r="AA295" i="1"/>
  <c r="AB295" i="1"/>
  <c r="AC295" i="1"/>
  <c r="AD295" i="1"/>
  <c r="AE295" i="1"/>
  <c r="AA296" i="1"/>
  <c r="AB296" i="1"/>
  <c r="AC296" i="1"/>
  <c r="AD296" i="1"/>
  <c r="AE296" i="1"/>
  <c r="AA297" i="1"/>
  <c r="AB297" i="1"/>
  <c r="AC297" i="1"/>
  <c r="AD297" i="1"/>
  <c r="AE297" i="1"/>
  <c r="AA298" i="1"/>
  <c r="AB298" i="1"/>
  <c r="AC298" i="1"/>
  <c r="AD298" i="1"/>
  <c r="AE298" i="1"/>
  <c r="AA299" i="1"/>
  <c r="AB299" i="1"/>
  <c r="AC299" i="1"/>
  <c r="AD299" i="1"/>
  <c r="AE299" i="1"/>
  <c r="AA300" i="1"/>
  <c r="AB300" i="1"/>
  <c r="AC300" i="1"/>
  <c r="AD300" i="1"/>
  <c r="AE300" i="1"/>
  <c r="AA301" i="1"/>
  <c r="AB301" i="1"/>
  <c r="AC301" i="1"/>
  <c r="AD301" i="1"/>
  <c r="AE301" i="1"/>
  <c r="AA302" i="1"/>
  <c r="AB302" i="1"/>
  <c r="AC302" i="1"/>
  <c r="AD302" i="1"/>
  <c r="AE302" i="1"/>
  <c r="AA303" i="1"/>
  <c r="AB303" i="1"/>
  <c r="AC303" i="1"/>
  <c r="AD303" i="1"/>
  <c r="AE303" i="1"/>
  <c r="AA304" i="1"/>
  <c r="AB304" i="1"/>
  <c r="AC304" i="1"/>
  <c r="AD304" i="1"/>
  <c r="AE304" i="1"/>
  <c r="AA305" i="1"/>
  <c r="AB305" i="1"/>
  <c r="AC305" i="1"/>
  <c r="AD305" i="1"/>
  <c r="AE305" i="1"/>
  <c r="AA306" i="1"/>
  <c r="AB306" i="1"/>
  <c r="AC306" i="1"/>
  <c r="AD306" i="1"/>
  <c r="AE306" i="1"/>
  <c r="AA307" i="1"/>
  <c r="AB307" i="1"/>
  <c r="AC307" i="1"/>
  <c r="AD307" i="1"/>
  <c r="AE307" i="1"/>
  <c r="AA308" i="1"/>
  <c r="AB308" i="1"/>
  <c r="AC308" i="1"/>
  <c r="AD308" i="1"/>
  <c r="AE308" i="1"/>
  <c r="AA309" i="1"/>
  <c r="AB309" i="1"/>
  <c r="AC309" i="1"/>
  <c r="AD309" i="1"/>
  <c r="AE309" i="1"/>
  <c r="AA310" i="1"/>
  <c r="AB310" i="1"/>
  <c r="AC310" i="1"/>
  <c r="AD310" i="1"/>
  <c r="AE310" i="1"/>
  <c r="AA311" i="1"/>
  <c r="AB311" i="1"/>
  <c r="AC311" i="1"/>
  <c r="AD311" i="1"/>
  <c r="AE311" i="1"/>
  <c r="AA312" i="1"/>
  <c r="AB312" i="1"/>
  <c r="AC312" i="1"/>
  <c r="AD312" i="1"/>
  <c r="AE312" i="1"/>
  <c r="AA313" i="1"/>
  <c r="AB313" i="1"/>
  <c r="AC313" i="1"/>
  <c r="AD313" i="1"/>
  <c r="AE313" i="1"/>
  <c r="AA314" i="1"/>
  <c r="AB314" i="1"/>
  <c r="AC314" i="1"/>
  <c r="AD314" i="1"/>
  <c r="AE314" i="1"/>
  <c r="AA315" i="1"/>
  <c r="AB315" i="1"/>
  <c r="AC315" i="1"/>
  <c r="AD315" i="1"/>
  <c r="AE315" i="1"/>
  <c r="AA316" i="1"/>
  <c r="AB316" i="1"/>
  <c r="AC316" i="1"/>
  <c r="AD316" i="1"/>
  <c r="AE316" i="1"/>
  <c r="AA317" i="1"/>
  <c r="AB317" i="1"/>
  <c r="AC317" i="1"/>
  <c r="AD317" i="1"/>
  <c r="AE317" i="1"/>
  <c r="AA318" i="1"/>
  <c r="AB318" i="1"/>
  <c r="AC318" i="1"/>
  <c r="AD318" i="1"/>
  <c r="AE318" i="1"/>
  <c r="AD19" i="1"/>
  <c r="O9" i="7"/>
  <c r="N9" i="7"/>
  <c r="D11" i="1" l="1"/>
  <c r="D10" i="8" s="1"/>
  <c r="D12" i="1"/>
  <c r="D11" i="8" s="1"/>
  <c r="D13" i="1"/>
  <c r="D12" i="8" s="1"/>
  <c r="D14" i="1"/>
  <c r="D13" i="8" s="1"/>
  <c r="D10" i="1"/>
  <c r="D9" i="8" s="1"/>
  <c r="D8" i="1"/>
  <c r="D7" i="8" s="1"/>
  <c r="D9" i="1"/>
  <c r="D8" i="8" s="1"/>
  <c r="D7" i="1"/>
  <c r="D6" i="8" s="1"/>
  <c r="D6" i="1"/>
  <c r="D5" i="8" s="1"/>
  <c r="D5" i="1"/>
  <c r="D4" i="8" s="1"/>
  <c r="D15"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17" i="8"/>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19" i="3"/>
  <c r="D327" i="1"/>
  <c r="G21" i="10" s="1"/>
  <c r="A13" i="3"/>
  <c r="A12" i="3"/>
  <c r="A11" i="3"/>
  <c r="A10" i="3"/>
  <c r="A9" i="3"/>
  <c r="A8" i="3"/>
  <c r="A7" i="3"/>
  <c r="A6" i="3"/>
  <c r="A5" i="3"/>
  <c r="A4" i="3"/>
  <c r="A14" i="1"/>
  <c r="A13" i="1"/>
  <c r="A12" i="1"/>
  <c r="A11" i="1"/>
  <c r="A10" i="1"/>
  <c r="A9" i="1"/>
  <c r="A8" i="1"/>
  <c r="A7" i="1"/>
  <c r="A6" i="1"/>
  <c r="A5" i="1"/>
  <c r="M26" i="7"/>
  <c r="M20" i="7"/>
  <c r="M14" i="7"/>
  <c r="M17" i="7"/>
  <c r="M23" i="7"/>
  <c r="D4" i="3" l="1"/>
  <c r="D11" i="3"/>
  <c r="D8" i="3"/>
  <c r="D6" i="3"/>
  <c r="D12" i="3"/>
  <c r="D10" i="3"/>
  <c r="D7" i="3"/>
  <c r="D5" i="3"/>
  <c r="M27" i="7"/>
  <c r="M46" i="7" s="1"/>
  <c r="M29" i="10" s="1"/>
  <c r="M24" i="7"/>
  <c r="M45" i="7" s="1"/>
  <c r="M28" i="10" s="1"/>
  <c r="M21" i="7"/>
  <c r="M44" i="7" s="1"/>
  <c r="M27" i="10" s="1"/>
  <c r="M18" i="7"/>
  <c r="M43" i="7" s="1"/>
  <c r="M26" i="10" s="1"/>
  <c r="M43" i="10" s="1"/>
  <c r="M15" i="7"/>
  <c r="M42" i="7" s="1"/>
  <c r="M25" i="10" s="1"/>
  <c r="M42" i="10" s="1"/>
  <c r="D9" i="3"/>
  <c r="D13" i="3"/>
  <c r="E21" i="10"/>
  <c r="B55" i="10" s="1"/>
  <c r="M21" i="10"/>
  <c r="K21" i="10"/>
  <c r="I21" i="10"/>
  <c r="I324" i="8"/>
  <c r="H324" i="8"/>
  <c r="G324" i="8"/>
  <c r="F324" i="8"/>
  <c r="E324" i="8"/>
  <c r="I323" i="8"/>
  <c r="H323" i="8"/>
  <c r="G323" i="8"/>
  <c r="F323" i="8"/>
  <c r="E323" i="8"/>
  <c r="I322" i="8"/>
  <c r="H322" i="8"/>
  <c r="G322" i="8"/>
  <c r="F322" i="8"/>
  <c r="E322" i="8"/>
  <c r="I321" i="8"/>
  <c r="H321" i="8"/>
  <c r="G321" i="8"/>
  <c r="F321" i="8"/>
  <c r="E321" i="8"/>
  <c r="I320" i="8"/>
  <c r="H320" i="8"/>
  <c r="G320" i="8"/>
  <c r="F320" i="8"/>
  <c r="E320" i="8"/>
  <c r="A264" i="8"/>
  <c r="B264" i="8"/>
  <c r="C264" i="8"/>
  <c r="A265" i="8"/>
  <c r="B265" i="8"/>
  <c r="C265" i="8"/>
  <c r="A266" i="8"/>
  <c r="B266" i="8"/>
  <c r="C266" i="8"/>
  <c r="A267" i="8"/>
  <c r="B267" i="8"/>
  <c r="C267" i="8"/>
  <c r="A268" i="8"/>
  <c r="B268" i="8"/>
  <c r="C268" i="8"/>
  <c r="A269" i="8"/>
  <c r="B269" i="8"/>
  <c r="C269" i="8"/>
  <c r="A270" i="8"/>
  <c r="B270" i="8"/>
  <c r="C270" i="8"/>
  <c r="A271" i="8"/>
  <c r="B271" i="8"/>
  <c r="C271" i="8"/>
  <c r="A272" i="8"/>
  <c r="B272" i="8"/>
  <c r="C272" i="8"/>
  <c r="A273" i="8"/>
  <c r="B273" i="8"/>
  <c r="C273" i="8"/>
  <c r="A274" i="8"/>
  <c r="B274" i="8"/>
  <c r="C274" i="8"/>
  <c r="A275" i="8"/>
  <c r="B275" i="8"/>
  <c r="C275" i="8"/>
  <c r="A276" i="8"/>
  <c r="B276" i="8"/>
  <c r="C276" i="8"/>
  <c r="A277" i="8"/>
  <c r="B277" i="8"/>
  <c r="C277" i="8"/>
  <c r="A278" i="8"/>
  <c r="B278" i="8"/>
  <c r="C278" i="8"/>
  <c r="A279" i="8"/>
  <c r="B279" i="8"/>
  <c r="C279" i="8"/>
  <c r="A280" i="8"/>
  <c r="B280" i="8"/>
  <c r="C280" i="8"/>
  <c r="A281" i="8"/>
  <c r="B281" i="8"/>
  <c r="C281" i="8"/>
  <c r="A282" i="8"/>
  <c r="B282" i="8"/>
  <c r="C282" i="8"/>
  <c r="A283" i="8"/>
  <c r="B283" i="8"/>
  <c r="C283" i="8"/>
  <c r="A284" i="8"/>
  <c r="B284" i="8"/>
  <c r="C284" i="8"/>
  <c r="A285" i="8"/>
  <c r="B285" i="8"/>
  <c r="C285" i="8"/>
  <c r="A286" i="8"/>
  <c r="B286" i="8"/>
  <c r="C286" i="8"/>
  <c r="A287" i="8"/>
  <c r="B287" i="8"/>
  <c r="C287" i="8"/>
  <c r="A288" i="8"/>
  <c r="B288" i="8"/>
  <c r="C288" i="8"/>
  <c r="A289" i="8"/>
  <c r="B289" i="8"/>
  <c r="C289" i="8"/>
  <c r="A290" i="8"/>
  <c r="B290" i="8"/>
  <c r="C290" i="8"/>
  <c r="A291" i="8"/>
  <c r="B291" i="8"/>
  <c r="C291" i="8"/>
  <c r="A292" i="8"/>
  <c r="B292" i="8"/>
  <c r="C292" i="8"/>
  <c r="A293" i="8"/>
  <c r="B293" i="8"/>
  <c r="C293" i="8"/>
  <c r="A294" i="8"/>
  <c r="B294" i="8"/>
  <c r="C294" i="8"/>
  <c r="A295" i="8"/>
  <c r="B295" i="8"/>
  <c r="C295" i="8"/>
  <c r="A296" i="8"/>
  <c r="B296" i="8"/>
  <c r="C296" i="8"/>
  <c r="A297" i="8"/>
  <c r="B297" i="8"/>
  <c r="C297" i="8"/>
  <c r="A298" i="8"/>
  <c r="B298" i="8"/>
  <c r="C298" i="8"/>
  <c r="A299" i="8"/>
  <c r="B299" i="8"/>
  <c r="C299" i="8"/>
  <c r="A300" i="8"/>
  <c r="B300" i="8"/>
  <c r="C300" i="8"/>
  <c r="A301" i="8"/>
  <c r="B301" i="8"/>
  <c r="C301" i="8"/>
  <c r="A302" i="8"/>
  <c r="B302" i="8"/>
  <c r="C302" i="8"/>
  <c r="A303" i="8"/>
  <c r="B303" i="8"/>
  <c r="C303" i="8"/>
  <c r="A304" i="8"/>
  <c r="B304" i="8"/>
  <c r="C304" i="8"/>
  <c r="A305" i="8"/>
  <c r="B305" i="8"/>
  <c r="C305" i="8"/>
  <c r="A306" i="8"/>
  <c r="B306" i="8"/>
  <c r="C306" i="8"/>
  <c r="A307" i="8"/>
  <c r="B307" i="8"/>
  <c r="C307" i="8"/>
  <c r="A308" i="8"/>
  <c r="B308" i="8"/>
  <c r="C308" i="8"/>
  <c r="A309" i="8"/>
  <c r="B309" i="8"/>
  <c r="C309" i="8"/>
  <c r="A310" i="8"/>
  <c r="B310" i="8"/>
  <c r="C310" i="8"/>
  <c r="A311" i="8"/>
  <c r="B311" i="8"/>
  <c r="C311" i="8"/>
  <c r="A312" i="8"/>
  <c r="B312" i="8"/>
  <c r="C312" i="8"/>
  <c r="A313" i="8"/>
  <c r="B313" i="8"/>
  <c r="C313" i="8"/>
  <c r="A314" i="8"/>
  <c r="B314" i="8"/>
  <c r="C314" i="8"/>
  <c r="A315" i="8"/>
  <c r="B315" i="8"/>
  <c r="C315" i="8"/>
  <c r="A316" i="8"/>
  <c r="B316" i="8"/>
  <c r="C316" i="8"/>
  <c r="A210" i="8"/>
  <c r="B210" i="8"/>
  <c r="C210" i="8"/>
  <c r="A211" i="8"/>
  <c r="B211" i="8"/>
  <c r="C211" i="8"/>
  <c r="A212" i="8"/>
  <c r="B212" i="8"/>
  <c r="C212" i="8"/>
  <c r="A213" i="8"/>
  <c r="B213" i="8"/>
  <c r="C213" i="8"/>
  <c r="A214" i="8"/>
  <c r="B214" i="8"/>
  <c r="C214" i="8"/>
  <c r="A215" i="8"/>
  <c r="B215" i="8"/>
  <c r="C215" i="8"/>
  <c r="A216" i="8"/>
  <c r="B216" i="8"/>
  <c r="C216" i="8"/>
  <c r="A217" i="8"/>
  <c r="B217" i="8"/>
  <c r="C217" i="8"/>
  <c r="A218" i="8"/>
  <c r="B218" i="8"/>
  <c r="C218" i="8"/>
  <c r="A219" i="8"/>
  <c r="B219" i="8"/>
  <c r="C219" i="8"/>
  <c r="A220" i="8"/>
  <c r="B220" i="8"/>
  <c r="C220" i="8"/>
  <c r="A221" i="8"/>
  <c r="B221" i="8"/>
  <c r="C221" i="8"/>
  <c r="A222" i="8"/>
  <c r="B222" i="8"/>
  <c r="C222" i="8"/>
  <c r="A223" i="8"/>
  <c r="B223" i="8"/>
  <c r="C223" i="8"/>
  <c r="A224" i="8"/>
  <c r="B224" i="8"/>
  <c r="C224" i="8"/>
  <c r="A225" i="8"/>
  <c r="B225" i="8"/>
  <c r="C225" i="8"/>
  <c r="A226" i="8"/>
  <c r="B226" i="8"/>
  <c r="C226" i="8"/>
  <c r="A227" i="8"/>
  <c r="B227" i="8"/>
  <c r="C227" i="8"/>
  <c r="A228" i="8"/>
  <c r="B228" i="8"/>
  <c r="C228" i="8"/>
  <c r="A229" i="8"/>
  <c r="B229" i="8"/>
  <c r="C229" i="8"/>
  <c r="A230" i="8"/>
  <c r="B230" i="8"/>
  <c r="C230" i="8"/>
  <c r="A231" i="8"/>
  <c r="B231" i="8"/>
  <c r="C231" i="8"/>
  <c r="A232" i="8"/>
  <c r="B232" i="8"/>
  <c r="C232" i="8"/>
  <c r="A233" i="8"/>
  <c r="B233" i="8"/>
  <c r="C233" i="8"/>
  <c r="A234" i="8"/>
  <c r="B234" i="8"/>
  <c r="C234" i="8"/>
  <c r="A235" i="8"/>
  <c r="B235" i="8"/>
  <c r="C235" i="8"/>
  <c r="A236" i="8"/>
  <c r="B236" i="8"/>
  <c r="C236" i="8"/>
  <c r="A237" i="8"/>
  <c r="B237" i="8"/>
  <c r="C237" i="8"/>
  <c r="A238" i="8"/>
  <c r="B238" i="8"/>
  <c r="C238" i="8"/>
  <c r="A239" i="8"/>
  <c r="B239" i="8"/>
  <c r="C239" i="8"/>
  <c r="A240" i="8"/>
  <c r="B240" i="8"/>
  <c r="C240" i="8"/>
  <c r="A241" i="8"/>
  <c r="B241" i="8"/>
  <c r="C241" i="8"/>
  <c r="A242" i="8"/>
  <c r="B242" i="8"/>
  <c r="C242" i="8"/>
  <c r="A243" i="8"/>
  <c r="B243" i="8"/>
  <c r="C243" i="8"/>
  <c r="A244" i="8"/>
  <c r="B244" i="8"/>
  <c r="C244" i="8"/>
  <c r="A245" i="8"/>
  <c r="B245" i="8"/>
  <c r="C245" i="8"/>
  <c r="A246" i="8"/>
  <c r="B246" i="8"/>
  <c r="C246" i="8"/>
  <c r="A247" i="8"/>
  <c r="B247" i="8"/>
  <c r="C247" i="8"/>
  <c r="A248" i="8"/>
  <c r="B248" i="8"/>
  <c r="C248" i="8"/>
  <c r="A249" i="8"/>
  <c r="B249" i="8"/>
  <c r="C249" i="8"/>
  <c r="A250" i="8"/>
  <c r="B250" i="8"/>
  <c r="C250" i="8"/>
  <c r="A251" i="8"/>
  <c r="B251" i="8"/>
  <c r="C251" i="8"/>
  <c r="A252" i="8"/>
  <c r="B252" i="8"/>
  <c r="C252" i="8"/>
  <c r="A253" i="8"/>
  <c r="B253" i="8"/>
  <c r="C253" i="8"/>
  <c r="A254" i="8"/>
  <c r="B254" i="8"/>
  <c r="C254" i="8"/>
  <c r="A255" i="8"/>
  <c r="B255" i="8"/>
  <c r="C255" i="8"/>
  <c r="A256" i="8"/>
  <c r="B256" i="8"/>
  <c r="C256" i="8"/>
  <c r="A257" i="8"/>
  <c r="B257" i="8"/>
  <c r="C257" i="8"/>
  <c r="A258" i="8"/>
  <c r="B258" i="8"/>
  <c r="C258" i="8"/>
  <c r="A259" i="8"/>
  <c r="B259" i="8"/>
  <c r="C259" i="8"/>
  <c r="A260" i="8"/>
  <c r="B260" i="8"/>
  <c r="C260" i="8"/>
  <c r="A261" i="8"/>
  <c r="B261" i="8"/>
  <c r="C261" i="8"/>
  <c r="A262" i="8"/>
  <c r="B262" i="8"/>
  <c r="C262" i="8"/>
  <c r="A263" i="8"/>
  <c r="B263" i="8"/>
  <c r="C263" i="8"/>
  <c r="A317" i="3"/>
  <c r="B317" i="3"/>
  <c r="C317" i="3"/>
  <c r="A318" i="3"/>
  <c r="B318" i="3"/>
  <c r="C318" i="3"/>
  <c r="A219" i="3"/>
  <c r="B219" i="3"/>
  <c r="C219" i="3"/>
  <c r="A220" i="3"/>
  <c r="B220" i="3"/>
  <c r="C220" i="3"/>
  <c r="A221" i="3"/>
  <c r="B221" i="3"/>
  <c r="C221" i="3"/>
  <c r="A222" i="3"/>
  <c r="B222" i="3"/>
  <c r="C222" i="3"/>
  <c r="A223" i="3"/>
  <c r="B223" i="3"/>
  <c r="C223" i="3"/>
  <c r="A224" i="3"/>
  <c r="B224" i="3"/>
  <c r="C224" i="3"/>
  <c r="A225" i="3"/>
  <c r="B225" i="3"/>
  <c r="C225" i="3"/>
  <c r="A226" i="3"/>
  <c r="B226" i="3"/>
  <c r="C226" i="3"/>
  <c r="A227" i="3"/>
  <c r="B227" i="3"/>
  <c r="C227" i="3"/>
  <c r="A228" i="3"/>
  <c r="B228" i="3"/>
  <c r="C228" i="3"/>
  <c r="A229" i="3"/>
  <c r="B229" i="3"/>
  <c r="C229" i="3"/>
  <c r="A230" i="3"/>
  <c r="B230" i="3"/>
  <c r="C230" i="3"/>
  <c r="A231" i="3"/>
  <c r="B231" i="3"/>
  <c r="C231" i="3"/>
  <c r="A232" i="3"/>
  <c r="B232" i="3"/>
  <c r="C232" i="3"/>
  <c r="A233" i="3"/>
  <c r="B233" i="3"/>
  <c r="C233" i="3"/>
  <c r="A234" i="3"/>
  <c r="B234" i="3"/>
  <c r="C234" i="3"/>
  <c r="A235" i="3"/>
  <c r="B235" i="3"/>
  <c r="C235" i="3"/>
  <c r="A236" i="3"/>
  <c r="B236" i="3"/>
  <c r="C236" i="3"/>
  <c r="A237" i="3"/>
  <c r="B237" i="3"/>
  <c r="C237" i="3"/>
  <c r="A238" i="3"/>
  <c r="B238" i="3"/>
  <c r="C238" i="3"/>
  <c r="A239" i="3"/>
  <c r="B239" i="3"/>
  <c r="C239" i="3"/>
  <c r="A240" i="3"/>
  <c r="B240" i="3"/>
  <c r="C240" i="3"/>
  <c r="A241" i="3"/>
  <c r="B241" i="3"/>
  <c r="C241" i="3"/>
  <c r="A242" i="3"/>
  <c r="B242" i="3"/>
  <c r="C242" i="3"/>
  <c r="A243" i="3"/>
  <c r="B243" i="3"/>
  <c r="C243" i="3"/>
  <c r="A244" i="3"/>
  <c r="B244" i="3"/>
  <c r="C244" i="3"/>
  <c r="A245" i="3"/>
  <c r="B245" i="3"/>
  <c r="C245" i="3"/>
  <c r="A246" i="3"/>
  <c r="B246" i="3"/>
  <c r="C246" i="3"/>
  <c r="A247" i="3"/>
  <c r="B247" i="3"/>
  <c r="C247" i="3"/>
  <c r="A248" i="3"/>
  <c r="B248" i="3"/>
  <c r="C248" i="3"/>
  <c r="A249" i="3"/>
  <c r="B249" i="3"/>
  <c r="C249" i="3"/>
  <c r="A250" i="3"/>
  <c r="B250" i="3"/>
  <c r="C250" i="3"/>
  <c r="A251" i="3"/>
  <c r="B251" i="3"/>
  <c r="C251" i="3"/>
  <c r="A252" i="3"/>
  <c r="B252" i="3"/>
  <c r="C252" i="3"/>
  <c r="A253" i="3"/>
  <c r="B253" i="3"/>
  <c r="C253" i="3"/>
  <c r="A254" i="3"/>
  <c r="B254" i="3"/>
  <c r="C254" i="3"/>
  <c r="A255" i="3"/>
  <c r="B255" i="3"/>
  <c r="C255" i="3"/>
  <c r="A256" i="3"/>
  <c r="B256" i="3"/>
  <c r="C256" i="3"/>
  <c r="A257" i="3"/>
  <c r="B257" i="3"/>
  <c r="C257" i="3"/>
  <c r="A258" i="3"/>
  <c r="B258" i="3"/>
  <c r="C258" i="3"/>
  <c r="A259" i="3"/>
  <c r="B259" i="3"/>
  <c r="C259" i="3"/>
  <c r="A260" i="3"/>
  <c r="B260" i="3"/>
  <c r="C260" i="3"/>
  <c r="A261" i="3"/>
  <c r="B261" i="3"/>
  <c r="C261" i="3"/>
  <c r="A262" i="3"/>
  <c r="B262" i="3"/>
  <c r="C262" i="3"/>
  <c r="A263" i="3"/>
  <c r="B263" i="3"/>
  <c r="C263" i="3"/>
  <c r="A264" i="3"/>
  <c r="B264" i="3"/>
  <c r="C264" i="3"/>
  <c r="A265" i="3"/>
  <c r="B265" i="3"/>
  <c r="C265" i="3"/>
  <c r="A266" i="3"/>
  <c r="B266" i="3"/>
  <c r="C266" i="3"/>
  <c r="A267" i="3"/>
  <c r="B267" i="3"/>
  <c r="C267" i="3"/>
  <c r="A268" i="3"/>
  <c r="B268" i="3"/>
  <c r="C268" i="3"/>
  <c r="A269" i="3"/>
  <c r="B269" i="3"/>
  <c r="C269" i="3"/>
  <c r="A270" i="3"/>
  <c r="B270" i="3"/>
  <c r="C270" i="3"/>
  <c r="A271" i="3"/>
  <c r="B271" i="3"/>
  <c r="C271" i="3"/>
  <c r="A272" i="3"/>
  <c r="B272" i="3"/>
  <c r="C272" i="3"/>
  <c r="A273" i="3"/>
  <c r="B273" i="3"/>
  <c r="C273" i="3"/>
  <c r="A274" i="3"/>
  <c r="B274" i="3"/>
  <c r="C274" i="3"/>
  <c r="A275" i="3"/>
  <c r="B275" i="3"/>
  <c r="C275" i="3"/>
  <c r="A276" i="3"/>
  <c r="B276" i="3"/>
  <c r="C276" i="3"/>
  <c r="A277" i="3"/>
  <c r="B277" i="3"/>
  <c r="C277" i="3"/>
  <c r="A278" i="3"/>
  <c r="B278" i="3"/>
  <c r="C278" i="3"/>
  <c r="A279" i="3"/>
  <c r="B279" i="3"/>
  <c r="C279" i="3"/>
  <c r="A280" i="3"/>
  <c r="B280" i="3"/>
  <c r="C280" i="3"/>
  <c r="A281" i="3"/>
  <c r="B281" i="3"/>
  <c r="C281" i="3"/>
  <c r="A282" i="3"/>
  <c r="B282" i="3"/>
  <c r="C282" i="3"/>
  <c r="A283" i="3"/>
  <c r="B283" i="3"/>
  <c r="C283" i="3"/>
  <c r="A284" i="3"/>
  <c r="B284" i="3"/>
  <c r="C284" i="3"/>
  <c r="A285" i="3"/>
  <c r="B285" i="3"/>
  <c r="C285" i="3"/>
  <c r="A286" i="3"/>
  <c r="B286" i="3"/>
  <c r="C286" i="3"/>
  <c r="A287" i="3"/>
  <c r="B287" i="3"/>
  <c r="C287" i="3"/>
  <c r="A288" i="3"/>
  <c r="B288" i="3"/>
  <c r="C288" i="3"/>
  <c r="A289" i="3"/>
  <c r="B289" i="3"/>
  <c r="C289" i="3"/>
  <c r="A290" i="3"/>
  <c r="B290" i="3"/>
  <c r="C290" i="3"/>
  <c r="A291" i="3"/>
  <c r="B291" i="3"/>
  <c r="C291" i="3"/>
  <c r="A292" i="3"/>
  <c r="B292" i="3"/>
  <c r="C292" i="3"/>
  <c r="A293" i="3"/>
  <c r="B293" i="3"/>
  <c r="C293" i="3"/>
  <c r="A294" i="3"/>
  <c r="B294" i="3"/>
  <c r="C294" i="3"/>
  <c r="A295" i="3"/>
  <c r="B295" i="3"/>
  <c r="C295" i="3"/>
  <c r="A296" i="3"/>
  <c r="B296" i="3"/>
  <c r="C296" i="3"/>
  <c r="A297" i="3"/>
  <c r="B297" i="3"/>
  <c r="C297" i="3"/>
  <c r="A298" i="3"/>
  <c r="B298" i="3"/>
  <c r="C298" i="3"/>
  <c r="A299" i="3"/>
  <c r="B299" i="3"/>
  <c r="C299" i="3"/>
  <c r="A300" i="3"/>
  <c r="B300" i="3"/>
  <c r="C300" i="3"/>
  <c r="A301" i="3"/>
  <c r="B301" i="3"/>
  <c r="C301" i="3"/>
  <c r="A302" i="3"/>
  <c r="B302" i="3"/>
  <c r="C302" i="3"/>
  <c r="A303" i="3"/>
  <c r="B303" i="3"/>
  <c r="C303" i="3"/>
  <c r="A304" i="3"/>
  <c r="B304" i="3"/>
  <c r="C304" i="3"/>
  <c r="A305" i="3"/>
  <c r="B305" i="3"/>
  <c r="C305" i="3"/>
  <c r="A306" i="3"/>
  <c r="B306" i="3"/>
  <c r="C306" i="3"/>
  <c r="A307" i="3"/>
  <c r="B307" i="3"/>
  <c r="C307" i="3"/>
  <c r="A308" i="3"/>
  <c r="B308" i="3"/>
  <c r="C308" i="3"/>
  <c r="A309" i="3"/>
  <c r="B309" i="3"/>
  <c r="C309" i="3"/>
  <c r="A310" i="3"/>
  <c r="B310" i="3"/>
  <c r="C310" i="3"/>
  <c r="A311" i="3"/>
  <c r="B311" i="3"/>
  <c r="C311" i="3"/>
  <c r="A312" i="3"/>
  <c r="B312" i="3"/>
  <c r="C312" i="3"/>
  <c r="A313" i="3"/>
  <c r="B313" i="3"/>
  <c r="C313" i="3"/>
  <c r="A314" i="3"/>
  <c r="B314" i="3"/>
  <c r="C314" i="3"/>
  <c r="A315" i="3"/>
  <c r="B315" i="3"/>
  <c r="C315" i="3"/>
  <c r="A316" i="3"/>
  <c r="B316" i="3"/>
  <c r="C316" i="3"/>
  <c r="A212" i="3"/>
  <c r="B212" i="3"/>
  <c r="C212" i="3"/>
  <c r="A213" i="3"/>
  <c r="B213" i="3"/>
  <c r="C213" i="3"/>
  <c r="A214" i="3"/>
  <c r="B214" i="3"/>
  <c r="C214" i="3"/>
  <c r="A215" i="3"/>
  <c r="B215" i="3"/>
  <c r="C215" i="3"/>
  <c r="A216" i="3"/>
  <c r="B216" i="3"/>
  <c r="C216" i="3"/>
  <c r="A217" i="3"/>
  <c r="B217" i="3"/>
  <c r="C217" i="3"/>
  <c r="A218" i="3"/>
  <c r="B218" i="3"/>
  <c r="C218" i="3"/>
  <c r="V212" i="1"/>
  <c r="AF212" i="1" s="1"/>
  <c r="W212" i="1"/>
  <c r="AG212" i="1" s="1"/>
  <c r="X212" i="1"/>
  <c r="AH212" i="1" s="1"/>
  <c r="Y212" i="1"/>
  <c r="AI212" i="1" s="1"/>
  <c r="Z212" i="1"/>
  <c r="AJ212" i="1" s="1"/>
  <c r="V213" i="1"/>
  <c r="AF213" i="1" s="1"/>
  <c r="W213" i="1"/>
  <c r="AG213" i="1" s="1"/>
  <c r="X213" i="1"/>
  <c r="AH213" i="1" s="1"/>
  <c r="Y213" i="1"/>
  <c r="AI213" i="1" s="1"/>
  <c r="Z213" i="1"/>
  <c r="AJ213" i="1" s="1"/>
  <c r="V214" i="1"/>
  <c r="AF214" i="1" s="1"/>
  <c r="W214" i="1"/>
  <c r="AG214" i="1" s="1"/>
  <c r="X214" i="1"/>
  <c r="AH214" i="1" s="1"/>
  <c r="Y214" i="1"/>
  <c r="AI214" i="1" s="1"/>
  <c r="Z214" i="1"/>
  <c r="AJ214" i="1" s="1"/>
  <c r="V215" i="1"/>
  <c r="AF215" i="1" s="1"/>
  <c r="W215" i="1"/>
  <c r="AG215" i="1" s="1"/>
  <c r="X215" i="1"/>
  <c r="AH215" i="1" s="1"/>
  <c r="Y215" i="1"/>
  <c r="AI215" i="1" s="1"/>
  <c r="Z215" i="1"/>
  <c r="AJ215" i="1" s="1"/>
  <c r="V216" i="1"/>
  <c r="AF216" i="1" s="1"/>
  <c r="W216" i="1"/>
  <c r="AG216" i="1" s="1"/>
  <c r="X216" i="1"/>
  <c r="AH216" i="1" s="1"/>
  <c r="Y216" i="1"/>
  <c r="AI216" i="1" s="1"/>
  <c r="Z216" i="1"/>
  <c r="AJ216" i="1" s="1"/>
  <c r="V217" i="1"/>
  <c r="AF217" i="1" s="1"/>
  <c r="W217" i="1"/>
  <c r="AG217" i="1" s="1"/>
  <c r="X217" i="1"/>
  <c r="AH217" i="1" s="1"/>
  <c r="Y217" i="1"/>
  <c r="AI217" i="1" s="1"/>
  <c r="Z217" i="1"/>
  <c r="AJ217" i="1" s="1"/>
  <c r="V218" i="1"/>
  <c r="AF218" i="1" s="1"/>
  <c r="W218" i="1"/>
  <c r="AG218" i="1" s="1"/>
  <c r="X218" i="1"/>
  <c r="AH218" i="1" s="1"/>
  <c r="Y218" i="1"/>
  <c r="AI218" i="1" s="1"/>
  <c r="Z218" i="1"/>
  <c r="AJ218" i="1" s="1"/>
  <c r="V219" i="1"/>
  <c r="AF219" i="1" s="1"/>
  <c r="W219" i="1"/>
  <c r="AG219" i="1" s="1"/>
  <c r="X219" i="1"/>
  <c r="AH219" i="1" s="1"/>
  <c r="Y219" i="1"/>
  <c r="AI219" i="1" s="1"/>
  <c r="Z219" i="1"/>
  <c r="AJ219" i="1" s="1"/>
  <c r="V220" i="1"/>
  <c r="AF220" i="1" s="1"/>
  <c r="W220" i="1"/>
  <c r="AG220" i="1" s="1"/>
  <c r="X220" i="1"/>
  <c r="AH220" i="1" s="1"/>
  <c r="Y220" i="1"/>
  <c r="AI220" i="1" s="1"/>
  <c r="Z220" i="1"/>
  <c r="AJ220" i="1" s="1"/>
  <c r="V221" i="1"/>
  <c r="AF221" i="1" s="1"/>
  <c r="W221" i="1"/>
  <c r="AG221" i="1" s="1"/>
  <c r="X221" i="1"/>
  <c r="AH221" i="1" s="1"/>
  <c r="Y221" i="1"/>
  <c r="AI221" i="1" s="1"/>
  <c r="Z221" i="1"/>
  <c r="AJ221" i="1" s="1"/>
  <c r="V222" i="1"/>
  <c r="AF222" i="1" s="1"/>
  <c r="W222" i="1"/>
  <c r="AG222" i="1" s="1"/>
  <c r="X222" i="1"/>
  <c r="AH222" i="1" s="1"/>
  <c r="Y222" i="1"/>
  <c r="AI222" i="1" s="1"/>
  <c r="Z222" i="1"/>
  <c r="AJ222" i="1" s="1"/>
  <c r="V223" i="1"/>
  <c r="AF223" i="1" s="1"/>
  <c r="W223" i="1"/>
  <c r="AG223" i="1" s="1"/>
  <c r="X223" i="1"/>
  <c r="AH223" i="1" s="1"/>
  <c r="Y223" i="1"/>
  <c r="AI223" i="1" s="1"/>
  <c r="Z223" i="1"/>
  <c r="AJ223" i="1" s="1"/>
  <c r="V224" i="1"/>
  <c r="AF224" i="1" s="1"/>
  <c r="W224" i="1"/>
  <c r="AG224" i="1" s="1"/>
  <c r="X224" i="1"/>
  <c r="AH224" i="1" s="1"/>
  <c r="Y224" i="1"/>
  <c r="AI224" i="1" s="1"/>
  <c r="Z224" i="1"/>
  <c r="AJ224" i="1" s="1"/>
  <c r="V225" i="1"/>
  <c r="AF225" i="1" s="1"/>
  <c r="W225" i="1"/>
  <c r="AG225" i="1" s="1"/>
  <c r="X225" i="1"/>
  <c r="AH225" i="1" s="1"/>
  <c r="Y225" i="1"/>
  <c r="AI225" i="1" s="1"/>
  <c r="Z225" i="1"/>
  <c r="AJ225" i="1" s="1"/>
  <c r="V226" i="1"/>
  <c r="AF226" i="1" s="1"/>
  <c r="W226" i="1"/>
  <c r="AG226" i="1" s="1"/>
  <c r="X226" i="1"/>
  <c r="AH226" i="1" s="1"/>
  <c r="Y226" i="1"/>
  <c r="AI226" i="1" s="1"/>
  <c r="Z226" i="1"/>
  <c r="AJ226" i="1" s="1"/>
  <c r="V227" i="1"/>
  <c r="AF227" i="1" s="1"/>
  <c r="W227" i="1"/>
  <c r="AG227" i="1" s="1"/>
  <c r="X227" i="1"/>
  <c r="AH227" i="1" s="1"/>
  <c r="Y227" i="1"/>
  <c r="AI227" i="1" s="1"/>
  <c r="Z227" i="1"/>
  <c r="AJ227" i="1" s="1"/>
  <c r="V228" i="1"/>
  <c r="AF228" i="1" s="1"/>
  <c r="W228" i="1"/>
  <c r="AG228" i="1" s="1"/>
  <c r="X228" i="1"/>
  <c r="AH228" i="1" s="1"/>
  <c r="Y228" i="1"/>
  <c r="AI228" i="1" s="1"/>
  <c r="Z228" i="1"/>
  <c r="AJ228" i="1" s="1"/>
  <c r="V229" i="1"/>
  <c r="AF229" i="1" s="1"/>
  <c r="W229" i="1"/>
  <c r="AG229" i="1" s="1"/>
  <c r="X229" i="1"/>
  <c r="AH229" i="1" s="1"/>
  <c r="Y229" i="1"/>
  <c r="AI229" i="1" s="1"/>
  <c r="Z229" i="1"/>
  <c r="AJ229" i="1" s="1"/>
  <c r="V230" i="1"/>
  <c r="AF230" i="1" s="1"/>
  <c r="W230" i="1"/>
  <c r="AG230" i="1" s="1"/>
  <c r="X230" i="1"/>
  <c r="AH230" i="1" s="1"/>
  <c r="Y230" i="1"/>
  <c r="AI230" i="1" s="1"/>
  <c r="Z230" i="1"/>
  <c r="AJ230" i="1" s="1"/>
  <c r="V231" i="1"/>
  <c r="AF231" i="1" s="1"/>
  <c r="W231" i="1"/>
  <c r="AG231" i="1" s="1"/>
  <c r="X231" i="1"/>
  <c r="AH231" i="1" s="1"/>
  <c r="Y231" i="1"/>
  <c r="AI231" i="1" s="1"/>
  <c r="Z231" i="1"/>
  <c r="AJ231" i="1" s="1"/>
  <c r="V232" i="1"/>
  <c r="AF232" i="1" s="1"/>
  <c r="W232" i="1"/>
  <c r="AG232" i="1" s="1"/>
  <c r="X232" i="1"/>
  <c r="AH232" i="1" s="1"/>
  <c r="Y232" i="1"/>
  <c r="AI232" i="1" s="1"/>
  <c r="Z232" i="1"/>
  <c r="AJ232" i="1" s="1"/>
  <c r="V233" i="1"/>
  <c r="AF233" i="1" s="1"/>
  <c r="W233" i="1"/>
  <c r="AG233" i="1" s="1"/>
  <c r="X233" i="1"/>
  <c r="AH233" i="1" s="1"/>
  <c r="Y233" i="1"/>
  <c r="AI233" i="1" s="1"/>
  <c r="Z233" i="1"/>
  <c r="AJ233" i="1" s="1"/>
  <c r="V234" i="1"/>
  <c r="AF234" i="1" s="1"/>
  <c r="W234" i="1"/>
  <c r="AG234" i="1" s="1"/>
  <c r="X234" i="1"/>
  <c r="AH234" i="1" s="1"/>
  <c r="Y234" i="1"/>
  <c r="AI234" i="1" s="1"/>
  <c r="Z234" i="1"/>
  <c r="AJ234" i="1" s="1"/>
  <c r="V235" i="1"/>
  <c r="AF235" i="1" s="1"/>
  <c r="W235" i="1"/>
  <c r="AG235" i="1" s="1"/>
  <c r="X235" i="1"/>
  <c r="AH235" i="1" s="1"/>
  <c r="Y235" i="1"/>
  <c r="AI235" i="1" s="1"/>
  <c r="Z235" i="1"/>
  <c r="AJ235" i="1" s="1"/>
  <c r="V236" i="1"/>
  <c r="AF236" i="1" s="1"/>
  <c r="W236" i="1"/>
  <c r="AG236" i="1" s="1"/>
  <c r="X236" i="1"/>
  <c r="AH236" i="1" s="1"/>
  <c r="Y236" i="1"/>
  <c r="AI236" i="1" s="1"/>
  <c r="Z236" i="1"/>
  <c r="AJ236" i="1" s="1"/>
  <c r="V237" i="1"/>
  <c r="AF237" i="1" s="1"/>
  <c r="W237" i="1"/>
  <c r="AG237" i="1" s="1"/>
  <c r="X237" i="1"/>
  <c r="AH237" i="1" s="1"/>
  <c r="Y237" i="1"/>
  <c r="AI237" i="1" s="1"/>
  <c r="Z237" i="1"/>
  <c r="AJ237" i="1" s="1"/>
  <c r="V238" i="1"/>
  <c r="AF238" i="1" s="1"/>
  <c r="W238" i="1"/>
  <c r="AG238" i="1" s="1"/>
  <c r="X238" i="1"/>
  <c r="AH238" i="1" s="1"/>
  <c r="Y238" i="1"/>
  <c r="AI238" i="1" s="1"/>
  <c r="Z238" i="1"/>
  <c r="AJ238" i="1" s="1"/>
  <c r="V239" i="1"/>
  <c r="AF239" i="1" s="1"/>
  <c r="W239" i="1"/>
  <c r="AG239" i="1" s="1"/>
  <c r="X239" i="1"/>
  <c r="AH239" i="1" s="1"/>
  <c r="Y239" i="1"/>
  <c r="AI239" i="1" s="1"/>
  <c r="Z239" i="1"/>
  <c r="AJ239" i="1" s="1"/>
  <c r="V240" i="1"/>
  <c r="AF240" i="1" s="1"/>
  <c r="W240" i="1"/>
  <c r="AG240" i="1" s="1"/>
  <c r="X240" i="1"/>
  <c r="AH240" i="1" s="1"/>
  <c r="Y240" i="1"/>
  <c r="AI240" i="1" s="1"/>
  <c r="Z240" i="1"/>
  <c r="AJ240" i="1" s="1"/>
  <c r="V241" i="1"/>
  <c r="AF241" i="1" s="1"/>
  <c r="W241" i="1"/>
  <c r="AG241" i="1" s="1"/>
  <c r="X241" i="1"/>
  <c r="AH241" i="1" s="1"/>
  <c r="Y241" i="1"/>
  <c r="AI241" i="1" s="1"/>
  <c r="Z241" i="1"/>
  <c r="AJ241" i="1" s="1"/>
  <c r="V242" i="1"/>
  <c r="AF242" i="1" s="1"/>
  <c r="W242" i="1"/>
  <c r="AG242" i="1" s="1"/>
  <c r="X242" i="1"/>
  <c r="AH242" i="1" s="1"/>
  <c r="Y242" i="1"/>
  <c r="AI242" i="1" s="1"/>
  <c r="Z242" i="1"/>
  <c r="AJ242" i="1" s="1"/>
  <c r="V243" i="1"/>
  <c r="AF243" i="1" s="1"/>
  <c r="W243" i="1"/>
  <c r="AG243" i="1" s="1"/>
  <c r="X243" i="1"/>
  <c r="AH243" i="1" s="1"/>
  <c r="Y243" i="1"/>
  <c r="AI243" i="1" s="1"/>
  <c r="Z243" i="1"/>
  <c r="AJ243" i="1" s="1"/>
  <c r="V244" i="1"/>
  <c r="AF244" i="1" s="1"/>
  <c r="W244" i="1"/>
  <c r="AG244" i="1" s="1"/>
  <c r="X244" i="1"/>
  <c r="AH244" i="1" s="1"/>
  <c r="Y244" i="1"/>
  <c r="AI244" i="1" s="1"/>
  <c r="Z244" i="1"/>
  <c r="AJ244" i="1" s="1"/>
  <c r="V245" i="1"/>
  <c r="AF245" i="1" s="1"/>
  <c r="W245" i="1"/>
  <c r="AG245" i="1" s="1"/>
  <c r="X245" i="1"/>
  <c r="AH245" i="1" s="1"/>
  <c r="Y245" i="1"/>
  <c r="AI245" i="1" s="1"/>
  <c r="Z245" i="1"/>
  <c r="AJ245" i="1" s="1"/>
  <c r="V246" i="1"/>
  <c r="AF246" i="1" s="1"/>
  <c r="W246" i="1"/>
  <c r="AG246" i="1" s="1"/>
  <c r="X246" i="1"/>
  <c r="AH246" i="1" s="1"/>
  <c r="Y246" i="1"/>
  <c r="AI246" i="1" s="1"/>
  <c r="Z246" i="1"/>
  <c r="AJ246" i="1" s="1"/>
  <c r="V247" i="1"/>
  <c r="AF247" i="1" s="1"/>
  <c r="W247" i="1"/>
  <c r="AG247" i="1" s="1"/>
  <c r="X247" i="1"/>
  <c r="AH247" i="1" s="1"/>
  <c r="Y247" i="1"/>
  <c r="AI247" i="1" s="1"/>
  <c r="Z247" i="1"/>
  <c r="AJ247" i="1" s="1"/>
  <c r="V248" i="1"/>
  <c r="AF248" i="1" s="1"/>
  <c r="W248" i="1"/>
  <c r="AG248" i="1" s="1"/>
  <c r="X248" i="1"/>
  <c r="AH248" i="1" s="1"/>
  <c r="Y248" i="1"/>
  <c r="AI248" i="1" s="1"/>
  <c r="Z248" i="1"/>
  <c r="AJ248" i="1" s="1"/>
  <c r="V249" i="1"/>
  <c r="AF249" i="1" s="1"/>
  <c r="W249" i="1"/>
  <c r="AG249" i="1" s="1"/>
  <c r="X249" i="1"/>
  <c r="AH249" i="1" s="1"/>
  <c r="Y249" i="1"/>
  <c r="AI249" i="1" s="1"/>
  <c r="Z249" i="1"/>
  <c r="AJ249" i="1" s="1"/>
  <c r="V250" i="1"/>
  <c r="AF250" i="1" s="1"/>
  <c r="W250" i="1"/>
  <c r="AG250" i="1" s="1"/>
  <c r="X250" i="1"/>
  <c r="AH250" i="1" s="1"/>
  <c r="Y250" i="1"/>
  <c r="AI250" i="1" s="1"/>
  <c r="Z250" i="1"/>
  <c r="AJ250" i="1" s="1"/>
  <c r="V251" i="1"/>
  <c r="AF251" i="1" s="1"/>
  <c r="W251" i="1"/>
  <c r="AG251" i="1" s="1"/>
  <c r="X251" i="1"/>
  <c r="AH251" i="1" s="1"/>
  <c r="Y251" i="1"/>
  <c r="AI251" i="1" s="1"/>
  <c r="Z251" i="1"/>
  <c r="AJ251" i="1" s="1"/>
  <c r="V252" i="1"/>
  <c r="AF252" i="1" s="1"/>
  <c r="W252" i="1"/>
  <c r="AG252" i="1" s="1"/>
  <c r="X252" i="1"/>
  <c r="AH252" i="1" s="1"/>
  <c r="Y252" i="1"/>
  <c r="AI252" i="1" s="1"/>
  <c r="Z252" i="1"/>
  <c r="AJ252" i="1" s="1"/>
  <c r="V253" i="1"/>
  <c r="AF253" i="1" s="1"/>
  <c r="W253" i="1"/>
  <c r="AG253" i="1" s="1"/>
  <c r="X253" i="1"/>
  <c r="AH253" i="1" s="1"/>
  <c r="Y253" i="1"/>
  <c r="AI253" i="1" s="1"/>
  <c r="Z253" i="1"/>
  <c r="AJ253" i="1" s="1"/>
  <c r="V254" i="1"/>
  <c r="AF254" i="1" s="1"/>
  <c r="W254" i="1"/>
  <c r="AG254" i="1" s="1"/>
  <c r="X254" i="1"/>
  <c r="AH254" i="1" s="1"/>
  <c r="Y254" i="1"/>
  <c r="AI254" i="1" s="1"/>
  <c r="Z254" i="1"/>
  <c r="AJ254" i="1" s="1"/>
  <c r="V255" i="1"/>
  <c r="AF255" i="1" s="1"/>
  <c r="W255" i="1"/>
  <c r="AG255" i="1" s="1"/>
  <c r="X255" i="1"/>
  <c r="AH255" i="1" s="1"/>
  <c r="Y255" i="1"/>
  <c r="AI255" i="1" s="1"/>
  <c r="Z255" i="1"/>
  <c r="AJ255" i="1" s="1"/>
  <c r="V256" i="1"/>
  <c r="AF256" i="1" s="1"/>
  <c r="W256" i="1"/>
  <c r="AG256" i="1" s="1"/>
  <c r="X256" i="1"/>
  <c r="AH256" i="1" s="1"/>
  <c r="Y256" i="1"/>
  <c r="AI256" i="1" s="1"/>
  <c r="Z256" i="1"/>
  <c r="AJ256" i="1" s="1"/>
  <c r="V257" i="1"/>
  <c r="AF257" i="1" s="1"/>
  <c r="W257" i="1"/>
  <c r="AG257" i="1" s="1"/>
  <c r="X257" i="1"/>
  <c r="AH257" i="1" s="1"/>
  <c r="Y257" i="1"/>
  <c r="AI257" i="1" s="1"/>
  <c r="Z257" i="1"/>
  <c r="AJ257" i="1" s="1"/>
  <c r="V258" i="1"/>
  <c r="AF258" i="1" s="1"/>
  <c r="W258" i="1"/>
  <c r="AG258" i="1" s="1"/>
  <c r="X258" i="1"/>
  <c r="AH258" i="1" s="1"/>
  <c r="Y258" i="1"/>
  <c r="AI258" i="1" s="1"/>
  <c r="Z258" i="1"/>
  <c r="AJ258" i="1" s="1"/>
  <c r="V259" i="1"/>
  <c r="AF259" i="1" s="1"/>
  <c r="W259" i="1"/>
  <c r="AG259" i="1" s="1"/>
  <c r="X259" i="1"/>
  <c r="AH259" i="1" s="1"/>
  <c r="Y259" i="1"/>
  <c r="AI259" i="1" s="1"/>
  <c r="Z259" i="1"/>
  <c r="AJ259" i="1" s="1"/>
  <c r="V260" i="1"/>
  <c r="AF260" i="1" s="1"/>
  <c r="W260" i="1"/>
  <c r="AG260" i="1" s="1"/>
  <c r="X260" i="1"/>
  <c r="AH260" i="1" s="1"/>
  <c r="Y260" i="1"/>
  <c r="AI260" i="1" s="1"/>
  <c r="Z260" i="1"/>
  <c r="AJ260" i="1" s="1"/>
  <c r="V261" i="1"/>
  <c r="AF261" i="1" s="1"/>
  <c r="W261" i="1"/>
  <c r="AG261" i="1" s="1"/>
  <c r="X261" i="1"/>
  <c r="AH261" i="1" s="1"/>
  <c r="Y261" i="1"/>
  <c r="AI261" i="1" s="1"/>
  <c r="Z261" i="1"/>
  <c r="AJ261" i="1" s="1"/>
  <c r="V262" i="1"/>
  <c r="AF262" i="1" s="1"/>
  <c r="W262" i="1"/>
  <c r="AG262" i="1" s="1"/>
  <c r="X262" i="1"/>
  <c r="AH262" i="1" s="1"/>
  <c r="Y262" i="1"/>
  <c r="AI262" i="1" s="1"/>
  <c r="Z262" i="1"/>
  <c r="AJ262" i="1" s="1"/>
  <c r="V263" i="1"/>
  <c r="AF263" i="1" s="1"/>
  <c r="W263" i="1"/>
  <c r="AG263" i="1" s="1"/>
  <c r="X263" i="1"/>
  <c r="AH263" i="1" s="1"/>
  <c r="Y263" i="1"/>
  <c r="AI263" i="1" s="1"/>
  <c r="Z263" i="1"/>
  <c r="AJ263" i="1" s="1"/>
  <c r="V264" i="1"/>
  <c r="AF264" i="1" s="1"/>
  <c r="W264" i="1"/>
  <c r="AG264" i="1" s="1"/>
  <c r="X264" i="1"/>
  <c r="AH264" i="1" s="1"/>
  <c r="Y264" i="1"/>
  <c r="AI264" i="1" s="1"/>
  <c r="Z264" i="1"/>
  <c r="AJ264" i="1" s="1"/>
  <c r="V265" i="1"/>
  <c r="AF265" i="1" s="1"/>
  <c r="W265" i="1"/>
  <c r="AG265" i="1" s="1"/>
  <c r="X265" i="1"/>
  <c r="AH265" i="1" s="1"/>
  <c r="Y265" i="1"/>
  <c r="AI265" i="1" s="1"/>
  <c r="Z265" i="1"/>
  <c r="AJ265" i="1" s="1"/>
  <c r="V266" i="1"/>
  <c r="AF266" i="1" s="1"/>
  <c r="W266" i="1"/>
  <c r="AG266" i="1" s="1"/>
  <c r="X266" i="1"/>
  <c r="AH266" i="1" s="1"/>
  <c r="Y266" i="1"/>
  <c r="AI266" i="1" s="1"/>
  <c r="Z266" i="1"/>
  <c r="AJ266" i="1" s="1"/>
  <c r="V267" i="1"/>
  <c r="AF267" i="1" s="1"/>
  <c r="W267" i="1"/>
  <c r="AG267" i="1" s="1"/>
  <c r="X267" i="1"/>
  <c r="AH267" i="1" s="1"/>
  <c r="Y267" i="1"/>
  <c r="AI267" i="1" s="1"/>
  <c r="Z267" i="1"/>
  <c r="AJ267" i="1" s="1"/>
  <c r="V268" i="1"/>
  <c r="AF268" i="1" s="1"/>
  <c r="W268" i="1"/>
  <c r="AG268" i="1" s="1"/>
  <c r="X268" i="1"/>
  <c r="AH268" i="1" s="1"/>
  <c r="Y268" i="1"/>
  <c r="AI268" i="1" s="1"/>
  <c r="Z268" i="1"/>
  <c r="AJ268" i="1" s="1"/>
  <c r="V269" i="1"/>
  <c r="AF269" i="1" s="1"/>
  <c r="W269" i="1"/>
  <c r="AG269" i="1" s="1"/>
  <c r="X269" i="1"/>
  <c r="AH269" i="1" s="1"/>
  <c r="Y269" i="1"/>
  <c r="AI269" i="1" s="1"/>
  <c r="Z269" i="1"/>
  <c r="AJ269" i="1" s="1"/>
  <c r="V270" i="1"/>
  <c r="AF270" i="1" s="1"/>
  <c r="W270" i="1"/>
  <c r="AG270" i="1" s="1"/>
  <c r="X270" i="1"/>
  <c r="AH270" i="1" s="1"/>
  <c r="Y270" i="1"/>
  <c r="AI270" i="1" s="1"/>
  <c r="Z270" i="1"/>
  <c r="AJ270" i="1" s="1"/>
  <c r="V271" i="1"/>
  <c r="AF271" i="1" s="1"/>
  <c r="W271" i="1"/>
  <c r="AG271" i="1" s="1"/>
  <c r="X271" i="1"/>
  <c r="AH271" i="1" s="1"/>
  <c r="Y271" i="1"/>
  <c r="AI271" i="1" s="1"/>
  <c r="Z271" i="1"/>
  <c r="AJ271" i="1" s="1"/>
  <c r="V272" i="1"/>
  <c r="AF272" i="1" s="1"/>
  <c r="W272" i="1"/>
  <c r="AG272" i="1" s="1"/>
  <c r="X272" i="1"/>
  <c r="AH272" i="1" s="1"/>
  <c r="Y272" i="1"/>
  <c r="AI272" i="1" s="1"/>
  <c r="Z272" i="1"/>
  <c r="AJ272" i="1" s="1"/>
  <c r="V273" i="1"/>
  <c r="AF273" i="1" s="1"/>
  <c r="W273" i="1"/>
  <c r="AG273" i="1" s="1"/>
  <c r="X273" i="1"/>
  <c r="AH273" i="1" s="1"/>
  <c r="Y273" i="1"/>
  <c r="AI273" i="1" s="1"/>
  <c r="Z273" i="1"/>
  <c r="AJ273" i="1" s="1"/>
  <c r="V274" i="1"/>
  <c r="AF274" i="1" s="1"/>
  <c r="W274" i="1"/>
  <c r="AG274" i="1" s="1"/>
  <c r="X274" i="1"/>
  <c r="AH274" i="1" s="1"/>
  <c r="Y274" i="1"/>
  <c r="AI274" i="1" s="1"/>
  <c r="Z274" i="1"/>
  <c r="AJ274" i="1" s="1"/>
  <c r="V275" i="1"/>
  <c r="AF275" i="1" s="1"/>
  <c r="W275" i="1"/>
  <c r="AG275" i="1" s="1"/>
  <c r="X275" i="1"/>
  <c r="AH275" i="1" s="1"/>
  <c r="Y275" i="1"/>
  <c r="AI275" i="1" s="1"/>
  <c r="Z275" i="1"/>
  <c r="AJ275" i="1" s="1"/>
  <c r="V276" i="1"/>
  <c r="AF276" i="1" s="1"/>
  <c r="W276" i="1"/>
  <c r="AG276" i="1" s="1"/>
  <c r="X276" i="1"/>
  <c r="AH276" i="1" s="1"/>
  <c r="Y276" i="1"/>
  <c r="AI276" i="1" s="1"/>
  <c r="Z276" i="1"/>
  <c r="AJ276" i="1" s="1"/>
  <c r="V277" i="1"/>
  <c r="AF277" i="1" s="1"/>
  <c r="W277" i="1"/>
  <c r="AG277" i="1" s="1"/>
  <c r="X277" i="1"/>
  <c r="AH277" i="1" s="1"/>
  <c r="Y277" i="1"/>
  <c r="AI277" i="1" s="1"/>
  <c r="Z277" i="1"/>
  <c r="AJ277" i="1" s="1"/>
  <c r="V278" i="1"/>
  <c r="AF278" i="1" s="1"/>
  <c r="W278" i="1"/>
  <c r="AG278" i="1" s="1"/>
  <c r="X278" i="1"/>
  <c r="AH278" i="1" s="1"/>
  <c r="Y278" i="1"/>
  <c r="AI278" i="1" s="1"/>
  <c r="Z278" i="1"/>
  <c r="AJ278" i="1" s="1"/>
  <c r="V279" i="1"/>
  <c r="AF279" i="1" s="1"/>
  <c r="W279" i="1"/>
  <c r="AG279" i="1" s="1"/>
  <c r="X279" i="1"/>
  <c r="AH279" i="1" s="1"/>
  <c r="Y279" i="1"/>
  <c r="AI279" i="1" s="1"/>
  <c r="Z279" i="1"/>
  <c r="AJ279" i="1" s="1"/>
  <c r="V280" i="1"/>
  <c r="AF280" i="1" s="1"/>
  <c r="W280" i="1"/>
  <c r="AG280" i="1" s="1"/>
  <c r="X280" i="1"/>
  <c r="AH280" i="1" s="1"/>
  <c r="Y280" i="1"/>
  <c r="AI280" i="1" s="1"/>
  <c r="Z280" i="1"/>
  <c r="AJ280" i="1" s="1"/>
  <c r="V281" i="1"/>
  <c r="AF281" i="1" s="1"/>
  <c r="W281" i="1"/>
  <c r="AG281" i="1" s="1"/>
  <c r="X281" i="1"/>
  <c r="AH281" i="1" s="1"/>
  <c r="Y281" i="1"/>
  <c r="AI281" i="1" s="1"/>
  <c r="Z281" i="1"/>
  <c r="AJ281" i="1" s="1"/>
  <c r="V282" i="1"/>
  <c r="AF282" i="1" s="1"/>
  <c r="W282" i="1"/>
  <c r="AG282" i="1" s="1"/>
  <c r="X282" i="1"/>
  <c r="AH282" i="1" s="1"/>
  <c r="Y282" i="1"/>
  <c r="AI282" i="1" s="1"/>
  <c r="Z282" i="1"/>
  <c r="AJ282" i="1" s="1"/>
  <c r="V283" i="1"/>
  <c r="AF283" i="1" s="1"/>
  <c r="W283" i="1"/>
  <c r="AG283" i="1" s="1"/>
  <c r="X283" i="1"/>
  <c r="AH283" i="1" s="1"/>
  <c r="Y283" i="1"/>
  <c r="AI283" i="1" s="1"/>
  <c r="Z283" i="1"/>
  <c r="AJ283" i="1" s="1"/>
  <c r="V284" i="1"/>
  <c r="AF284" i="1" s="1"/>
  <c r="W284" i="1"/>
  <c r="AG284" i="1" s="1"/>
  <c r="X284" i="1"/>
  <c r="AH284" i="1" s="1"/>
  <c r="Y284" i="1"/>
  <c r="AI284" i="1" s="1"/>
  <c r="Z284" i="1"/>
  <c r="AJ284" i="1" s="1"/>
  <c r="V285" i="1"/>
  <c r="AF285" i="1" s="1"/>
  <c r="W285" i="1"/>
  <c r="AG285" i="1" s="1"/>
  <c r="X285" i="1"/>
  <c r="AH285" i="1" s="1"/>
  <c r="Y285" i="1"/>
  <c r="AI285" i="1" s="1"/>
  <c r="Z285" i="1"/>
  <c r="AJ285" i="1" s="1"/>
  <c r="V286" i="1"/>
  <c r="AF286" i="1" s="1"/>
  <c r="W286" i="1"/>
  <c r="AG286" i="1" s="1"/>
  <c r="X286" i="1"/>
  <c r="AH286" i="1" s="1"/>
  <c r="Y286" i="1"/>
  <c r="AI286" i="1" s="1"/>
  <c r="Z286" i="1"/>
  <c r="AJ286" i="1" s="1"/>
  <c r="V287" i="1"/>
  <c r="AF287" i="1" s="1"/>
  <c r="W287" i="1"/>
  <c r="AG287" i="1" s="1"/>
  <c r="X287" i="1"/>
  <c r="AH287" i="1" s="1"/>
  <c r="Y287" i="1"/>
  <c r="AI287" i="1" s="1"/>
  <c r="Z287" i="1"/>
  <c r="AJ287" i="1" s="1"/>
  <c r="V288" i="1"/>
  <c r="AF288" i="1" s="1"/>
  <c r="W288" i="1"/>
  <c r="AG288" i="1" s="1"/>
  <c r="X288" i="1"/>
  <c r="AH288" i="1" s="1"/>
  <c r="Y288" i="1"/>
  <c r="AI288" i="1" s="1"/>
  <c r="Z288" i="1"/>
  <c r="AJ288" i="1" s="1"/>
  <c r="V289" i="1"/>
  <c r="AF289" i="1" s="1"/>
  <c r="W289" i="1"/>
  <c r="AG289" i="1" s="1"/>
  <c r="X289" i="1"/>
  <c r="AH289" i="1" s="1"/>
  <c r="Y289" i="1"/>
  <c r="AI289" i="1" s="1"/>
  <c r="Z289" i="1"/>
  <c r="AJ289" i="1" s="1"/>
  <c r="V290" i="1"/>
  <c r="AF290" i="1" s="1"/>
  <c r="W290" i="1"/>
  <c r="AG290" i="1" s="1"/>
  <c r="X290" i="1"/>
  <c r="AH290" i="1" s="1"/>
  <c r="Y290" i="1"/>
  <c r="AI290" i="1" s="1"/>
  <c r="Z290" i="1"/>
  <c r="AJ290" i="1" s="1"/>
  <c r="V291" i="1"/>
  <c r="AF291" i="1" s="1"/>
  <c r="W291" i="1"/>
  <c r="AG291" i="1" s="1"/>
  <c r="X291" i="1"/>
  <c r="AH291" i="1" s="1"/>
  <c r="Y291" i="1"/>
  <c r="AI291" i="1" s="1"/>
  <c r="Z291" i="1"/>
  <c r="AJ291" i="1" s="1"/>
  <c r="V292" i="1"/>
  <c r="AF292" i="1" s="1"/>
  <c r="W292" i="1"/>
  <c r="AG292" i="1" s="1"/>
  <c r="X292" i="1"/>
  <c r="AH292" i="1" s="1"/>
  <c r="Y292" i="1"/>
  <c r="AI292" i="1" s="1"/>
  <c r="Z292" i="1"/>
  <c r="AJ292" i="1" s="1"/>
  <c r="V293" i="1"/>
  <c r="AF293" i="1" s="1"/>
  <c r="W293" i="1"/>
  <c r="AG293" i="1" s="1"/>
  <c r="X293" i="1"/>
  <c r="AH293" i="1" s="1"/>
  <c r="Y293" i="1"/>
  <c r="AI293" i="1" s="1"/>
  <c r="Z293" i="1"/>
  <c r="AJ293" i="1" s="1"/>
  <c r="V294" i="1"/>
  <c r="AF294" i="1" s="1"/>
  <c r="W294" i="1"/>
  <c r="AG294" i="1" s="1"/>
  <c r="X294" i="1"/>
  <c r="AH294" i="1" s="1"/>
  <c r="Y294" i="1"/>
  <c r="AI294" i="1" s="1"/>
  <c r="Z294" i="1"/>
  <c r="AJ294" i="1" s="1"/>
  <c r="V295" i="1"/>
  <c r="AF295" i="1" s="1"/>
  <c r="W295" i="1"/>
  <c r="AG295" i="1" s="1"/>
  <c r="X295" i="1"/>
  <c r="AH295" i="1" s="1"/>
  <c r="Y295" i="1"/>
  <c r="AI295" i="1" s="1"/>
  <c r="Z295" i="1"/>
  <c r="AJ295" i="1" s="1"/>
  <c r="V296" i="1"/>
  <c r="AF296" i="1" s="1"/>
  <c r="W296" i="1"/>
  <c r="AG296" i="1" s="1"/>
  <c r="X296" i="1"/>
  <c r="AH296" i="1" s="1"/>
  <c r="Y296" i="1"/>
  <c r="AI296" i="1" s="1"/>
  <c r="Z296" i="1"/>
  <c r="AJ296" i="1" s="1"/>
  <c r="V297" i="1"/>
  <c r="AF297" i="1" s="1"/>
  <c r="W297" i="1"/>
  <c r="AG297" i="1" s="1"/>
  <c r="X297" i="1"/>
  <c r="AH297" i="1" s="1"/>
  <c r="Y297" i="1"/>
  <c r="AI297" i="1" s="1"/>
  <c r="Z297" i="1"/>
  <c r="AJ297" i="1" s="1"/>
  <c r="V298" i="1"/>
  <c r="AF298" i="1" s="1"/>
  <c r="W298" i="1"/>
  <c r="AG298" i="1" s="1"/>
  <c r="X298" i="1"/>
  <c r="AH298" i="1" s="1"/>
  <c r="Y298" i="1"/>
  <c r="AI298" i="1" s="1"/>
  <c r="Z298" i="1"/>
  <c r="AJ298" i="1" s="1"/>
  <c r="V299" i="1"/>
  <c r="AF299" i="1" s="1"/>
  <c r="W299" i="1"/>
  <c r="AG299" i="1" s="1"/>
  <c r="X299" i="1"/>
  <c r="AH299" i="1" s="1"/>
  <c r="Y299" i="1"/>
  <c r="AI299" i="1" s="1"/>
  <c r="Z299" i="1"/>
  <c r="AJ299" i="1" s="1"/>
  <c r="V300" i="1"/>
  <c r="AF300" i="1" s="1"/>
  <c r="W300" i="1"/>
  <c r="AG300" i="1" s="1"/>
  <c r="X300" i="1"/>
  <c r="AH300" i="1" s="1"/>
  <c r="Y300" i="1"/>
  <c r="AI300" i="1" s="1"/>
  <c r="Z300" i="1"/>
  <c r="AJ300" i="1" s="1"/>
  <c r="V301" i="1"/>
  <c r="AF301" i="1" s="1"/>
  <c r="W301" i="1"/>
  <c r="AG301" i="1" s="1"/>
  <c r="X301" i="1"/>
  <c r="AH301" i="1" s="1"/>
  <c r="Y301" i="1"/>
  <c r="AI301" i="1" s="1"/>
  <c r="Z301" i="1"/>
  <c r="AJ301" i="1" s="1"/>
  <c r="V302" i="1"/>
  <c r="AF302" i="1" s="1"/>
  <c r="W302" i="1"/>
  <c r="AG302" i="1" s="1"/>
  <c r="X302" i="1"/>
  <c r="AH302" i="1" s="1"/>
  <c r="Y302" i="1"/>
  <c r="AI302" i="1" s="1"/>
  <c r="Z302" i="1"/>
  <c r="AJ302" i="1" s="1"/>
  <c r="V303" i="1"/>
  <c r="AF303" i="1" s="1"/>
  <c r="W303" i="1"/>
  <c r="AG303" i="1" s="1"/>
  <c r="X303" i="1"/>
  <c r="AH303" i="1" s="1"/>
  <c r="Y303" i="1"/>
  <c r="AI303" i="1" s="1"/>
  <c r="Z303" i="1"/>
  <c r="AJ303" i="1" s="1"/>
  <c r="V304" i="1"/>
  <c r="AF304" i="1" s="1"/>
  <c r="W304" i="1"/>
  <c r="AG304" i="1" s="1"/>
  <c r="X304" i="1"/>
  <c r="AH304" i="1" s="1"/>
  <c r="Y304" i="1"/>
  <c r="AI304" i="1" s="1"/>
  <c r="Z304" i="1"/>
  <c r="AJ304" i="1" s="1"/>
  <c r="V305" i="1"/>
  <c r="AF305" i="1" s="1"/>
  <c r="W305" i="1"/>
  <c r="AG305" i="1" s="1"/>
  <c r="X305" i="1"/>
  <c r="AH305" i="1" s="1"/>
  <c r="Y305" i="1"/>
  <c r="AI305" i="1" s="1"/>
  <c r="Z305" i="1"/>
  <c r="AJ305" i="1" s="1"/>
  <c r="V306" i="1"/>
  <c r="AF306" i="1" s="1"/>
  <c r="W306" i="1"/>
  <c r="AG306" i="1" s="1"/>
  <c r="X306" i="1"/>
  <c r="AH306" i="1" s="1"/>
  <c r="Y306" i="1"/>
  <c r="AI306" i="1" s="1"/>
  <c r="Z306" i="1"/>
  <c r="AJ306" i="1" s="1"/>
  <c r="V307" i="1"/>
  <c r="AF307" i="1" s="1"/>
  <c r="W307" i="1"/>
  <c r="AG307" i="1" s="1"/>
  <c r="X307" i="1"/>
  <c r="AH307" i="1" s="1"/>
  <c r="Y307" i="1"/>
  <c r="AI307" i="1" s="1"/>
  <c r="Z307" i="1"/>
  <c r="AJ307" i="1" s="1"/>
  <c r="V308" i="1"/>
  <c r="AF308" i="1" s="1"/>
  <c r="W308" i="1"/>
  <c r="AG308" i="1" s="1"/>
  <c r="X308" i="1"/>
  <c r="AH308" i="1" s="1"/>
  <c r="Y308" i="1"/>
  <c r="AI308" i="1" s="1"/>
  <c r="Z308" i="1"/>
  <c r="AJ308" i="1" s="1"/>
  <c r="V309" i="1"/>
  <c r="AF309" i="1" s="1"/>
  <c r="W309" i="1"/>
  <c r="AG309" i="1" s="1"/>
  <c r="X309" i="1"/>
  <c r="AH309" i="1" s="1"/>
  <c r="Y309" i="1"/>
  <c r="AI309" i="1" s="1"/>
  <c r="Z309" i="1"/>
  <c r="AJ309" i="1" s="1"/>
  <c r="V310" i="1"/>
  <c r="AF310" i="1" s="1"/>
  <c r="W310" i="1"/>
  <c r="AG310" i="1" s="1"/>
  <c r="X310" i="1"/>
  <c r="AH310" i="1" s="1"/>
  <c r="Y310" i="1"/>
  <c r="AI310" i="1" s="1"/>
  <c r="Z310" i="1"/>
  <c r="AJ310" i="1" s="1"/>
  <c r="V311" i="1"/>
  <c r="AF311" i="1" s="1"/>
  <c r="W311" i="1"/>
  <c r="AG311" i="1" s="1"/>
  <c r="X311" i="1"/>
  <c r="AH311" i="1" s="1"/>
  <c r="Y311" i="1"/>
  <c r="AI311" i="1" s="1"/>
  <c r="Z311" i="1"/>
  <c r="AJ311" i="1" s="1"/>
  <c r="V312" i="1"/>
  <c r="AF312" i="1" s="1"/>
  <c r="W312" i="1"/>
  <c r="AG312" i="1" s="1"/>
  <c r="X312" i="1"/>
  <c r="AH312" i="1" s="1"/>
  <c r="Y312" i="1"/>
  <c r="AI312" i="1" s="1"/>
  <c r="Z312" i="1"/>
  <c r="AJ312" i="1" s="1"/>
  <c r="V313" i="1"/>
  <c r="AF313" i="1" s="1"/>
  <c r="W313" i="1"/>
  <c r="AG313" i="1" s="1"/>
  <c r="X313" i="1"/>
  <c r="AH313" i="1" s="1"/>
  <c r="Y313" i="1"/>
  <c r="AI313" i="1" s="1"/>
  <c r="Z313" i="1"/>
  <c r="AJ313" i="1" s="1"/>
  <c r="V314" i="1"/>
  <c r="AF314" i="1" s="1"/>
  <c r="W314" i="1"/>
  <c r="AG314" i="1" s="1"/>
  <c r="X314" i="1"/>
  <c r="AH314" i="1" s="1"/>
  <c r="Y314" i="1"/>
  <c r="AI314" i="1" s="1"/>
  <c r="Z314" i="1"/>
  <c r="AJ314" i="1" s="1"/>
  <c r="V315" i="1"/>
  <c r="AF315" i="1" s="1"/>
  <c r="W315" i="1"/>
  <c r="AG315" i="1" s="1"/>
  <c r="X315" i="1"/>
  <c r="AH315" i="1" s="1"/>
  <c r="Y315" i="1"/>
  <c r="AI315" i="1" s="1"/>
  <c r="Z315" i="1"/>
  <c r="AJ315" i="1" s="1"/>
  <c r="V316" i="1"/>
  <c r="AF316" i="1" s="1"/>
  <c r="W316" i="1"/>
  <c r="AG316" i="1" s="1"/>
  <c r="X316" i="1"/>
  <c r="AH316" i="1" s="1"/>
  <c r="Y316" i="1"/>
  <c r="AI316" i="1" s="1"/>
  <c r="Z316" i="1"/>
  <c r="AJ316" i="1" s="1"/>
  <c r="V317" i="1"/>
  <c r="AF317" i="1" s="1"/>
  <c r="W317" i="1"/>
  <c r="AG317" i="1" s="1"/>
  <c r="X317" i="1"/>
  <c r="AH317" i="1" s="1"/>
  <c r="Y317" i="1"/>
  <c r="AI317" i="1" s="1"/>
  <c r="Z317" i="1"/>
  <c r="AJ317" i="1" s="1"/>
  <c r="V318" i="1"/>
  <c r="AF318" i="1" s="1"/>
  <c r="W318" i="1"/>
  <c r="AG318" i="1" s="1"/>
  <c r="X318" i="1"/>
  <c r="AH318" i="1" s="1"/>
  <c r="Y318" i="1"/>
  <c r="AI318" i="1" s="1"/>
  <c r="Z318" i="1"/>
  <c r="AJ318" i="1" s="1"/>
  <c r="H287" i="3" l="1"/>
  <c r="M287" i="3" s="1"/>
  <c r="H299" i="3"/>
  <c r="M299" i="3" s="1"/>
  <c r="H291" i="3"/>
  <c r="M291" i="3" s="1"/>
  <c r="M52" i="7"/>
  <c r="D130" i="7"/>
  <c r="M51" i="7"/>
  <c r="D116" i="7"/>
  <c r="M50" i="7"/>
  <c r="D102" i="7"/>
  <c r="M49" i="7"/>
  <c r="D88" i="7"/>
  <c r="F88" i="7" s="1"/>
  <c r="M48" i="7"/>
  <c r="D74" i="7"/>
  <c r="F74" i="7" s="1"/>
  <c r="H261" i="3"/>
  <c r="M261" i="3" s="1"/>
  <c r="H245" i="3"/>
  <c r="M245" i="3" s="1"/>
  <c r="H283" i="3"/>
  <c r="M283" i="3" s="1"/>
  <c r="H281" i="3"/>
  <c r="M281" i="3" s="1"/>
  <c r="F256" i="3"/>
  <c r="K256" i="3" s="1"/>
  <c r="F248" i="3"/>
  <c r="K248" i="3" s="1"/>
  <c r="F296" i="3"/>
  <c r="K296" i="3" s="1"/>
  <c r="H253" i="3"/>
  <c r="M253" i="3" s="1"/>
  <c r="F240" i="3"/>
  <c r="K240" i="3" s="1"/>
  <c r="F258" i="3"/>
  <c r="K258" i="3" s="1"/>
  <c r="F236" i="3"/>
  <c r="K236" i="3" s="1"/>
  <c r="E309" i="3"/>
  <c r="J309" i="3" s="1"/>
  <c r="E316" i="3"/>
  <c r="J316" i="3" s="1"/>
  <c r="F280" i="3"/>
  <c r="K280" i="3" s="1"/>
  <c r="E312" i="3"/>
  <c r="J312" i="3" s="1"/>
  <c r="H242" i="3"/>
  <c r="M242" i="3" s="1"/>
  <c r="F290" i="3"/>
  <c r="K290" i="3" s="1"/>
  <c r="H273" i="3"/>
  <c r="M273" i="3" s="1"/>
  <c r="F264" i="3"/>
  <c r="K264" i="3" s="1"/>
  <c r="F250" i="3"/>
  <c r="K250" i="3" s="1"/>
  <c r="H251" i="3"/>
  <c r="M251" i="3" s="1"/>
  <c r="H227" i="3"/>
  <c r="M227" i="3" s="1"/>
  <c r="E318" i="3"/>
  <c r="J318" i="3" s="1"/>
  <c r="E306" i="3"/>
  <c r="J306" i="3" s="1"/>
  <c r="F270" i="3"/>
  <c r="K270" i="3" s="1"/>
  <c r="E314" i="3"/>
  <c r="J314" i="3" s="1"/>
  <c r="F288" i="3"/>
  <c r="K288" i="3" s="1"/>
  <c r="H271" i="3"/>
  <c r="M271" i="3" s="1"/>
  <c r="H243" i="3"/>
  <c r="M243" i="3" s="1"/>
  <c r="H238" i="3"/>
  <c r="M238" i="3" s="1"/>
  <c r="H229" i="3"/>
  <c r="M229" i="3" s="1"/>
  <c r="E304" i="3"/>
  <c r="J304" i="3" s="1"/>
  <c r="H295" i="3"/>
  <c r="M295" i="3" s="1"/>
  <c r="F272" i="3"/>
  <c r="K272" i="3" s="1"/>
  <c r="F226" i="3"/>
  <c r="K226" i="3" s="1"/>
  <c r="H231" i="3"/>
  <c r="M231" i="3" s="1"/>
  <c r="H221" i="3"/>
  <c r="M221" i="3" s="1"/>
  <c r="H226" i="3"/>
  <c r="M226" i="3" s="1"/>
  <c r="E305" i="3"/>
  <c r="J305" i="3" s="1"/>
  <c r="H275" i="3"/>
  <c r="M275" i="3" s="1"/>
  <c r="H255" i="3"/>
  <c r="M255" i="3" s="1"/>
  <c r="H249" i="3"/>
  <c r="M249" i="3" s="1"/>
  <c r="H235" i="3"/>
  <c r="M235" i="3" s="1"/>
  <c r="H223" i="3"/>
  <c r="M223" i="3" s="1"/>
  <c r="H303" i="3"/>
  <c r="M303" i="3" s="1"/>
  <c r="E310" i="3"/>
  <c r="J310" i="3" s="1"/>
  <c r="F266" i="3"/>
  <c r="K266" i="3" s="1"/>
  <c r="F246" i="3"/>
  <c r="K246" i="3" s="1"/>
  <c r="H265" i="3"/>
  <c r="M265" i="3" s="1"/>
  <c r="H297" i="3"/>
  <c r="M297" i="3" s="1"/>
  <c r="F282" i="3"/>
  <c r="K282" i="3" s="1"/>
  <c r="H277" i="3"/>
  <c r="M277" i="3" s="1"/>
  <c r="H267" i="3"/>
  <c r="M267" i="3" s="1"/>
  <c r="F262" i="3"/>
  <c r="K262" i="3" s="1"/>
  <c r="E313" i="3"/>
  <c r="J313" i="3" s="1"/>
  <c r="E311" i="3"/>
  <c r="J311" i="3" s="1"/>
  <c r="E308" i="3"/>
  <c r="J308" i="3" s="1"/>
  <c r="F298" i="3"/>
  <c r="K298" i="3" s="1"/>
  <c r="H293" i="3"/>
  <c r="M293" i="3" s="1"/>
  <c r="F278" i="3"/>
  <c r="K278" i="3" s="1"/>
  <c r="H257" i="3"/>
  <c r="M257" i="3" s="1"/>
  <c r="H225" i="3"/>
  <c r="M225" i="3" s="1"/>
  <c r="H289" i="3"/>
  <c r="M289" i="3" s="1"/>
  <c r="F274" i="3"/>
  <c r="K274" i="3" s="1"/>
  <c r="H269" i="3"/>
  <c r="M269" i="3" s="1"/>
  <c r="H259" i="3"/>
  <c r="M259" i="3" s="1"/>
  <c r="F254" i="3"/>
  <c r="K254" i="3" s="1"/>
  <c r="H239" i="3"/>
  <c r="M239" i="3" s="1"/>
  <c r="H234" i="3"/>
  <c r="M234" i="3" s="1"/>
  <c r="F230" i="3"/>
  <c r="K230" i="3" s="1"/>
  <c r="H230" i="3"/>
  <c r="M230" i="3" s="1"/>
  <c r="F222" i="3"/>
  <c r="K222" i="3" s="1"/>
  <c r="H222" i="3"/>
  <c r="M222" i="3" s="1"/>
  <c r="F228" i="3"/>
  <c r="K228" i="3" s="1"/>
  <c r="H228" i="3"/>
  <c r="M228" i="3" s="1"/>
  <c r="F300" i="3"/>
  <c r="K300" i="3" s="1"/>
  <c r="F294" i="3"/>
  <c r="K294" i="3" s="1"/>
  <c r="F284" i="3"/>
  <c r="K284" i="3" s="1"/>
  <c r="F242" i="3"/>
  <c r="K242" i="3" s="1"/>
  <c r="H236" i="3"/>
  <c r="M236" i="3" s="1"/>
  <c r="F234" i="3"/>
  <c r="K234" i="3" s="1"/>
  <c r="H279" i="3"/>
  <c r="M279" i="3" s="1"/>
  <c r="H263" i="3"/>
  <c r="M263" i="3" s="1"/>
  <c r="H237" i="3"/>
  <c r="M237" i="3" s="1"/>
  <c r="F220" i="3"/>
  <c r="K220" i="3" s="1"/>
  <c r="H220" i="3"/>
  <c r="M220" i="3" s="1"/>
  <c r="E317" i="3"/>
  <c r="J317" i="3" s="1"/>
  <c r="H301" i="3"/>
  <c r="M301" i="3" s="1"/>
  <c r="H285" i="3"/>
  <c r="M285" i="3" s="1"/>
  <c r="F232" i="3"/>
  <c r="K232" i="3" s="1"/>
  <c r="H232" i="3"/>
  <c r="M232" i="3" s="1"/>
  <c r="F224" i="3"/>
  <c r="K224" i="3" s="1"/>
  <c r="H224" i="3"/>
  <c r="M224" i="3" s="1"/>
  <c r="F302" i="3"/>
  <c r="K302" i="3" s="1"/>
  <c r="F292" i="3"/>
  <c r="K292" i="3" s="1"/>
  <c r="F286" i="3"/>
  <c r="K286" i="3" s="1"/>
  <c r="H240" i="3"/>
  <c r="M240" i="3" s="1"/>
  <c r="F238" i="3"/>
  <c r="K238" i="3" s="1"/>
  <c r="H241" i="3"/>
  <c r="M241" i="3" s="1"/>
  <c r="H233" i="3"/>
  <c r="M233" i="3" s="1"/>
  <c r="E315" i="3"/>
  <c r="J315" i="3" s="1"/>
  <c r="E307" i="3"/>
  <c r="J307" i="3" s="1"/>
  <c r="F276" i="3"/>
  <c r="K276" i="3" s="1"/>
  <c r="F268" i="3"/>
  <c r="K268" i="3" s="1"/>
  <c r="F260" i="3"/>
  <c r="K260" i="3" s="1"/>
  <c r="F252" i="3"/>
  <c r="K252" i="3" s="1"/>
  <c r="F244" i="3"/>
  <c r="K244" i="3" s="1"/>
  <c r="I304" i="3"/>
  <c r="N304" i="3" s="1"/>
  <c r="H308" i="3"/>
  <c r="M308" i="3" s="1"/>
  <c r="G304" i="3"/>
  <c r="L304" i="3" s="1"/>
  <c r="H272" i="3"/>
  <c r="M272" i="3" s="1"/>
  <c r="H288" i="3"/>
  <c r="M288" i="3" s="1"/>
  <c r="H256" i="3"/>
  <c r="M256" i="3" s="1"/>
  <c r="H316" i="3"/>
  <c r="M316" i="3" s="1"/>
  <c r="H296" i="3"/>
  <c r="M296" i="3" s="1"/>
  <c r="H280" i="3"/>
  <c r="M280" i="3" s="1"/>
  <c r="H264" i="3"/>
  <c r="M264" i="3" s="1"/>
  <c r="H248" i="3"/>
  <c r="M248" i="3" s="1"/>
  <c r="H312" i="3"/>
  <c r="M312" i="3" s="1"/>
  <c r="H300" i="3"/>
  <c r="M300" i="3" s="1"/>
  <c r="H292" i="3"/>
  <c r="M292" i="3" s="1"/>
  <c r="H284" i="3"/>
  <c r="M284" i="3" s="1"/>
  <c r="H276" i="3"/>
  <c r="M276" i="3" s="1"/>
  <c r="H268" i="3"/>
  <c r="M268" i="3" s="1"/>
  <c r="H260" i="3"/>
  <c r="M260" i="3" s="1"/>
  <c r="H252" i="3"/>
  <c r="M252" i="3" s="1"/>
  <c r="H246" i="3"/>
  <c r="M246" i="3" s="1"/>
  <c r="H318" i="3"/>
  <c r="M318" i="3" s="1"/>
  <c r="F316" i="3"/>
  <c r="K316" i="3" s="1"/>
  <c r="H315" i="3"/>
  <c r="M315" i="3" s="1"/>
  <c r="H314" i="3"/>
  <c r="M314" i="3" s="1"/>
  <c r="F312" i="3"/>
  <c r="K312" i="3" s="1"/>
  <c r="H311" i="3"/>
  <c r="M311" i="3" s="1"/>
  <c r="H310" i="3"/>
  <c r="M310" i="3" s="1"/>
  <c r="F308" i="3"/>
  <c r="K308" i="3" s="1"/>
  <c r="H307" i="3"/>
  <c r="M307" i="3" s="1"/>
  <c r="H306" i="3"/>
  <c r="M306" i="3" s="1"/>
  <c r="H304" i="3"/>
  <c r="M304" i="3" s="1"/>
  <c r="F304" i="3"/>
  <c r="K304" i="3" s="1"/>
  <c r="H302" i="3"/>
  <c r="M302" i="3" s="1"/>
  <c r="H298" i="3"/>
  <c r="M298" i="3" s="1"/>
  <c r="H294" i="3"/>
  <c r="M294" i="3" s="1"/>
  <c r="H290" i="3"/>
  <c r="M290" i="3" s="1"/>
  <c r="H286" i="3"/>
  <c r="M286" i="3" s="1"/>
  <c r="H282" i="3"/>
  <c r="M282" i="3" s="1"/>
  <c r="H278" i="3"/>
  <c r="M278" i="3" s="1"/>
  <c r="H274" i="3"/>
  <c r="M274" i="3" s="1"/>
  <c r="H270" i="3"/>
  <c r="M270" i="3" s="1"/>
  <c r="H266" i="3"/>
  <c r="M266" i="3" s="1"/>
  <c r="H262" i="3"/>
  <c r="M262" i="3" s="1"/>
  <c r="H258" i="3"/>
  <c r="M258" i="3" s="1"/>
  <c r="H254" i="3"/>
  <c r="M254" i="3" s="1"/>
  <c r="H250" i="3"/>
  <c r="M250" i="3" s="1"/>
  <c r="H244" i="3"/>
  <c r="M244" i="3" s="1"/>
  <c r="F318" i="3"/>
  <c r="K318" i="3" s="1"/>
  <c r="H317" i="3"/>
  <c r="M317" i="3" s="1"/>
  <c r="F314" i="3"/>
  <c r="K314" i="3" s="1"/>
  <c r="H313" i="3"/>
  <c r="M313" i="3" s="1"/>
  <c r="F310" i="3"/>
  <c r="K310" i="3" s="1"/>
  <c r="H309" i="3"/>
  <c r="M309" i="3" s="1"/>
  <c r="F306" i="3"/>
  <c r="K306" i="3" s="1"/>
  <c r="H305" i="3"/>
  <c r="M305" i="3" s="1"/>
  <c r="F317" i="3"/>
  <c r="K317" i="3" s="1"/>
  <c r="F315" i="3"/>
  <c r="K315" i="3" s="1"/>
  <c r="F313" i="3"/>
  <c r="K313" i="3" s="1"/>
  <c r="F311" i="3"/>
  <c r="K311" i="3" s="1"/>
  <c r="F309" i="3"/>
  <c r="K309" i="3" s="1"/>
  <c r="F307" i="3"/>
  <c r="K307" i="3" s="1"/>
  <c r="F305" i="3"/>
  <c r="K305" i="3" s="1"/>
  <c r="E303" i="3"/>
  <c r="J303" i="3" s="1"/>
  <c r="G303" i="3"/>
  <c r="L303" i="3" s="1"/>
  <c r="I303" i="3"/>
  <c r="N303" i="3" s="1"/>
  <c r="E301" i="3"/>
  <c r="J301" i="3" s="1"/>
  <c r="G301" i="3"/>
  <c r="L301" i="3" s="1"/>
  <c r="I301" i="3"/>
  <c r="N301" i="3" s="1"/>
  <c r="E299" i="3"/>
  <c r="J299" i="3" s="1"/>
  <c r="G299" i="3"/>
  <c r="L299" i="3" s="1"/>
  <c r="I299" i="3"/>
  <c r="N299" i="3" s="1"/>
  <c r="E297" i="3"/>
  <c r="J297" i="3" s="1"/>
  <c r="G297" i="3"/>
  <c r="L297" i="3" s="1"/>
  <c r="I297" i="3"/>
  <c r="N297" i="3" s="1"/>
  <c r="E295" i="3"/>
  <c r="J295" i="3" s="1"/>
  <c r="G295" i="3"/>
  <c r="L295" i="3" s="1"/>
  <c r="I295" i="3"/>
  <c r="N295" i="3" s="1"/>
  <c r="E293" i="3"/>
  <c r="J293" i="3" s="1"/>
  <c r="G293" i="3"/>
  <c r="L293" i="3" s="1"/>
  <c r="I293" i="3"/>
  <c r="N293" i="3" s="1"/>
  <c r="E291" i="3"/>
  <c r="J291" i="3" s="1"/>
  <c r="G291" i="3"/>
  <c r="L291" i="3" s="1"/>
  <c r="I291" i="3"/>
  <c r="N291" i="3" s="1"/>
  <c r="E289" i="3"/>
  <c r="J289" i="3" s="1"/>
  <c r="G289" i="3"/>
  <c r="L289" i="3" s="1"/>
  <c r="I289" i="3"/>
  <c r="N289" i="3" s="1"/>
  <c r="E287" i="3"/>
  <c r="J287" i="3" s="1"/>
  <c r="G287" i="3"/>
  <c r="L287" i="3" s="1"/>
  <c r="I287" i="3"/>
  <c r="N287" i="3" s="1"/>
  <c r="E285" i="3"/>
  <c r="J285" i="3" s="1"/>
  <c r="G285" i="3"/>
  <c r="L285" i="3" s="1"/>
  <c r="I285" i="3"/>
  <c r="N285" i="3" s="1"/>
  <c r="E283" i="3"/>
  <c r="J283" i="3" s="1"/>
  <c r="G283" i="3"/>
  <c r="L283" i="3" s="1"/>
  <c r="I283" i="3"/>
  <c r="N283" i="3" s="1"/>
  <c r="E281" i="3"/>
  <c r="J281" i="3" s="1"/>
  <c r="G281" i="3"/>
  <c r="L281" i="3" s="1"/>
  <c r="I281" i="3"/>
  <c r="N281" i="3" s="1"/>
  <c r="E279" i="3"/>
  <c r="J279" i="3" s="1"/>
  <c r="G279" i="3"/>
  <c r="L279" i="3" s="1"/>
  <c r="I279" i="3"/>
  <c r="N279" i="3" s="1"/>
  <c r="E277" i="3"/>
  <c r="J277" i="3" s="1"/>
  <c r="G277" i="3"/>
  <c r="L277" i="3" s="1"/>
  <c r="I277" i="3"/>
  <c r="N277" i="3" s="1"/>
  <c r="E275" i="3"/>
  <c r="J275" i="3" s="1"/>
  <c r="G275" i="3"/>
  <c r="L275" i="3" s="1"/>
  <c r="I275" i="3"/>
  <c r="N275" i="3" s="1"/>
  <c r="E273" i="3"/>
  <c r="J273" i="3" s="1"/>
  <c r="G273" i="3"/>
  <c r="L273" i="3" s="1"/>
  <c r="I273" i="3"/>
  <c r="N273" i="3" s="1"/>
  <c r="E271" i="3"/>
  <c r="J271" i="3" s="1"/>
  <c r="G271" i="3"/>
  <c r="L271" i="3" s="1"/>
  <c r="I271" i="3"/>
  <c r="N271" i="3" s="1"/>
  <c r="E269" i="3"/>
  <c r="J269" i="3" s="1"/>
  <c r="G269" i="3"/>
  <c r="L269" i="3" s="1"/>
  <c r="I269" i="3"/>
  <c r="N269" i="3" s="1"/>
  <c r="E267" i="3"/>
  <c r="J267" i="3" s="1"/>
  <c r="G267" i="3"/>
  <c r="L267" i="3" s="1"/>
  <c r="I267" i="3"/>
  <c r="N267" i="3" s="1"/>
  <c r="E265" i="3"/>
  <c r="J265" i="3" s="1"/>
  <c r="G265" i="3"/>
  <c r="L265" i="3" s="1"/>
  <c r="I265" i="3"/>
  <c r="N265" i="3" s="1"/>
  <c r="E263" i="3"/>
  <c r="J263" i="3" s="1"/>
  <c r="G263" i="3"/>
  <c r="L263" i="3" s="1"/>
  <c r="I263" i="3"/>
  <c r="N263" i="3" s="1"/>
  <c r="E261" i="3"/>
  <c r="J261" i="3" s="1"/>
  <c r="G261" i="3"/>
  <c r="L261" i="3" s="1"/>
  <c r="I261" i="3"/>
  <c r="N261" i="3" s="1"/>
  <c r="E259" i="3"/>
  <c r="J259" i="3" s="1"/>
  <c r="G259" i="3"/>
  <c r="L259" i="3" s="1"/>
  <c r="I259" i="3"/>
  <c r="N259" i="3" s="1"/>
  <c r="E257" i="3"/>
  <c r="J257" i="3" s="1"/>
  <c r="G257" i="3"/>
  <c r="L257" i="3" s="1"/>
  <c r="I257" i="3"/>
  <c r="N257" i="3" s="1"/>
  <c r="E255" i="3"/>
  <c r="J255" i="3" s="1"/>
  <c r="G255" i="3"/>
  <c r="L255" i="3" s="1"/>
  <c r="I255" i="3"/>
  <c r="N255" i="3" s="1"/>
  <c r="E253" i="3"/>
  <c r="J253" i="3" s="1"/>
  <c r="G253" i="3"/>
  <c r="L253" i="3" s="1"/>
  <c r="I253" i="3"/>
  <c r="N253" i="3" s="1"/>
  <c r="E251" i="3"/>
  <c r="J251" i="3" s="1"/>
  <c r="G251" i="3"/>
  <c r="L251" i="3" s="1"/>
  <c r="I251" i="3"/>
  <c r="N251" i="3" s="1"/>
  <c r="E249" i="3"/>
  <c r="J249" i="3" s="1"/>
  <c r="G249" i="3"/>
  <c r="L249" i="3" s="1"/>
  <c r="I249" i="3"/>
  <c r="N249" i="3" s="1"/>
  <c r="E247" i="3"/>
  <c r="J247" i="3" s="1"/>
  <c r="I247" i="3"/>
  <c r="N247" i="3" s="1"/>
  <c r="I318" i="3"/>
  <c r="N318" i="3" s="1"/>
  <c r="G318" i="3"/>
  <c r="L318" i="3" s="1"/>
  <c r="I317" i="3"/>
  <c r="N317" i="3" s="1"/>
  <c r="G317" i="3"/>
  <c r="L317" i="3" s="1"/>
  <c r="I316" i="3"/>
  <c r="N316" i="3" s="1"/>
  <c r="G316" i="3"/>
  <c r="L316" i="3" s="1"/>
  <c r="I315" i="3"/>
  <c r="N315" i="3" s="1"/>
  <c r="G315" i="3"/>
  <c r="L315" i="3" s="1"/>
  <c r="I314" i="3"/>
  <c r="N314" i="3" s="1"/>
  <c r="G314" i="3"/>
  <c r="L314" i="3" s="1"/>
  <c r="I313" i="3"/>
  <c r="N313" i="3" s="1"/>
  <c r="G313" i="3"/>
  <c r="L313" i="3" s="1"/>
  <c r="I312" i="3"/>
  <c r="N312" i="3" s="1"/>
  <c r="G312" i="3"/>
  <c r="L312" i="3" s="1"/>
  <c r="I311" i="3"/>
  <c r="N311" i="3" s="1"/>
  <c r="G311" i="3"/>
  <c r="L311" i="3" s="1"/>
  <c r="I310" i="3"/>
  <c r="N310" i="3" s="1"/>
  <c r="G310" i="3"/>
  <c r="L310" i="3" s="1"/>
  <c r="I309" i="3"/>
  <c r="N309" i="3" s="1"/>
  <c r="G309" i="3"/>
  <c r="L309" i="3" s="1"/>
  <c r="I308" i="3"/>
  <c r="N308" i="3" s="1"/>
  <c r="G308" i="3"/>
  <c r="L308" i="3" s="1"/>
  <c r="I307" i="3"/>
  <c r="N307" i="3" s="1"/>
  <c r="G307" i="3"/>
  <c r="L307" i="3" s="1"/>
  <c r="I306" i="3"/>
  <c r="N306" i="3" s="1"/>
  <c r="G306" i="3"/>
  <c r="L306" i="3" s="1"/>
  <c r="I305" i="3"/>
  <c r="N305" i="3" s="1"/>
  <c r="G305" i="3"/>
  <c r="L305" i="3" s="1"/>
  <c r="F303" i="3"/>
  <c r="K303" i="3" s="1"/>
  <c r="E302" i="3"/>
  <c r="J302" i="3" s="1"/>
  <c r="G302" i="3"/>
  <c r="L302" i="3" s="1"/>
  <c r="I302" i="3"/>
  <c r="N302" i="3" s="1"/>
  <c r="F301" i="3"/>
  <c r="K301" i="3" s="1"/>
  <c r="E300" i="3"/>
  <c r="J300" i="3" s="1"/>
  <c r="G300" i="3"/>
  <c r="L300" i="3" s="1"/>
  <c r="I300" i="3"/>
  <c r="N300" i="3" s="1"/>
  <c r="F299" i="3"/>
  <c r="K299" i="3" s="1"/>
  <c r="E298" i="3"/>
  <c r="J298" i="3" s="1"/>
  <c r="G298" i="3"/>
  <c r="L298" i="3" s="1"/>
  <c r="I298" i="3"/>
  <c r="N298" i="3" s="1"/>
  <c r="F297" i="3"/>
  <c r="K297" i="3" s="1"/>
  <c r="E296" i="3"/>
  <c r="J296" i="3" s="1"/>
  <c r="G296" i="3"/>
  <c r="L296" i="3" s="1"/>
  <c r="I296" i="3"/>
  <c r="N296" i="3" s="1"/>
  <c r="F295" i="3"/>
  <c r="K295" i="3" s="1"/>
  <c r="E294" i="3"/>
  <c r="J294" i="3" s="1"/>
  <c r="G294" i="3"/>
  <c r="L294" i="3" s="1"/>
  <c r="I294" i="3"/>
  <c r="N294" i="3" s="1"/>
  <c r="F293" i="3"/>
  <c r="K293" i="3" s="1"/>
  <c r="E292" i="3"/>
  <c r="J292" i="3" s="1"/>
  <c r="G292" i="3"/>
  <c r="L292" i="3" s="1"/>
  <c r="I292" i="3"/>
  <c r="N292" i="3" s="1"/>
  <c r="F291" i="3"/>
  <c r="K291" i="3" s="1"/>
  <c r="E290" i="3"/>
  <c r="J290" i="3" s="1"/>
  <c r="G290" i="3"/>
  <c r="L290" i="3" s="1"/>
  <c r="I290" i="3"/>
  <c r="N290" i="3" s="1"/>
  <c r="F289" i="3"/>
  <c r="K289" i="3" s="1"/>
  <c r="E288" i="3"/>
  <c r="J288" i="3" s="1"/>
  <c r="G288" i="3"/>
  <c r="L288" i="3" s="1"/>
  <c r="I288" i="3"/>
  <c r="N288" i="3" s="1"/>
  <c r="F287" i="3"/>
  <c r="K287" i="3" s="1"/>
  <c r="E286" i="3"/>
  <c r="J286" i="3" s="1"/>
  <c r="G286" i="3"/>
  <c r="L286" i="3" s="1"/>
  <c r="I286" i="3"/>
  <c r="N286" i="3" s="1"/>
  <c r="F285" i="3"/>
  <c r="K285" i="3" s="1"/>
  <c r="E284" i="3"/>
  <c r="J284" i="3" s="1"/>
  <c r="G284" i="3"/>
  <c r="L284" i="3" s="1"/>
  <c r="I284" i="3"/>
  <c r="N284" i="3" s="1"/>
  <c r="F283" i="3"/>
  <c r="K283" i="3" s="1"/>
  <c r="E282" i="3"/>
  <c r="J282" i="3" s="1"/>
  <c r="G282" i="3"/>
  <c r="L282" i="3" s="1"/>
  <c r="I282" i="3"/>
  <c r="N282" i="3" s="1"/>
  <c r="F281" i="3"/>
  <c r="K281" i="3" s="1"/>
  <c r="E280" i="3"/>
  <c r="J280" i="3" s="1"/>
  <c r="G280" i="3"/>
  <c r="L280" i="3" s="1"/>
  <c r="I280" i="3"/>
  <c r="N280" i="3" s="1"/>
  <c r="F279" i="3"/>
  <c r="K279" i="3" s="1"/>
  <c r="E278" i="3"/>
  <c r="J278" i="3" s="1"/>
  <c r="G278" i="3"/>
  <c r="L278" i="3" s="1"/>
  <c r="I278" i="3"/>
  <c r="N278" i="3" s="1"/>
  <c r="F277" i="3"/>
  <c r="K277" i="3" s="1"/>
  <c r="E276" i="3"/>
  <c r="J276" i="3" s="1"/>
  <c r="G276" i="3"/>
  <c r="L276" i="3" s="1"/>
  <c r="I276" i="3"/>
  <c r="N276" i="3" s="1"/>
  <c r="F275" i="3"/>
  <c r="K275" i="3" s="1"/>
  <c r="E274" i="3"/>
  <c r="J274" i="3" s="1"/>
  <c r="G274" i="3"/>
  <c r="L274" i="3" s="1"/>
  <c r="I274" i="3"/>
  <c r="N274" i="3" s="1"/>
  <c r="F273" i="3"/>
  <c r="K273" i="3" s="1"/>
  <c r="E272" i="3"/>
  <c r="J272" i="3" s="1"/>
  <c r="G272" i="3"/>
  <c r="L272" i="3" s="1"/>
  <c r="I272" i="3"/>
  <c r="N272" i="3" s="1"/>
  <c r="F271" i="3"/>
  <c r="K271" i="3" s="1"/>
  <c r="E270" i="3"/>
  <c r="J270" i="3" s="1"/>
  <c r="G270" i="3"/>
  <c r="L270" i="3" s="1"/>
  <c r="I270" i="3"/>
  <c r="N270" i="3" s="1"/>
  <c r="F269" i="3"/>
  <c r="K269" i="3" s="1"/>
  <c r="E268" i="3"/>
  <c r="J268" i="3" s="1"/>
  <c r="G268" i="3"/>
  <c r="L268" i="3" s="1"/>
  <c r="I268" i="3"/>
  <c r="N268" i="3" s="1"/>
  <c r="F267" i="3"/>
  <c r="K267" i="3" s="1"/>
  <c r="E266" i="3"/>
  <c r="J266" i="3" s="1"/>
  <c r="G266" i="3"/>
  <c r="L266" i="3" s="1"/>
  <c r="I266" i="3"/>
  <c r="N266" i="3" s="1"/>
  <c r="F265" i="3"/>
  <c r="K265" i="3" s="1"/>
  <c r="E264" i="3"/>
  <c r="J264" i="3" s="1"/>
  <c r="G264" i="3"/>
  <c r="L264" i="3" s="1"/>
  <c r="I264" i="3"/>
  <c r="N264" i="3" s="1"/>
  <c r="F263" i="3"/>
  <c r="K263" i="3" s="1"/>
  <c r="E262" i="3"/>
  <c r="J262" i="3" s="1"/>
  <c r="G262" i="3"/>
  <c r="L262" i="3" s="1"/>
  <c r="I262" i="3"/>
  <c r="N262" i="3" s="1"/>
  <c r="F261" i="3"/>
  <c r="K261" i="3" s="1"/>
  <c r="E260" i="3"/>
  <c r="J260" i="3" s="1"/>
  <c r="G260" i="3"/>
  <c r="L260" i="3" s="1"/>
  <c r="I260" i="3"/>
  <c r="N260" i="3" s="1"/>
  <c r="F259" i="3"/>
  <c r="K259" i="3" s="1"/>
  <c r="E258" i="3"/>
  <c r="J258" i="3" s="1"/>
  <c r="G258" i="3"/>
  <c r="L258" i="3" s="1"/>
  <c r="I258" i="3"/>
  <c r="N258" i="3" s="1"/>
  <c r="F257" i="3"/>
  <c r="K257" i="3" s="1"/>
  <c r="E256" i="3"/>
  <c r="J256" i="3" s="1"/>
  <c r="G256" i="3"/>
  <c r="L256" i="3" s="1"/>
  <c r="I256" i="3"/>
  <c r="N256" i="3" s="1"/>
  <c r="F255" i="3"/>
  <c r="K255" i="3" s="1"/>
  <c r="E254" i="3"/>
  <c r="J254" i="3" s="1"/>
  <c r="G254" i="3"/>
  <c r="L254" i="3" s="1"/>
  <c r="I254" i="3"/>
  <c r="N254" i="3" s="1"/>
  <c r="F253" i="3"/>
  <c r="K253" i="3" s="1"/>
  <c r="E252" i="3"/>
  <c r="J252" i="3" s="1"/>
  <c r="G252" i="3"/>
  <c r="L252" i="3" s="1"/>
  <c r="I252" i="3"/>
  <c r="N252" i="3" s="1"/>
  <c r="F251" i="3"/>
  <c r="K251" i="3" s="1"/>
  <c r="E250" i="3"/>
  <c r="J250" i="3" s="1"/>
  <c r="G250" i="3"/>
  <c r="L250" i="3" s="1"/>
  <c r="I250" i="3"/>
  <c r="N250" i="3" s="1"/>
  <c r="F249" i="3"/>
  <c r="K249" i="3" s="1"/>
  <c r="E248" i="3"/>
  <c r="J248" i="3" s="1"/>
  <c r="G248" i="3"/>
  <c r="L248" i="3" s="1"/>
  <c r="I248" i="3"/>
  <c r="N248" i="3" s="1"/>
  <c r="G247" i="3"/>
  <c r="L247" i="3" s="1"/>
  <c r="E245" i="3"/>
  <c r="J245" i="3" s="1"/>
  <c r="G245" i="3"/>
  <c r="L245" i="3" s="1"/>
  <c r="I245" i="3"/>
  <c r="N245" i="3" s="1"/>
  <c r="E243" i="3"/>
  <c r="J243" i="3" s="1"/>
  <c r="G243" i="3"/>
  <c r="L243" i="3" s="1"/>
  <c r="I243" i="3"/>
  <c r="N243" i="3" s="1"/>
  <c r="E241" i="3"/>
  <c r="J241" i="3" s="1"/>
  <c r="G241" i="3"/>
  <c r="L241" i="3" s="1"/>
  <c r="I241" i="3"/>
  <c r="N241" i="3" s="1"/>
  <c r="E239" i="3"/>
  <c r="J239" i="3" s="1"/>
  <c r="G239" i="3"/>
  <c r="L239" i="3" s="1"/>
  <c r="I239" i="3"/>
  <c r="N239" i="3" s="1"/>
  <c r="E237" i="3"/>
  <c r="J237" i="3" s="1"/>
  <c r="G237" i="3"/>
  <c r="L237" i="3" s="1"/>
  <c r="I237" i="3"/>
  <c r="N237" i="3" s="1"/>
  <c r="E235" i="3"/>
  <c r="J235" i="3" s="1"/>
  <c r="G235" i="3"/>
  <c r="L235" i="3" s="1"/>
  <c r="I235" i="3"/>
  <c r="N235" i="3" s="1"/>
  <c r="E233" i="3"/>
  <c r="J233" i="3" s="1"/>
  <c r="G233" i="3"/>
  <c r="L233" i="3" s="1"/>
  <c r="I233" i="3"/>
  <c r="N233" i="3" s="1"/>
  <c r="E231" i="3"/>
  <c r="J231" i="3" s="1"/>
  <c r="G231" i="3"/>
  <c r="L231" i="3" s="1"/>
  <c r="I231" i="3"/>
  <c r="N231" i="3" s="1"/>
  <c r="E229" i="3"/>
  <c r="J229" i="3" s="1"/>
  <c r="G229" i="3"/>
  <c r="L229" i="3" s="1"/>
  <c r="I229" i="3"/>
  <c r="N229" i="3" s="1"/>
  <c r="E227" i="3"/>
  <c r="J227" i="3" s="1"/>
  <c r="G227" i="3"/>
  <c r="L227" i="3" s="1"/>
  <c r="I227" i="3"/>
  <c r="N227" i="3" s="1"/>
  <c r="E225" i="3"/>
  <c r="J225" i="3" s="1"/>
  <c r="G225" i="3"/>
  <c r="L225" i="3" s="1"/>
  <c r="I225" i="3"/>
  <c r="N225" i="3" s="1"/>
  <c r="E223" i="3"/>
  <c r="J223" i="3" s="1"/>
  <c r="G223" i="3"/>
  <c r="L223" i="3" s="1"/>
  <c r="I223" i="3"/>
  <c r="N223" i="3" s="1"/>
  <c r="E221" i="3"/>
  <c r="J221" i="3" s="1"/>
  <c r="G221" i="3"/>
  <c r="L221" i="3" s="1"/>
  <c r="I221" i="3"/>
  <c r="N221" i="3" s="1"/>
  <c r="H247" i="3"/>
  <c r="M247" i="3" s="1"/>
  <c r="F247" i="3"/>
  <c r="K247" i="3" s="1"/>
  <c r="E246" i="3"/>
  <c r="J246" i="3" s="1"/>
  <c r="G246" i="3"/>
  <c r="L246" i="3" s="1"/>
  <c r="I246" i="3"/>
  <c r="N246" i="3" s="1"/>
  <c r="F245" i="3"/>
  <c r="K245" i="3" s="1"/>
  <c r="E244" i="3"/>
  <c r="J244" i="3" s="1"/>
  <c r="G244" i="3"/>
  <c r="L244" i="3" s="1"/>
  <c r="I244" i="3"/>
  <c r="N244" i="3" s="1"/>
  <c r="F243" i="3"/>
  <c r="K243" i="3" s="1"/>
  <c r="E242" i="3"/>
  <c r="J242" i="3" s="1"/>
  <c r="G242" i="3"/>
  <c r="L242" i="3" s="1"/>
  <c r="I242" i="3"/>
  <c r="N242" i="3" s="1"/>
  <c r="F241" i="3"/>
  <c r="K241" i="3" s="1"/>
  <c r="E240" i="3"/>
  <c r="J240" i="3" s="1"/>
  <c r="G240" i="3"/>
  <c r="L240" i="3" s="1"/>
  <c r="I240" i="3"/>
  <c r="N240" i="3" s="1"/>
  <c r="F239" i="3"/>
  <c r="K239" i="3" s="1"/>
  <c r="E238" i="3"/>
  <c r="J238" i="3" s="1"/>
  <c r="G238" i="3"/>
  <c r="L238" i="3" s="1"/>
  <c r="I238" i="3"/>
  <c r="N238" i="3" s="1"/>
  <c r="F237" i="3"/>
  <c r="K237" i="3" s="1"/>
  <c r="E236" i="3"/>
  <c r="J236" i="3" s="1"/>
  <c r="G236" i="3"/>
  <c r="L236" i="3" s="1"/>
  <c r="I236" i="3"/>
  <c r="N236" i="3" s="1"/>
  <c r="F235" i="3"/>
  <c r="K235" i="3" s="1"/>
  <c r="E234" i="3"/>
  <c r="J234" i="3" s="1"/>
  <c r="G234" i="3"/>
  <c r="L234" i="3" s="1"/>
  <c r="I234" i="3"/>
  <c r="N234" i="3" s="1"/>
  <c r="F233" i="3"/>
  <c r="K233" i="3" s="1"/>
  <c r="E232" i="3"/>
  <c r="J232" i="3" s="1"/>
  <c r="G232" i="3"/>
  <c r="L232" i="3" s="1"/>
  <c r="I232" i="3"/>
  <c r="N232" i="3" s="1"/>
  <c r="F231" i="3"/>
  <c r="K231" i="3" s="1"/>
  <c r="E230" i="3"/>
  <c r="J230" i="3" s="1"/>
  <c r="G230" i="3"/>
  <c r="L230" i="3" s="1"/>
  <c r="I230" i="3"/>
  <c r="N230" i="3" s="1"/>
  <c r="F229" i="3"/>
  <c r="K229" i="3" s="1"/>
  <c r="E228" i="3"/>
  <c r="J228" i="3" s="1"/>
  <c r="G228" i="3"/>
  <c r="L228" i="3" s="1"/>
  <c r="I228" i="3"/>
  <c r="N228" i="3" s="1"/>
  <c r="F227" i="3"/>
  <c r="K227" i="3" s="1"/>
  <c r="E226" i="3"/>
  <c r="J226" i="3" s="1"/>
  <c r="G226" i="3"/>
  <c r="L226" i="3" s="1"/>
  <c r="I226" i="3"/>
  <c r="N226" i="3" s="1"/>
  <c r="F225" i="3"/>
  <c r="K225" i="3" s="1"/>
  <c r="E224" i="3"/>
  <c r="J224" i="3" s="1"/>
  <c r="G224" i="3"/>
  <c r="L224" i="3" s="1"/>
  <c r="I224" i="3"/>
  <c r="N224" i="3" s="1"/>
  <c r="F223" i="3"/>
  <c r="K223" i="3" s="1"/>
  <c r="E222" i="3"/>
  <c r="J222" i="3" s="1"/>
  <c r="G222" i="3"/>
  <c r="L222" i="3" s="1"/>
  <c r="I222" i="3"/>
  <c r="N222" i="3" s="1"/>
  <c r="F221" i="3"/>
  <c r="K221" i="3" s="1"/>
  <c r="E220" i="3"/>
  <c r="J220" i="3" s="1"/>
  <c r="G220" i="3"/>
  <c r="L220" i="3" s="1"/>
  <c r="I220" i="3"/>
  <c r="N220" i="3" s="1"/>
  <c r="V20" i="1"/>
  <c r="AF20" i="1" s="1"/>
  <c r="W20" i="1"/>
  <c r="AG20" i="1" s="1"/>
  <c r="X20" i="1"/>
  <c r="AH20" i="1" s="1"/>
  <c r="Y20" i="1"/>
  <c r="AI20" i="1" s="1"/>
  <c r="Z20" i="1"/>
  <c r="AJ20" i="1" s="1"/>
  <c r="V21" i="1"/>
  <c r="AF21" i="1" s="1"/>
  <c r="W21" i="1"/>
  <c r="AG21" i="1" s="1"/>
  <c r="X21" i="1"/>
  <c r="AH21" i="1" s="1"/>
  <c r="Y21" i="1"/>
  <c r="AI21" i="1" s="1"/>
  <c r="Z21" i="1"/>
  <c r="AJ21" i="1" s="1"/>
  <c r="V22" i="1"/>
  <c r="AF22" i="1" s="1"/>
  <c r="W22" i="1"/>
  <c r="AG22" i="1" s="1"/>
  <c r="X22" i="1"/>
  <c r="AH22" i="1" s="1"/>
  <c r="Y22" i="1"/>
  <c r="AI22" i="1" s="1"/>
  <c r="Z22" i="1"/>
  <c r="AJ22" i="1" s="1"/>
  <c r="V23" i="1"/>
  <c r="AF23" i="1" s="1"/>
  <c r="W23" i="1"/>
  <c r="AG23" i="1" s="1"/>
  <c r="X23" i="1"/>
  <c r="AH23" i="1" s="1"/>
  <c r="Y23" i="1"/>
  <c r="AI23" i="1" s="1"/>
  <c r="Z23" i="1"/>
  <c r="AJ23" i="1" s="1"/>
  <c r="V24" i="1"/>
  <c r="AF24" i="1" s="1"/>
  <c r="W24" i="1"/>
  <c r="AG24" i="1" s="1"/>
  <c r="X24" i="1"/>
  <c r="AH24" i="1" s="1"/>
  <c r="Y24" i="1"/>
  <c r="AI24" i="1" s="1"/>
  <c r="Z24" i="1"/>
  <c r="AJ24" i="1" s="1"/>
  <c r="V25" i="1"/>
  <c r="AF25" i="1" s="1"/>
  <c r="W25" i="1"/>
  <c r="AG25" i="1" s="1"/>
  <c r="X25" i="1"/>
  <c r="AH25" i="1" s="1"/>
  <c r="Y25" i="1"/>
  <c r="AI25" i="1" s="1"/>
  <c r="Z25" i="1"/>
  <c r="AJ25" i="1" s="1"/>
  <c r="V26" i="1"/>
  <c r="AF26" i="1" s="1"/>
  <c r="W26" i="1"/>
  <c r="AG26" i="1" s="1"/>
  <c r="X26" i="1"/>
  <c r="AH26" i="1" s="1"/>
  <c r="Y26" i="1"/>
  <c r="AI26" i="1" s="1"/>
  <c r="Z26" i="1"/>
  <c r="AJ26" i="1" s="1"/>
  <c r="V27" i="1"/>
  <c r="AF27" i="1" s="1"/>
  <c r="W27" i="1"/>
  <c r="AG27" i="1" s="1"/>
  <c r="X27" i="1"/>
  <c r="AH27" i="1" s="1"/>
  <c r="Y27" i="1"/>
  <c r="AI27" i="1" s="1"/>
  <c r="Z27" i="1"/>
  <c r="AJ27" i="1" s="1"/>
  <c r="V28" i="1"/>
  <c r="AF28" i="1" s="1"/>
  <c r="W28" i="1"/>
  <c r="AG28" i="1" s="1"/>
  <c r="X28" i="1"/>
  <c r="AH28" i="1" s="1"/>
  <c r="Y28" i="1"/>
  <c r="AI28" i="1" s="1"/>
  <c r="Z28" i="1"/>
  <c r="AJ28" i="1" s="1"/>
  <c r="V29" i="1"/>
  <c r="AF29" i="1" s="1"/>
  <c r="W29" i="1"/>
  <c r="AG29" i="1" s="1"/>
  <c r="X29" i="1"/>
  <c r="AH29" i="1" s="1"/>
  <c r="Y29" i="1"/>
  <c r="AI29" i="1" s="1"/>
  <c r="Z29" i="1"/>
  <c r="AJ29" i="1" s="1"/>
  <c r="V30" i="1"/>
  <c r="AF30" i="1" s="1"/>
  <c r="W30" i="1"/>
  <c r="AG30" i="1" s="1"/>
  <c r="X30" i="1"/>
  <c r="AH30" i="1" s="1"/>
  <c r="Y30" i="1"/>
  <c r="AI30" i="1" s="1"/>
  <c r="Z30" i="1"/>
  <c r="AJ30" i="1" s="1"/>
  <c r="V31" i="1"/>
  <c r="AF31" i="1" s="1"/>
  <c r="W31" i="1"/>
  <c r="AG31" i="1" s="1"/>
  <c r="X31" i="1"/>
  <c r="AH31" i="1" s="1"/>
  <c r="Y31" i="1"/>
  <c r="AI31" i="1" s="1"/>
  <c r="Z31" i="1"/>
  <c r="AJ31" i="1" s="1"/>
  <c r="V32" i="1"/>
  <c r="AF32" i="1" s="1"/>
  <c r="W32" i="1"/>
  <c r="AG32" i="1" s="1"/>
  <c r="X32" i="1"/>
  <c r="AH32" i="1" s="1"/>
  <c r="Y32" i="1"/>
  <c r="AI32" i="1" s="1"/>
  <c r="Z32" i="1"/>
  <c r="AJ32" i="1" s="1"/>
  <c r="V33" i="1"/>
  <c r="AF33" i="1" s="1"/>
  <c r="W33" i="1"/>
  <c r="AG33" i="1" s="1"/>
  <c r="X33" i="1"/>
  <c r="AH33" i="1" s="1"/>
  <c r="Y33" i="1"/>
  <c r="AI33" i="1" s="1"/>
  <c r="Z33" i="1"/>
  <c r="AJ33" i="1" s="1"/>
  <c r="V34" i="1"/>
  <c r="AF34" i="1" s="1"/>
  <c r="W34" i="1"/>
  <c r="AG34" i="1" s="1"/>
  <c r="X34" i="1"/>
  <c r="AH34" i="1" s="1"/>
  <c r="Y34" i="1"/>
  <c r="AI34" i="1" s="1"/>
  <c r="Z34" i="1"/>
  <c r="AJ34" i="1" s="1"/>
  <c r="V35" i="1"/>
  <c r="AF35" i="1" s="1"/>
  <c r="W35" i="1"/>
  <c r="AG35" i="1" s="1"/>
  <c r="X35" i="1"/>
  <c r="AH35" i="1" s="1"/>
  <c r="Y35" i="1"/>
  <c r="AI35" i="1" s="1"/>
  <c r="Z35" i="1"/>
  <c r="AJ35" i="1" s="1"/>
  <c r="V36" i="1"/>
  <c r="AF36" i="1" s="1"/>
  <c r="W36" i="1"/>
  <c r="AG36" i="1" s="1"/>
  <c r="X36" i="1"/>
  <c r="AH36" i="1" s="1"/>
  <c r="Y36" i="1"/>
  <c r="AI36" i="1" s="1"/>
  <c r="Z36" i="1"/>
  <c r="AJ36" i="1" s="1"/>
  <c r="V37" i="1"/>
  <c r="AF37" i="1" s="1"/>
  <c r="W37" i="1"/>
  <c r="AG37" i="1" s="1"/>
  <c r="X37" i="1"/>
  <c r="AH37" i="1" s="1"/>
  <c r="Y37" i="1"/>
  <c r="AI37" i="1" s="1"/>
  <c r="Z37" i="1"/>
  <c r="AJ37" i="1" s="1"/>
  <c r="V38" i="1"/>
  <c r="AF38" i="1" s="1"/>
  <c r="W38" i="1"/>
  <c r="AG38" i="1" s="1"/>
  <c r="X38" i="1"/>
  <c r="AH38" i="1" s="1"/>
  <c r="Y38" i="1"/>
  <c r="AI38" i="1" s="1"/>
  <c r="Z38" i="1"/>
  <c r="AJ38" i="1" s="1"/>
  <c r="V39" i="1"/>
  <c r="AF39" i="1" s="1"/>
  <c r="W39" i="1"/>
  <c r="AG39" i="1" s="1"/>
  <c r="X39" i="1"/>
  <c r="AH39" i="1" s="1"/>
  <c r="Y39" i="1"/>
  <c r="AI39" i="1" s="1"/>
  <c r="Z39" i="1"/>
  <c r="AJ39" i="1" s="1"/>
  <c r="V40" i="1"/>
  <c r="AF40" i="1" s="1"/>
  <c r="W40" i="1"/>
  <c r="AG40" i="1" s="1"/>
  <c r="X40" i="1"/>
  <c r="AH40" i="1" s="1"/>
  <c r="Y40" i="1"/>
  <c r="AI40" i="1" s="1"/>
  <c r="Z40" i="1"/>
  <c r="AJ40" i="1" s="1"/>
  <c r="V41" i="1"/>
  <c r="AF41" i="1" s="1"/>
  <c r="W41" i="1"/>
  <c r="AG41" i="1" s="1"/>
  <c r="X41" i="1"/>
  <c r="AH41" i="1" s="1"/>
  <c r="Y41" i="1"/>
  <c r="AI41" i="1" s="1"/>
  <c r="Z41" i="1"/>
  <c r="AJ41" i="1" s="1"/>
  <c r="V42" i="1"/>
  <c r="AF42" i="1" s="1"/>
  <c r="W42" i="1"/>
  <c r="AG42" i="1" s="1"/>
  <c r="X42" i="1"/>
  <c r="AH42" i="1" s="1"/>
  <c r="Y42" i="1"/>
  <c r="AI42" i="1" s="1"/>
  <c r="Z42" i="1"/>
  <c r="AJ42" i="1" s="1"/>
  <c r="V43" i="1"/>
  <c r="AF43" i="1" s="1"/>
  <c r="W43" i="1"/>
  <c r="AG43" i="1" s="1"/>
  <c r="X43" i="1"/>
  <c r="AH43" i="1" s="1"/>
  <c r="Y43" i="1"/>
  <c r="AI43" i="1" s="1"/>
  <c r="Z43" i="1"/>
  <c r="AJ43" i="1" s="1"/>
  <c r="V44" i="1"/>
  <c r="AF44" i="1" s="1"/>
  <c r="W44" i="1"/>
  <c r="AG44" i="1" s="1"/>
  <c r="X44" i="1"/>
  <c r="AH44" i="1" s="1"/>
  <c r="Y44" i="1"/>
  <c r="AI44" i="1" s="1"/>
  <c r="Z44" i="1"/>
  <c r="AJ44" i="1" s="1"/>
  <c r="V45" i="1"/>
  <c r="AF45" i="1" s="1"/>
  <c r="W45" i="1"/>
  <c r="AG45" i="1" s="1"/>
  <c r="X45" i="1"/>
  <c r="AH45" i="1" s="1"/>
  <c r="Y45" i="1"/>
  <c r="AI45" i="1" s="1"/>
  <c r="Z45" i="1"/>
  <c r="AJ45" i="1" s="1"/>
  <c r="V46" i="1"/>
  <c r="AF46" i="1" s="1"/>
  <c r="W46" i="1"/>
  <c r="AG46" i="1" s="1"/>
  <c r="X46" i="1"/>
  <c r="AH46" i="1" s="1"/>
  <c r="Y46" i="1"/>
  <c r="AI46" i="1" s="1"/>
  <c r="Z46" i="1"/>
  <c r="AJ46" i="1" s="1"/>
  <c r="V47" i="1"/>
  <c r="AF47" i="1" s="1"/>
  <c r="W47" i="1"/>
  <c r="AG47" i="1" s="1"/>
  <c r="X47" i="1"/>
  <c r="AH47" i="1" s="1"/>
  <c r="Y47" i="1"/>
  <c r="AI47" i="1" s="1"/>
  <c r="Z47" i="1"/>
  <c r="AJ47" i="1" s="1"/>
  <c r="V48" i="1"/>
  <c r="AF48" i="1" s="1"/>
  <c r="W48" i="1"/>
  <c r="AG48" i="1" s="1"/>
  <c r="X48" i="1"/>
  <c r="AH48" i="1" s="1"/>
  <c r="Y48" i="1"/>
  <c r="AI48" i="1" s="1"/>
  <c r="Z48" i="1"/>
  <c r="AJ48" i="1" s="1"/>
  <c r="V49" i="1"/>
  <c r="AF49" i="1" s="1"/>
  <c r="W49" i="1"/>
  <c r="AG49" i="1" s="1"/>
  <c r="X49" i="1"/>
  <c r="AH49" i="1" s="1"/>
  <c r="Y49" i="1"/>
  <c r="AI49" i="1" s="1"/>
  <c r="Z49" i="1"/>
  <c r="AJ49" i="1" s="1"/>
  <c r="V50" i="1"/>
  <c r="AF50" i="1" s="1"/>
  <c r="W50" i="1"/>
  <c r="AG50" i="1" s="1"/>
  <c r="X50" i="1"/>
  <c r="AH50" i="1" s="1"/>
  <c r="Y50" i="1"/>
  <c r="AI50" i="1" s="1"/>
  <c r="Z50" i="1"/>
  <c r="AJ50" i="1" s="1"/>
  <c r="V51" i="1"/>
  <c r="AF51" i="1" s="1"/>
  <c r="W51" i="1"/>
  <c r="AG51" i="1" s="1"/>
  <c r="X51" i="1"/>
  <c r="AH51" i="1" s="1"/>
  <c r="Y51" i="1"/>
  <c r="AI51" i="1" s="1"/>
  <c r="Z51" i="1"/>
  <c r="AJ51" i="1" s="1"/>
  <c r="V52" i="1"/>
  <c r="AF52" i="1" s="1"/>
  <c r="W52" i="1"/>
  <c r="AG52" i="1" s="1"/>
  <c r="X52" i="1"/>
  <c r="AH52" i="1" s="1"/>
  <c r="Y52" i="1"/>
  <c r="AI52" i="1" s="1"/>
  <c r="Z52" i="1"/>
  <c r="AJ52" i="1" s="1"/>
  <c r="V53" i="1"/>
  <c r="AF53" i="1" s="1"/>
  <c r="W53" i="1"/>
  <c r="AG53" i="1" s="1"/>
  <c r="X53" i="1"/>
  <c r="AH53" i="1" s="1"/>
  <c r="Y53" i="1"/>
  <c r="AI53" i="1" s="1"/>
  <c r="Z53" i="1"/>
  <c r="AJ53" i="1" s="1"/>
  <c r="V54" i="1"/>
  <c r="AF54" i="1" s="1"/>
  <c r="W54" i="1"/>
  <c r="AG54" i="1" s="1"/>
  <c r="X54" i="1"/>
  <c r="AH54" i="1" s="1"/>
  <c r="Y54" i="1"/>
  <c r="AI54" i="1" s="1"/>
  <c r="Z54" i="1"/>
  <c r="AJ54" i="1" s="1"/>
  <c r="V55" i="1"/>
  <c r="AF55" i="1" s="1"/>
  <c r="W55" i="1"/>
  <c r="AG55" i="1" s="1"/>
  <c r="X55" i="1"/>
  <c r="AH55" i="1" s="1"/>
  <c r="Y55" i="1"/>
  <c r="AI55" i="1" s="1"/>
  <c r="Z55" i="1"/>
  <c r="AJ55" i="1" s="1"/>
  <c r="V56" i="1"/>
  <c r="AF56" i="1" s="1"/>
  <c r="W56" i="1"/>
  <c r="AG56" i="1" s="1"/>
  <c r="X56" i="1"/>
  <c r="AH56" i="1" s="1"/>
  <c r="Y56" i="1"/>
  <c r="AI56" i="1" s="1"/>
  <c r="Z56" i="1"/>
  <c r="AJ56" i="1" s="1"/>
  <c r="V57" i="1"/>
  <c r="AF57" i="1" s="1"/>
  <c r="W57" i="1"/>
  <c r="AG57" i="1" s="1"/>
  <c r="X57" i="1"/>
  <c r="AH57" i="1" s="1"/>
  <c r="Y57" i="1"/>
  <c r="AI57" i="1" s="1"/>
  <c r="Z57" i="1"/>
  <c r="AJ57" i="1" s="1"/>
  <c r="V58" i="1"/>
  <c r="AF58" i="1" s="1"/>
  <c r="W58" i="1"/>
  <c r="AG58" i="1" s="1"/>
  <c r="X58" i="1"/>
  <c r="AH58" i="1" s="1"/>
  <c r="Y58" i="1"/>
  <c r="AI58" i="1" s="1"/>
  <c r="Z58" i="1"/>
  <c r="AJ58" i="1" s="1"/>
  <c r="V59" i="1"/>
  <c r="AF59" i="1" s="1"/>
  <c r="W59" i="1"/>
  <c r="AG59" i="1" s="1"/>
  <c r="X59" i="1"/>
  <c r="AH59" i="1" s="1"/>
  <c r="Y59" i="1"/>
  <c r="AI59" i="1" s="1"/>
  <c r="Z59" i="1"/>
  <c r="AJ59" i="1" s="1"/>
  <c r="V60" i="1"/>
  <c r="AF60" i="1" s="1"/>
  <c r="W60" i="1"/>
  <c r="AG60" i="1" s="1"/>
  <c r="X60" i="1"/>
  <c r="AH60" i="1" s="1"/>
  <c r="Y60" i="1"/>
  <c r="AI60" i="1" s="1"/>
  <c r="Z60" i="1"/>
  <c r="AJ60" i="1" s="1"/>
  <c r="V61" i="1"/>
  <c r="AF61" i="1" s="1"/>
  <c r="W61" i="1"/>
  <c r="AG61" i="1" s="1"/>
  <c r="X61" i="1"/>
  <c r="AH61" i="1" s="1"/>
  <c r="Y61" i="1"/>
  <c r="AI61" i="1" s="1"/>
  <c r="Z61" i="1"/>
  <c r="AJ61" i="1" s="1"/>
  <c r="V62" i="1"/>
  <c r="AF62" i="1" s="1"/>
  <c r="W62" i="1"/>
  <c r="AG62" i="1" s="1"/>
  <c r="X62" i="1"/>
  <c r="AH62" i="1" s="1"/>
  <c r="Y62" i="1"/>
  <c r="AI62" i="1" s="1"/>
  <c r="Z62" i="1"/>
  <c r="AJ62" i="1" s="1"/>
  <c r="V63" i="1"/>
  <c r="AF63" i="1" s="1"/>
  <c r="W63" i="1"/>
  <c r="AG63" i="1" s="1"/>
  <c r="X63" i="1"/>
  <c r="AH63" i="1" s="1"/>
  <c r="Y63" i="1"/>
  <c r="AI63" i="1" s="1"/>
  <c r="Z63" i="1"/>
  <c r="AJ63" i="1" s="1"/>
  <c r="V64" i="1"/>
  <c r="AF64" i="1" s="1"/>
  <c r="W64" i="1"/>
  <c r="AG64" i="1" s="1"/>
  <c r="X64" i="1"/>
  <c r="AH64" i="1" s="1"/>
  <c r="Y64" i="1"/>
  <c r="AI64" i="1" s="1"/>
  <c r="Z64" i="1"/>
  <c r="AJ64" i="1" s="1"/>
  <c r="V65" i="1"/>
  <c r="AF65" i="1" s="1"/>
  <c r="W65" i="1"/>
  <c r="AG65" i="1" s="1"/>
  <c r="X65" i="1"/>
  <c r="AH65" i="1" s="1"/>
  <c r="Y65" i="1"/>
  <c r="AI65" i="1" s="1"/>
  <c r="Z65" i="1"/>
  <c r="AJ65" i="1" s="1"/>
  <c r="V66" i="1"/>
  <c r="AF66" i="1" s="1"/>
  <c r="W66" i="1"/>
  <c r="AG66" i="1" s="1"/>
  <c r="X66" i="1"/>
  <c r="AH66" i="1" s="1"/>
  <c r="Y66" i="1"/>
  <c r="AI66" i="1" s="1"/>
  <c r="Z66" i="1"/>
  <c r="AJ66" i="1" s="1"/>
  <c r="V67" i="1"/>
  <c r="AF67" i="1" s="1"/>
  <c r="W67" i="1"/>
  <c r="AG67" i="1" s="1"/>
  <c r="X67" i="1"/>
  <c r="AH67" i="1" s="1"/>
  <c r="Y67" i="1"/>
  <c r="AI67" i="1" s="1"/>
  <c r="Z67" i="1"/>
  <c r="AJ67" i="1" s="1"/>
  <c r="V68" i="1"/>
  <c r="AF68" i="1" s="1"/>
  <c r="W68" i="1"/>
  <c r="AG68" i="1" s="1"/>
  <c r="X68" i="1"/>
  <c r="AH68" i="1" s="1"/>
  <c r="Y68" i="1"/>
  <c r="AI68" i="1" s="1"/>
  <c r="Z68" i="1"/>
  <c r="AJ68" i="1" s="1"/>
  <c r="V69" i="1"/>
  <c r="AF69" i="1" s="1"/>
  <c r="W69" i="1"/>
  <c r="AG69" i="1" s="1"/>
  <c r="X69" i="1"/>
  <c r="AH69" i="1" s="1"/>
  <c r="Y69" i="1"/>
  <c r="AI69" i="1" s="1"/>
  <c r="Z69" i="1"/>
  <c r="AJ69" i="1" s="1"/>
  <c r="V70" i="1"/>
  <c r="AF70" i="1" s="1"/>
  <c r="W70" i="1"/>
  <c r="AG70" i="1" s="1"/>
  <c r="X70" i="1"/>
  <c r="AH70" i="1" s="1"/>
  <c r="Y70" i="1"/>
  <c r="AI70" i="1" s="1"/>
  <c r="Z70" i="1"/>
  <c r="AJ70" i="1" s="1"/>
  <c r="V71" i="1"/>
  <c r="AF71" i="1" s="1"/>
  <c r="W71" i="1"/>
  <c r="AG71" i="1" s="1"/>
  <c r="X71" i="1"/>
  <c r="AH71" i="1" s="1"/>
  <c r="Y71" i="1"/>
  <c r="AI71" i="1" s="1"/>
  <c r="Z71" i="1"/>
  <c r="AJ71" i="1" s="1"/>
  <c r="V72" i="1"/>
  <c r="AF72" i="1" s="1"/>
  <c r="W72" i="1"/>
  <c r="AG72" i="1" s="1"/>
  <c r="X72" i="1"/>
  <c r="AH72" i="1" s="1"/>
  <c r="Y72" i="1"/>
  <c r="AI72" i="1" s="1"/>
  <c r="Z72" i="1"/>
  <c r="AJ72" i="1" s="1"/>
  <c r="V73" i="1"/>
  <c r="AF73" i="1" s="1"/>
  <c r="W73" i="1"/>
  <c r="AG73" i="1" s="1"/>
  <c r="X73" i="1"/>
  <c r="AH73" i="1" s="1"/>
  <c r="Y73" i="1"/>
  <c r="AI73" i="1" s="1"/>
  <c r="Z73" i="1"/>
  <c r="AJ73" i="1" s="1"/>
  <c r="V74" i="1"/>
  <c r="AF74" i="1" s="1"/>
  <c r="W74" i="1"/>
  <c r="AG74" i="1" s="1"/>
  <c r="X74" i="1"/>
  <c r="AH74" i="1" s="1"/>
  <c r="Y74" i="1"/>
  <c r="AI74" i="1" s="1"/>
  <c r="Z74" i="1"/>
  <c r="AJ74" i="1" s="1"/>
  <c r="V75" i="1"/>
  <c r="AF75" i="1" s="1"/>
  <c r="W75" i="1"/>
  <c r="AG75" i="1" s="1"/>
  <c r="X75" i="1"/>
  <c r="AH75" i="1" s="1"/>
  <c r="Y75" i="1"/>
  <c r="AI75" i="1" s="1"/>
  <c r="Z75" i="1"/>
  <c r="AJ75" i="1" s="1"/>
  <c r="V76" i="1"/>
  <c r="AF76" i="1" s="1"/>
  <c r="W76" i="1"/>
  <c r="AG76" i="1" s="1"/>
  <c r="X76" i="1"/>
  <c r="AH76" i="1" s="1"/>
  <c r="Y76" i="1"/>
  <c r="AI76" i="1" s="1"/>
  <c r="Z76" i="1"/>
  <c r="AJ76" i="1" s="1"/>
  <c r="V77" i="1"/>
  <c r="AF77" i="1" s="1"/>
  <c r="W77" i="1"/>
  <c r="AG77" i="1" s="1"/>
  <c r="X77" i="1"/>
  <c r="AH77" i="1" s="1"/>
  <c r="Y77" i="1"/>
  <c r="AI77" i="1" s="1"/>
  <c r="Z77" i="1"/>
  <c r="AJ77" i="1" s="1"/>
  <c r="V78" i="1"/>
  <c r="AF78" i="1" s="1"/>
  <c r="W78" i="1"/>
  <c r="AG78" i="1" s="1"/>
  <c r="X78" i="1"/>
  <c r="AH78" i="1" s="1"/>
  <c r="Y78" i="1"/>
  <c r="AI78" i="1" s="1"/>
  <c r="Z78" i="1"/>
  <c r="AJ78" i="1" s="1"/>
  <c r="V79" i="1"/>
  <c r="AF79" i="1" s="1"/>
  <c r="W79" i="1"/>
  <c r="AG79" i="1" s="1"/>
  <c r="X79" i="1"/>
  <c r="AH79" i="1" s="1"/>
  <c r="Y79" i="1"/>
  <c r="AI79" i="1" s="1"/>
  <c r="Z79" i="1"/>
  <c r="AJ79" i="1" s="1"/>
  <c r="V80" i="1"/>
  <c r="AF80" i="1" s="1"/>
  <c r="W80" i="1"/>
  <c r="AG80" i="1" s="1"/>
  <c r="X80" i="1"/>
  <c r="AH80" i="1" s="1"/>
  <c r="Y80" i="1"/>
  <c r="AI80" i="1" s="1"/>
  <c r="Z80" i="1"/>
  <c r="AJ80" i="1" s="1"/>
  <c r="V81" i="1"/>
  <c r="AF81" i="1" s="1"/>
  <c r="W81" i="1"/>
  <c r="AG81" i="1" s="1"/>
  <c r="X81" i="1"/>
  <c r="AH81" i="1" s="1"/>
  <c r="Y81" i="1"/>
  <c r="AI81" i="1" s="1"/>
  <c r="Z81" i="1"/>
  <c r="AJ81" i="1" s="1"/>
  <c r="V82" i="1"/>
  <c r="AF82" i="1" s="1"/>
  <c r="W82" i="1"/>
  <c r="AG82" i="1" s="1"/>
  <c r="X82" i="1"/>
  <c r="AH82" i="1" s="1"/>
  <c r="Y82" i="1"/>
  <c r="AI82" i="1" s="1"/>
  <c r="Z82" i="1"/>
  <c r="AJ82" i="1" s="1"/>
  <c r="V83" i="1"/>
  <c r="AF83" i="1" s="1"/>
  <c r="W83" i="1"/>
  <c r="AG83" i="1" s="1"/>
  <c r="X83" i="1"/>
  <c r="AH83" i="1" s="1"/>
  <c r="Y83" i="1"/>
  <c r="AI83" i="1" s="1"/>
  <c r="Z83" i="1"/>
  <c r="AJ83" i="1" s="1"/>
  <c r="V84" i="1"/>
  <c r="AF84" i="1" s="1"/>
  <c r="W84" i="1"/>
  <c r="AG84" i="1" s="1"/>
  <c r="X84" i="1"/>
  <c r="AH84" i="1" s="1"/>
  <c r="Y84" i="1"/>
  <c r="AI84" i="1" s="1"/>
  <c r="Z84" i="1"/>
  <c r="AJ84" i="1" s="1"/>
  <c r="V85" i="1"/>
  <c r="AF85" i="1" s="1"/>
  <c r="W85" i="1"/>
  <c r="AG85" i="1" s="1"/>
  <c r="X85" i="1"/>
  <c r="AH85" i="1" s="1"/>
  <c r="Y85" i="1"/>
  <c r="AI85" i="1" s="1"/>
  <c r="Z85" i="1"/>
  <c r="AJ85" i="1" s="1"/>
  <c r="V86" i="1"/>
  <c r="AF86" i="1" s="1"/>
  <c r="W86" i="1"/>
  <c r="AG86" i="1" s="1"/>
  <c r="X86" i="1"/>
  <c r="AH86" i="1" s="1"/>
  <c r="Y86" i="1"/>
  <c r="AI86" i="1" s="1"/>
  <c r="Z86" i="1"/>
  <c r="AJ86" i="1" s="1"/>
  <c r="V87" i="1"/>
  <c r="AF87" i="1" s="1"/>
  <c r="W87" i="1"/>
  <c r="AG87" i="1" s="1"/>
  <c r="X87" i="1"/>
  <c r="AH87" i="1" s="1"/>
  <c r="Y87" i="1"/>
  <c r="AI87" i="1" s="1"/>
  <c r="Z87" i="1"/>
  <c r="AJ87" i="1" s="1"/>
  <c r="V88" i="1"/>
  <c r="AF88" i="1" s="1"/>
  <c r="W88" i="1"/>
  <c r="AG88" i="1" s="1"/>
  <c r="X88" i="1"/>
  <c r="AH88" i="1" s="1"/>
  <c r="Y88" i="1"/>
  <c r="AI88" i="1" s="1"/>
  <c r="Z88" i="1"/>
  <c r="AJ88" i="1" s="1"/>
  <c r="V89" i="1"/>
  <c r="AF89" i="1" s="1"/>
  <c r="W89" i="1"/>
  <c r="AG89" i="1" s="1"/>
  <c r="X89" i="1"/>
  <c r="AH89" i="1" s="1"/>
  <c r="Y89" i="1"/>
  <c r="AI89" i="1" s="1"/>
  <c r="Z89" i="1"/>
  <c r="AJ89" i="1" s="1"/>
  <c r="V90" i="1"/>
  <c r="AF90" i="1" s="1"/>
  <c r="W90" i="1"/>
  <c r="AG90" i="1" s="1"/>
  <c r="X90" i="1"/>
  <c r="AH90" i="1" s="1"/>
  <c r="Y90" i="1"/>
  <c r="AI90" i="1" s="1"/>
  <c r="Z90" i="1"/>
  <c r="AJ90" i="1" s="1"/>
  <c r="V91" i="1"/>
  <c r="AF91" i="1" s="1"/>
  <c r="W91" i="1"/>
  <c r="AG91" i="1" s="1"/>
  <c r="X91" i="1"/>
  <c r="AH91" i="1" s="1"/>
  <c r="Y91" i="1"/>
  <c r="AI91" i="1" s="1"/>
  <c r="Z91" i="1"/>
  <c r="AJ91" i="1" s="1"/>
  <c r="V92" i="1"/>
  <c r="AF92" i="1" s="1"/>
  <c r="W92" i="1"/>
  <c r="AG92" i="1" s="1"/>
  <c r="X92" i="1"/>
  <c r="AH92" i="1" s="1"/>
  <c r="Y92" i="1"/>
  <c r="AI92" i="1" s="1"/>
  <c r="Z92" i="1"/>
  <c r="AJ92" i="1" s="1"/>
  <c r="V93" i="1"/>
  <c r="AF93" i="1" s="1"/>
  <c r="W93" i="1"/>
  <c r="AG93" i="1" s="1"/>
  <c r="X93" i="1"/>
  <c r="AH93" i="1" s="1"/>
  <c r="Y93" i="1"/>
  <c r="AI93" i="1" s="1"/>
  <c r="Z93" i="1"/>
  <c r="AJ93" i="1" s="1"/>
  <c r="V94" i="1"/>
  <c r="AF94" i="1" s="1"/>
  <c r="W94" i="1"/>
  <c r="AG94" i="1" s="1"/>
  <c r="X94" i="1"/>
  <c r="AH94" i="1" s="1"/>
  <c r="Y94" i="1"/>
  <c r="AI94" i="1" s="1"/>
  <c r="Z94" i="1"/>
  <c r="AJ94" i="1" s="1"/>
  <c r="V95" i="1"/>
  <c r="AF95" i="1" s="1"/>
  <c r="W95" i="1"/>
  <c r="AG95" i="1" s="1"/>
  <c r="X95" i="1"/>
  <c r="AH95" i="1" s="1"/>
  <c r="Y95" i="1"/>
  <c r="AI95" i="1" s="1"/>
  <c r="Z95" i="1"/>
  <c r="AJ95" i="1" s="1"/>
  <c r="V96" i="1"/>
  <c r="AF96" i="1" s="1"/>
  <c r="W96" i="1"/>
  <c r="AG96" i="1" s="1"/>
  <c r="X96" i="1"/>
  <c r="AH96" i="1" s="1"/>
  <c r="Y96" i="1"/>
  <c r="AI96" i="1" s="1"/>
  <c r="Z96" i="1"/>
  <c r="AJ96" i="1" s="1"/>
  <c r="V97" i="1"/>
  <c r="AF97" i="1" s="1"/>
  <c r="W97" i="1"/>
  <c r="AG97" i="1" s="1"/>
  <c r="X97" i="1"/>
  <c r="AH97" i="1" s="1"/>
  <c r="Y97" i="1"/>
  <c r="AI97" i="1" s="1"/>
  <c r="Z97" i="1"/>
  <c r="AJ97" i="1" s="1"/>
  <c r="V98" i="1"/>
  <c r="AF98" i="1" s="1"/>
  <c r="W98" i="1"/>
  <c r="AG98" i="1" s="1"/>
  <c r="X98" i="1"/>
  <c r="AH98" i="1" s="1"/>
  <c r="Y98" i="1"/>
  <c r="AI98" i="1" s="1"/>
  <c r="Z98" i="1"/>
  <c r="AJ98" i="1" s="1"/>
  <c r="V99" i="1"/>
  <c r="AF99" i="1" s="1"/>
  <c r="W99" i="1"/>
  <c r="AG99" i="1" s="1"/>
  <c r="X99" i="1"/>
  <c r="AH99" i="1" s="1"/>
  <c r="Y99" i="1"/>
  <c r="AI99" i="1" s="1"/>
  <c r="Z99" i="1"/>
  <c r="AJ99" i="1" s="1"/>
  <c r="V100" i="1"/>
  <c r="AF100" i="1" s="1"/>
  <c r="W100" i="1"/>
  <c r="AG100" i="1" s="1"/>
  <c r="X100" i="1"/>
  <c r="AH100" i="1" s="1"/>
  <c r="Y100" i="1"/>
  <c r="AI100" i="1" s="1"/>
  <c r="Z100" i="1"/>
  <c r="AJ100" i="1" s="1"/>
  <c r="V101" i="1"/>
  <c r="AF101" i="1" s="1"/>
  <c r="W101" i="1"/>
  <c r="AG101" i="1" s="1"/>
  <c r="X101" i="1"/>
  <c r="AH101" i="1" s="1"/>
  <c r="Y101" i="1"/>
  <c r="AI101" i="1" s="1"/>
  <c r="Z101" i="1"/>
  <c r="AJ101" i="1" s="1"/>
  <c r="V102" i="1"/>
  <c r="AF102" i="1" s="1"/>
  <c r="W102" i="1"/>
  <c r="AG102" i="1" s="1"/>
  <c r="X102" i="1"/>
  <c r="AH102" i="1" s="1"/>
  <c r="Y102" i="1"/>
  <c r="AI102" i="1" s="1"/>
  <c r="Z102" i="1"/>
  <c r="AJ102" i="1" s="1"/>
  <c r="V103" i="1"/>
  <c r="AF103" i="1" s="1"/>
  <c r="W103" i="1"/>
  <c r="AG103" i="1" s="1"/>
  <c r="X103" i="1"/>
  <c r="AH103" i="1" s="1"/>
  <c r="Y103" i="1"/>
  <c r="AI103" i="1" s="1"/>
  <c r="Z103" i="1"/>
  <c r="AJ103" i="1" s="1"/>
  <c r="V104" i="1"/>
  <c r="AF104" i="1" s="1"/>
  <c r="W104" i="1"/>
  <c r="AG104" i="1" s="1"/>
  <c r="X104" i="1"/>
  <c r="AH104" i="1" s="1"/>
  <c r="Y104" i="1"/>
  <c r="AI104" i="1" s="1"/>
  <c r="Z104" i="1"/>
  <c r="AJ104" i="1" s="1"/>
  <c r="V105" i="1"/>
  <c r="AF105" i="1" s="1"/>
  <c r="W105" i="1"/>
  <c r="AG105" i="1" s="1"/>
  <c r="X105" i="1"/>
  <c r="AH105" i="1" s="1"/>
  <c r="Y105" i="1"/>
  <c r="AI105" i="1" s="1"/>
  <c r="Z105" i="1"/>
  <c r="AJ105" i="1" s="1"/>
  <c r="V106" i="1"/>
  <c r="AF106" i="1" s="1"/>
  <c r="W106" i="1"/>
  <c r="AG106" i="1" s="1"/>
  <c r="X106" i="1"/>
  <c r="AH106" i="1" s="1"/>
  <c r="Y106" i="1"/>
  <c r="AI106" i="1" s="1"/>
  <c r="Z106" i="1"/>
  <c r="AJ106" i="1" s="1"/>
  <c r="V107" i="1"/>
  <c r="AF107" i="1" s="1"/>
  <c r="W107" i="1"/>
  <c r="AG107" i="1" s="1"/>
  <c r="X107" i="1"/>
  <c r="AH107" i="1" s="1"/>
  <c r="Y107" i="1"/>
  <c r="AI107" i="1" s="1"/>
  <c r="Z107" i="1"/>
  <c r="AJ107" i="1" s="1"/>
  <c r="V108" i="1"/>
  <c r="AF108" i="1" s="1"/>
  <c r="W108" i="1"/>
  <c r="AG108" i="1" s="1"/>
  <c r="X108" i="1"/>
  <c r="AH108" i="1" s="1"/>
  <c r="Y108" i="1"/>
  <c r="AI108" i="1" s="1"/>
  <c r="Z108" i="1"/>
  <c r="AJ108" i="1" s="1"/>
  <c r="V109" i="1"/>
  <c r="AF109" i="1" s="1"/>
  <c r="W109" i="1"/>
  <c r="AG109" i="1" s="1"/>
  <c r="X109" i="1"/>
  <c r="AH109" i="1" s="1"/>
  <c r="Y109" i="1"/>
  <c r="AI109" i="1" s="1"/>
  <c r="Z109" i="1"/>
  <c r="AJ109" i="1" s="1"/>
  <c r="V110" i="1"/>
  <c r="AF110" i="1" s="1"/>
  <c r="W110" i="1"/>
  <c r="AG110" i="1" s="1"/>
  <c r="X110" i="1"/>
  <c r="AH110" i="1" s="1"/>
  <c r="Y110" i="1"/>
  <c r="AI110" i="1" s="1"/>
  <c r="Z110" i="1"/>
  <c r="AJ110" i="1" s="1"/>
  <c r="V111" i="1"/>
  <c r="AF111" i="1" s="1"/>
  <c r="W111" i="1"/>
  <c r="AG111" i="1" s="1"/>
  <c r="X111" i="1"/>
  <c r="AH111" i="1" s="1"/>
  <c r="Y111" i="1"/>
  <c r="AI111" i="1" s="1"/>
  <c r="Z111" i="1"/>
  <c r="AJ111" i="1" s="1"/>
  <c r="V112" i="1"/>
  <c r="AF112" i="1" s="1"/>
  <c r="W112" i="1"/>
  <c r="AG112" i="1" s="1"/>
  <c r="X112" i="1"/>
  <c r="AH112" i="1" s="1"/>
  <c r="Y112" i="1"/>
  <c r="AI112" i="1" s="1"/>
  <c r="Z112" i="1"/>
  <c r="AJ112" i="1" s="1"/>
  <c r="V113" i="1"/>
  <c r="AF113" i="1" s="1"/>
  <c r="W113" i="1"/>
  <c r="AG113" i="1" s="1"/>
  <c r="X113" i="1"/>
  <c r="AH113" i="1" s="1"/>
  <c r="Y113" i="1"/>
  <c r="AI113" i="1" s="1"/>
  <c r="Z113" i="1"/>
  <c r="AJ113" i="1" s="1"/>
  <c r="V114" i="1"/>
  <c r="AF114" i="1" s="1"/>
  <c r="W114" i="1"/>
  <c r="AG114" i="1" s="1"/>
  <c r="X114" i="1"/>
  <c r="AH114" i="1" s="1"/>
  <c r="Y114" i="1"/>
  <c r="AI114" i="1" s="1"/>
  <c r="Z114" i="1"/>
  <c r="AJ114" i="1" s="1"/>
  <c r="V115" i="1"/>
  <c r="AF115" i="1" s="1"/>
  <c r="W115" i="1"/>
  <c r="AG115" i="1" s="1"/>
  <c r="X115" i="1"/>
  <c r="AH115" i="1" s="1"/>
  <c r="Y115" i="1"/>
  <c r="AI115" i="1" s="1"/>
  <c r="Z115" i="1"/>
  <c r="AJ115" i="1" s="1"/>
  <c r="V116" i="1"/>
  <c r="AF116" i="1" s="1"/>
  <c r="W116" i="1"/>
  <c r="AG116" i="1" s="1"/>
  <c r="X116" i="1"/>
  <c r="AH116" i="1" s="1"/>
  <c r="Y116" i="1"/>
  <c r="AI116" i="1" s="1"/>
  <c r="Z116" i="1"/>
  <c r="AJ116" i="1" s="1"/>
  <c r="V117" i="1"/>
  <c r="AF117" i="1" s="1"/>
  <c r="W117" i="1"/>
  <c r="AG117" i="1" s="1"/>
  <c r="X117" i="1"/>
  <c r="AH117" i="1" s="1"/>
  <c r="Y117" i="1"/>
  <c r="AI117" i="1" s="1"/>
  <c r="Z117" i="1"/>
  <c r="AJ117" i="1" s="1"/>
  <c r="V118" i="1"/>
  <c r="AF118" i="1" s="1"/>
  <c r="W118" i="1"/>
  <c r="AG118" i="1" s="1"/>
  <c r="X118" i="1"/>
  <c r="AH118" i="1" s="1"/>
  <c r="Y118" i="1"/>
  <c r="AI118" i="1" s="1"/>
  <c r="Z118" i="1"/>
  <c r="AJ118" i="1" s="1"/>
  <c r="V119" i="1"/>
  <c r="AF119" i="1" s="1"/>
  <c r="W119" i="1"/>
  <c r="AG119" i="1" s="1"/>
  <c r="X119" i="1"/>
  <c r="AH119" i="1" s="1"/>
  <c r="Y119" i="1"/>
  <c r="AI119" i="1" s="1"/>
  <c r="Z119" i="1"/>
  <c r="AJ119" i="1" s="1"/>
  <c r="V120" i="1"/>
  <c r="AF120" i="1" s="1"/>
  <c r="W120" i="1"/>
  <c r="AG120" i="1" s="1"/>
  <c r="X120" i="1"/>
  <c r="AH120" i="1" s="1"/>
  <c r="Y120" i="1"/>
  <c r="AI120" i="1" s="1"/>
  <c r="Z120" i="1"/>
  <c r="AJ120" i="1" s="1"/>
  <c r="V121" i="1"/>
  <c r="AF121" i="1" s="1"/>
  <c r="W121" i="1"/>
  <c r="AG121" i="1" s="1"/>
  <c r="X121" i="1"/>
  <c r="AH121" i="1" s="1"/>
  <c r="Y121" i="1"/>
  <c r="AI121" i="1" s="1"/>
  <c r="Z121" i="1"/>
  <c r="AJ121" i="1" s="1"/>
  <c r="V122" i="1"/>
  <c r="AF122" i="1" s="1"/>
  <c r="W122" i="1"/>
  <c r="AG122" i="1" s="1"/>
  <c r="X122" i="1"/>
  <c r="AH122" i="1" s="1"/>
  <c r="Y122" i="1"/>
  <c r="AI122" i="1" s="1"/>
  <c r="Z122" i="1"/>
  <c r="AJ122" i="1" s="1"/>
  <c r="V123" i="1"/>
  <c r="AF123" i="1" s="1"/>
  <c r="W123" i="1"/>
  <c r="AG123" i="1" s="1"/>
  <c r="X123" i="1"/>
  <c r="AH123" i="1" s="1"/>
  <c r="Y123" i="1"/>
  <c r="AI123" i="1" s="1"/>
  <c r="Z123" i="1"/>
  <c r="AJ123" i="1" s="1"/>
  <c r="V124" i="1"/>
  <c r="AF124" i="1" s="1"/>
  <c r="W124" i="1"/>
  <c r="AG124" i="1" s="1"/>
  <c r="X124" i="1"/>
  <c r="AH124" i="1" s="1"/>
  <c r="Y124" i="1"/>
  <c r="AI124" i="1" s="1"/>
  <c r="Z124" i="1"/>
  <c r="AJ124" i="1" s="1"/>
  <c r="V125" i="1"/>
  <c r="AF125" i="1" s="1"/>
  <c r="W125" i="1"/>
  <c r="AG125" i="1" s="1"/>
  <c r="X125" i="1"/>
  <c r="AH125" i="1" s="1"/>
  <c r="Y125" i="1"/>
  <c r="AI125" i="1" s="1"/>
  <c r="Z125" i="1"/>
  <c r="AJ125" i="1" s="1"/>
  <c r="V126" i="1"/>
  <c r="AF126" i="1" s="1"/>
  <c r="W126" i="1"/>
  <c r="AG126" i="1" s="1"/>
  <c r="X126" i="1"/>
  <c r="AH126" i="1" s="1"/>
  <c r="Y126" i="1"/>
  <c r="AI126" i="1" s="1"/>
  <c r="Z126" i="1"/>
  <c r="AJ126" i="1" s="1"/>
  <c r="V127" i="1"/>
  <c r="AF127" i="1" s="1"/>
  <c r="W127" i="1"/>
  <c r="AG127" i="1" s="1"/>
  <c r="X127" i="1"/>
  <c r="AH127" i="1" s="1"/>
  <c r="Y127" i="1"/>
  <c r="AI127" i="1" s="1"/>
  <c r="Z127" i="1"/>
  <c r="AJ127" i="1" s="1"/>
  <c r="V128" i="1"/>
  <c r="AF128" i="1" s="1"/>
  <c r="W128" i="1"/>
  <c r="AG128" i="1" s="1"/>
  <c r="X128" i="1"/>
  <c r="AH128" i="1" s="1"/>
  <c r="Y128" i="1"/>
  <c r="AI128" i="1" s="1"/>
  <c r="Z128" i="1"/>
  <c r="AJ128" i="1" s="1"/>
  <c r="V129" i="1"/>
  <c r="AF129" i="1" s="1"/>
  <c r="W129" i="1"/>
  <c r="AG129" i="1" s="1"/>
  <c r="X129" i="1"/>
  <c r="AH129" i="1" s="1"/>
  <c r="Y129" i="1"/>
  <c r="AI129" i="1" s="1"/>
  <c r="Z129" i="1"/>
  <c r="AJ129" i="1" s="1"/>
  <c r="V130" i="1"/>
  <c r="AF130" i="1" s="1"/>
  <c r="W130" i="1"/>
  <c r="AG130" i="1" s="1"/>
  <c r="X130" i="1"/>
  <c r="AH130" i="1" s="1"/>
  <c r="Y130" i="1"/>
  <c r="AI130" i="1" s="1"/>
  <c r="Z130" i="1"/>
  <c r="AJ130" i="1" s="1"/>
  <c r="V131" i="1"/>
  <c r="AF131" i="1" s="1"/>
  <c r="W131" i="1"/>
  <c r="AG131" i="1" s="1"/>
  <c r="X131" i="1"/>
  <c r="AH131" i="1" s="1"/>
  <c r="Y131" i="1"/>
  <c r="AI131" i="1" s="1"/>
  <c r="Z131" i="1"/>
  <c r="AJ131" i="1" s="1"/>
  <c r="V132" i="1"/>
  <c r="AF132" i="1" s="1"/>
  <c r="W132" i="1"/>
  <c r="AG132" i="1" s="1"/>
  <c r="X132" i="1"/>
  <c r="AH132" i="1" s="1"/>
  <c r="Y132" i="1"/>
  <c r="AI132" i="1" s="1"/>
  <c r="Z132" i="1"/>
  <c r="AJ132" i="1" s="1"/>
  <c r="V133" i="1"/>
  <c r="AF133" i="1" s="1"/>
  <c r="W133" i="1"/>
  <c r="AG133" i="1" s="1"/>
  <c r="X133" i="1"/>
  <c r="AH133" i="1" s="1"/>
  <c r="Y133" i="1"/>
  <c r="AI133" i="1" s="1"/>
  <c r="Z133" i="1"/>
  <c r="AJ133" i="1" s="1"/>
  <c r="V134" i="1"/>
  <c r="AF134" i="1" s="1"/>
  <c r="W134" i="1"/>
  <c r="AG134" i="1" s="1"/>
  <c r="X134" i="1"/>
  <c r="AH134" i="1" s="1"/>
  <c r="Y134" i="1"/>
  <c r="AI134" i="1" s="1"/>
  <c r="Z134" i="1"/>
  <c r="AJ134" i="1" s="1"/>
  <c r="V135" i="1"/>
  <c r="AF135" i="1" s="1"/>
  <c r="W135" i="1"/>
  <c r="AG135" i="1" s="1"/>
  <c r="X135" i="1"/>
  <c r="AH135" i="1" s="1"/>
  <c r="Y135" i="1"/>
  <c r="AI135" i="1" s="1"/>
  <c r="Z135" i="1"/>
  <c r="AJ135" i="1" s="1"/>
  <c r="V136" i="1"/>
  <c r="AF136" i="1" s="1"/>
  <c r="W136" i="1"/>
  <c r="AG136" i="1" s="1"/>
  <c r="X136" i="1"/>
  <c r="AH136" i="1" s="1"/>
  <c r="Y136" i="1"/>
  <c r="AI136" i="1" s="1"/>
  <c r="Z136" i="1"/>
  <c r="AJ136" i="1" s="1"/>
  <c r="V137" i="1"/>
  <c r="AF137" i="1" s="1"/>
  <c r="W137" i="1"/>
  <c r="AG137" i="1" s="1"/>
  <c r="X137" i="1"/>
  <c r="AH137" i="1" s="1"/>
  <c r="Y137" i="1"/>
  <c r="AI137" i="1" s="1"/>
  <c r="Z137" i="1"/>
  <c r="AJ137" i="1" s="1"/>
  <c r="V138" i="1"/>
  <c r="AF138" i="1" s="1"/>
  <c r="W138" i="1"/>
  <c r="AG138" i="1" s="1"/>
  <c r="X138" i="1"/>
  <c r="AH138" i="1" s="1"/>
  <c r="Y138" i="1"/>
  <c r="AI138" i="1" s="1"/>
  <c r="Z138" i="1"/>
  <c r="AJ138" i="1" s="1"/>
  <c r="V139" i="1"/>
  <c r="AF139" i="1" s="1"/>
  <c r="W139" i="1"/>
  <c r="AG139" i="1" s="1"/>
  <c r="X139" i="1"/>
  <c r="AH139" i="1" s="1"/>
  <c r="Y139" i="1"/>
  <c r="AI139" i="1" s="1"/>
  <c r="Z139" i="1"/>
  <c r="AJ139" i="1" s="1"/>
  <c r="V140" i="1"/>
  <c r="AF140" i="1" s="1"/>
  <c r="W140" i="1"/>
  <c r="AG140" i="1" s="1"/>
  <c r="X140" i="1"/>
  <c r="AH140" i="1" s="1"/>
  <c r="Y140" i="1"/>
  <c r="AI140" i="1" s="1"/>
  <c r="Z140" i="1"/>
  <c r="AJ140" i="1" s="1"/>
  <c r="V141" i="1"/>
  <c r="AF141" i="1" s="1"/>
  <c r="W141" i="1"/>
  <c r="AG141" i="1" s="1"/>
  <c r="X141" i="1"/>
  <c r="AH141" i="1" s="1"/>
  <c r="Y141" i="1"/>
  <c r="AI141" i="1" s="1"/>
  <c r="Z141" i="1"/>
  <c r="AJ141" i="1" s="1"/>
  <c r="V142" i="1"/>
  <c r="AF142" i="1" s="1"/>
  <c r="W142" i="1"/>
  <c r="AG142" i="1" s="1"/>
  <c r="X142" i="1"/>
  <c r="AH142" i="1" s="1"/>
  <c r="Y142" i="1"/>
  <c r="AI142" i="1" s="1"/>
  <c r="Z142" i="1"/>
  <c r="AJ142" i="1" s="1"/>
  <c r="V143" i="1"/>
  <c r="AF143" i="1" s="1"/>
  <c r="W143" i="1"/>
  <c r="AG143" i="1" s="1"/>
  <c r="X143" i="1"/>
  <c r="AH143" i="1" s="1"/>
  <c r="Y143" i="1"/>
  <c r="AI143" i="1" s="1"/>
  <c r="Z143" i="1"/>
  <c r="AJ143" i="1" s="1"/>
  <c r="V144" i="1"/>
  <c r="AF144" i="1" s="1"/>
  <c r="W144" i="1"/>
  <c r="AG144" i="1" s="1"/>
  <c r="X144" i="1"/>
  <c r="AH144" i="1" s="1"/>
  <c r="Y144" i="1"/>
  <c r="AI144" i="1" s="1"/>
  <c r="Z144" i="1"/>
  <c r="AJ144" i="1" s="1"/>
  <c r="V145" i="1"/>
  <c r="AF145" i="1" s="1"/>
  <c r="W145" i="1"/>
  <c r="AG145" i="1" s="1"/>
  <c r="X145" i="1"/>
  <c r="AH145" i="1" s="1"/>
  <c r="Y145" i="1"/>
  <c r="AI145" i="1" s="1"/>
  <c r="Z145" i="1"/>
  <c r="AJ145" i="1" s="1"/>
  <c r="V146" i="1"/>
  <c r="AF146" i="1" s="1"/>
  <c r="W146" i="1"/>
  <c r="AG146" i="1" s="1"/>
  <c r="X146" i="1"/>
  <c r="AH146" i="1" s="1"/>
  <c r="Y146" i="1"/>
  <c r="AI146" i="1" s="1"/>
  <c r="Z146" i="1"/>
  <c r="AJ146" i="1" s="1"/>
  <c r="V147" i="1"/>
  <c r="AF147" i="1" s="1"/>
  <c r="W147" i="1"/>
  <c r="AG147" i="1" s="1"/>
  <c r="X147" i="1"/>
  <c r="AH147" i="1" s="1"/>
  <c r="Y147" i="1"/>
  <c r="AI147" i="1" s="1"/>
  <c r="Z147" i="1"/>
  <c r="AJ147" i="1" s="1"/>
  <c r="V148" i="1"/>
  <c r="AF148" i="1" s="1"/>
  <c r="W148" i="1"/>
  <c r="AG148" i="1" s="1"/>
  <c r="X148" i="1"/>
  <c r="AH148" i="1" s="1"/>
  <c r="Y148" i="1"/>
  <c r="AI148" i="1" s="1"/>
  <c r="Z148" i="1"/>
  <c r="AJ148" i="1" s="1"/>
  <c r="V149" i="1"/>
  <c r="AF149" i="1" s="1"/>
  <c r="W149" i="1"/>
  <c r="AG149" i="1" s="1"/>
  <c r="X149" i="1"/>
  <c r="AH149" i="1" s="1"/>
  <c r="Y149" i="1"/>
  <c r="AI149" i="1" s="1"/>
  <c r="Z149" i="1"/>
  <c r="AJ149" i="1" s="1"/>
  <c r="V150" i="1"/>
  <c r="AF150" i="1" s="1"/>
  <c r="W150" i="1"/>
  <c r="AG150" i="1" s="1"/>
  <c r="X150" i="1"/>
  <c r="AH150" i="1" s="1"/>
  <c r="Y150" i="1"/>
  <c r="AI150" i="1" s="1"/>
  <c r="Z150" i="1"/>
  <c r="AJ150" i="1" s="1"/>
  <c r="V151" i="1"/>
  <c r="AF151" i="1" s="1"/>
  <c r="W151" i="1"/>
  <c r="AG151" i="1" s="1"/>
  <c r="X151" i="1"/>
  <c r="AH151" i="1" s="1"/>
  <c r="Y151" i="1"/>
  <c r="AI151" i="1" s="1"/>
  <c r="Z151" i="1"/>
  <c r="AJ151" i="1" s="1"/>
  <c r="V152" i="1"/>
  <c r="AF152" i="1" s="1"/>
  <c r="W152" i="1"/>
  <c r="AG152" i="1" s="1"/>
  <c r="X152" i="1"/>
  <c r="AH152" i="1" s="1"/>
  <c r="Y152" i="1"/>
  <c r="AI152" i="1" s="1"/>
  <c r="Z152" i="1"/>
  <c r="AJ152" i="1" s="1"/>
  <c r="V153" i="1"/>
  <c r="AF153" i="1" s="1"/>
  <c r="W153" i="1"/>
  <c r="AG153" i="1" s="1"/>
  <c r="X153" i="1"/>
  <c r="AH153" i="1" s="1"/>
  <c r="Y153" i="1"/>
  <c r="AI153" i="1" s="1"/>
  <c r="Z153" i="1"/>
  <c r="AJ153" i="1" s="1"/>
  <c r="V154" i="1"/>
  <c r="AF154" i="1" s="1"/>
  <c r="W154" i="1"/>
  <c r="AG154" i="1" s="1"/>
  <c r="X154" i="1"/>
  <c r="AH154" i="1" s="1"/>
  <c r="Y154" i="1"/>
  <c r="AI154" i="1" s="1"/>
  <c r="Z154" i="1"/>
  <c r="AJ154" i="1" s="1"/>
  <c r="V155" i="1"/>
  <c r="AF155" i="1" s="1"/>
  <c r="W155" i="1"/>
  <c r="AG155" i="1" s="1"/>
  <c r="X155" i="1"/>
  <c r="AH155" i="1" s="1"/>
  <c r="Y155" i="1"/>
  <c r="AI155" i="1" s="1"/>
  <c r="Z155" i="1"/>
  <c r="AJ155" i="1" s="1"/>
  <c r="V156" i="1"/>
  <c r="AF156" i="1" s="1"/>
  <c r="W156" i="1"/>
  <c r="AG156" i="1" s="1"/>
  <c r="X156" i="1"/>
  <c r="AH156" i="1" s="1"/>
  <c r="Y156" i="1"/>
  <c r="AI156" i="1" s="1"/>
  <c r="Z156" i="1"/>
  <c r="AJ156" i="1" s="1"/>
  <c r="V157" i="1"/>
  <c r="AF157" i="1" s="1"/>
  <c r="W157" i="1"/>
  <c r="AG157" i="1" s="1"/>
  <c r="X157" i="1"/>
  <c r="AH157" i="1" s="1"/>
  <c r="Y157" i="1"/>
  <c r="AI157" i="1" s="1"/>
  <c r="Z157" i="1"/>
  <c r="AJ157" i="1" s="1"/>
  <c r="V158" i="1"/>
  <c r="AF158" i="1" s="1"/>
  <c r="W158" i="1"/>
  <c r="AG158" i="1" s="1"/>
  <c r="X158" i="1"/>
  <c r="AH158" i="1" s="1"/>
  <c r="Y158" i="1"/>
  <c r="AI158" i="1" s="1"/>
  <c r="Z158" i="1"/>
  <c r="AJ158" i="1" s="1"/>
  <c r="V159" i="1"/>
  <c r="AF159" i="1" s="1"/>
  <c r="W159" i="1"/>
  <c r="AG159" i="1" s="1"/>
  <c r="X159" i="1"/>
  <c r="AH159" i="1" s="1"/>
  <c r="Y159" i="1"/>
  <c r="AI159" i="1" s="1"/>
  <c r="Z159" i="1"/>
  <c r="AJ159" i="1" s="1"/>
  <c r="V160" i="1"/>
  <c r="AF160" i="1" s="1"/>
  <c r="W160" i="1"/>
  <c r="AG160" i="1" s="1"/>
  <c r="X160" i="1"/>
  <c r="AH160" i="1" s="1"/>
  <c r="Y160" i="1"/>
  <c r="AI160" i="1" s="1"/>
  <c r="Z160" i="1"/>
  <c r="AJ160" i="1" s="1"/>
  <c r="V161" i="1"/>
  <c r="AF161" i="1" s="1"/>
  <c r="W161" i="1"/>
  <c r="AG161" i="1" s="1"/>
  <c r="X161" i="1"/>
  <c r="AH161" i="1" s="1"/>
  <c r="Y161" i="1"/>
  <c r="AI161" i="1" s="1"/>
  <c r="Z161" i="1"/>
  <c r="AJ161" i="1" s="1"/>
  <c r="V162" i="1"/>
  <c r="AF162" i="1" s="1"/>
  <c r="W162" i="1"/>
  <c r="AG162" i="1" s="1"/>
  <c r="X162" i="1"/>
  <c r="AH162" i="1" s="1"/>
  <c r="Y162" i="1"/>
  <c r="AI162" i="1" s="1"/>
  <c r="Z162" i="1"/>
  <c r="AJ162" i="1" s="1"/>
  <c r="V163" i="1"/>
  <c r="AF163" i="1" s="1"/>
  <c r="W163" i="1"/>
  <c r="AG163" i="1" s="1"/>
  <c r="X163" i="1"/>
  <c r="AH163" i="1" s="1"/>
  <c r="Y163" i="1"/>
  <c r="AI163" i="1" s="1"/>
  <c r="Z163" i="1"/>
  <c r="AJ163" i="1" s="1"/>
  <c r="V164" i="1"/>
  <c r="AF164" i="1" s="1"/>
  <c r="W164" i="1"/>
  <c r="AG164" i="1" s="1"/>
  <c r="X164" i="1"/>
  <c r="AH164" i="1" s="1"/>
  <c r="Y164" i="1"/>
  <c r="AI164" i="1" s="1"/>
  <c r="Z164" i="1"/>
  <c r="AJ164" i="1" s="1"/>
  <c r="V165" i="1"/>
  <c r="AF165" i="1" s="1"/>
  <c r="W165" i="1"/>
  <c r="AG165" i="1" s="1"/>
  <c r="X165" i="1"/>
  <c r="AH165" i="1" s="1"/>
  <c r="Y165" i="1"/>
  <c r="AI165" i="1" s="1"/>
  <c r="Z165" i="1"/>
  <c r="AJ165" i="1" s="1"/>
  <c r="V166" i="1"/>
  <c r="AF166" i="1" s="1"/>
  <c r="W166" i="1"/>
  <c r="AG166" i="1" s="1"/>
  <c r="X166" i="1"/>
  <c r="AH166" i="1" s="1"/>
  <c r="Y166" i="1"/>
  <c r="AI166" i="1" s="1"/>
  <c r="Z166" i="1"/>
  <c r="AJ166" i="1" s="1"/>
  <c r="V167" i="1"/>
  <c r="AF167" i="1" s="1"/>
  <c r="W167" i="1"/>
  <c r="AG167" i="1" s="1"/>
  <c r="X167" i="1"/>
  <c r="AH167" i="1" s="1"/>
  <c r="Y167" i="1"/>
  <c r="AI167" i="1" s="1"/>
  <c r="Z167" i="1"/>
  <c r="AJ167" i="1" s="1"/>
  <c r="V168" i="1"/>
  <c r="AF168" i="1" s="1"/>
  <c r="W168" i="1"/>
  <c r="AG168" i="1" s="1"/>
  <c r="X168" i="1"/>
  <c r="AH168" i="1" s="1"/>
  <c r="Y168" i="1"/>
  <c r="AI168" i="1" s="1"/>
  <c r="Z168" i="1"/>
  <c r="AJ168" i="1" s="1"/>
  <c r="V169" i="1"/>
  <c r="AF169" i="1" s="1"/>
  <c r="W169" i="1"/>
  <c r="AG169" i="1" s="1"/>
  <c r="X169" i="1"/>
  <c r="AH169" i="1" s="1"/>
  <c r="Y169" i="1"/>
  <c r="AI169" i="1" s="1"/>
  <c r="Z169" i="1"/>
  <c r="AJ169" i="1" s="1"/>
  <c r="V170" i="1"/>
  <c r="AF170" i="1" s="1"/>
  <c r="W170" i="1"/>
  <c r="AG170" i="1" s="1"/>
  <c r="X170" i="1"/>
  <c r="AH170" i="1" s="1"/>
  <c r="Y170" i="1"/>
  <c r="AI170" i="1" s="1"/>
  <c r="Z170" i="1"/>
  <c r="AJ170" i="1" s="1"/>
  <c r="V171" i="1"/>
  <c r="AF171" i="1" s="1"/>
  <c r="W171" i="1"/>
  <c r="AG171" i="1" s="1"/>
  <c r="X171" i="1"/>
  <c r="AH171" i="1" s="1"/>
  <c r="Y171" i="1"/>
  <c r="AI171" i="1" s="1"/>
  <c r="Z171" i="1"/>
  <c r="AJ171" i="1" s="1"/>
  <c r="V172" i="1"/>
  <c r="AF172" i="1" s="1"/>
  <c r="W172" i="1"/>
  <c r="AG172" i="1" s="1"/>
  <c r="X172" i="1"/>
  <c r="AH172" i="1" s="1"/>
  <c r="Y172" i="1"/>
  <c r="AI172" i="1" s="1"/>
  <c r="Z172" i="1"/>
  <c r="AJ172" i="1" s="1"/>
  <c r="V173" i="1"/>
  <c r="AF173" i="1" s="1"/>
  <c r="W173" i="1"/>
  <c r="AG173" i="1" s="1"/>
  <c r="X173" i="1"/>
  <c r="AH173" i="1" s="1"/>
  <c r="Y173" i="1"/>
  <c r="AI173" i="1" s="1"/>
  <c r="Z173" i="1"/>
  <c r="AJ173" i="1" s="1"/>
  <c r="V174" i="1"/>
  <c r="AF174" i="1" s="1"/>
  <c r="W174" i="1"/>
  <c r="AG174" i="1" s="1"/>
  <c r="X174" i="1"/>
  <c r="AH174" i="1" s="1"/>
  <c r="Y174" i="1"/>
  <c r="AI174" i="1" s="1"/>
  <c r="Z174" i="1"/>
  <c r="AJ174" i="1" s="1"/>
  <c r="V175" i="1"/>
  <c r="AF175" i="1" s="1"/>
  <c r="W175" i="1"/>
  <c r="AG175" i="1" s="1"/>
  <c r="X175" i="1"/>
  <c r="AH175" i="1" s="1"/>
  <c r="Y175" i="1"/>
  <c r="AI175" i="1" s="1"/>
  <c r="Z175" i="1"/>
  <c r="AJ175" i="1" s="1"/>
  <c r="V176" i="1"/>
  <c r="AF176" i="1" s="1"/>
  <c r="W176" i="1"/>
  <c r="AG176" i="1" s="1"/>
  <c r="X176" i="1"/>
  <c r="AH176" i="1" s="1"/>
  <c r="Y176" i="1"/>
  <c r="AI176" i="1" s="1"/>
  <c r="Z176" i="1"/>
  <c r="AJ176" i="1" s="1"/>
  <c r="V177" i="1"/>
  <c r="AF177" i="1" s="1"/>
  <c r="W177" i="1"/>
  <c r="AG177" i="1" s="1"/>
  <c r="X177" i="1"/>
  <c r="AH177" i="1" s="1"/>
  <c r="Y177" i="1"/>
  <c r="AI177" i="1" s="1"/>
  <c r="Z177" i="1"/>
  <c r="AJ177" i="1" s="1"/>
  <c r="V178" i="1"/>
  <c r="AF178" i="1" s="1"/>
  <c r="W178" i="1"/>
  <c r="AG178" i="1" s="1"/>
  <c r="X178" i="1"/>
  <c r="AH178" i="1" s="1"/>
  <c r="Y178" i="1"/>
  <c r="AI178" i="1" s="1"/>
  <c r="Z178" i="1"/>
  <c r="AJ178" i="1" s="1"/>
  <c r="V179" i="1"/>
  <c r="AF179" i="1" s="1"/>
  <c r="W179" i="1"/>
  <c r="AG179" i="1" s="1"/>
  <c r="X179" i="1"/>
  <c r="AH179" i="1" s="1"/>
  <c r="Y179" i="1"/>
  <c r="AI179" i="1" s="1"/>
  <c r="Z179" i="1"/>
  <c r="AJ179" i="1" s="1"/>
  <c r="V180" i="1"/>
  <c r="AF180" i="1" s="1"/>
  <c r="W180" i="1"/>
  <c r="AG180" i="1" s="1"/>
  <c r="X180" i="1"/>
  <c r="AH180" i="1" s="1"/>
  <c r="Y180" i="1"/>
  <c r="AI180" i="1" s="1"/>
  <c r="Z180" i="1"/>
  <c r="AJ180" i="1" s="1"/>
  <c r="V181" i="1"/>
  <c r="AF181" i="1" s="1"/>
  <c r="W181" i="1"/>
  <c r="AG181" i="1" s="1"/>
  <c r="X181" i="1"/>
  <c r="AH181" i="1" s="1"/>
  <c r="Y181" i="1"/>
  <c r="AI181" i="1" s="1"/>
  <c r="Z181" i="1"/>
  <c r="AJ181" i="1" s="1"/>
  <c r="V182" i="1"/>
  <c r="AF182" i="1" s="1"/>
  <c r="W182" i="1"/>
  <c r="AG182" i="1" s="1"/>
  <c r="X182" i="1"/>
  <c r="AH182" i="1" s="1"/>
  <c r="Y182" i="1"/>
  <c r="AI182" i="1" s="1"/>
  <c r="Z182" i="1"/>
  <c r="AJ182" i="1" s="1"/>
  <c r="V183" i="1"/>
  <c r="AF183" i="1" s="1"/>
  <c r="W183" i="1"/>
  <c r="AG183" i="1" s="1"/>
  <c r="X183" i="1"/>
  <c r="AH183" i="1" s="1"/>
  <c r="Y183" i="1"/>
  <c r="AI183" i="1" s="1"/>
  <c r="Z183" i="1"/>
  <c r="AJ183" i="1" s="1"/>
  <c r="V184" i="1"/>
  <c r="AF184" i="1" s="1"/>
  <c r="W184" i="1"/>
  <c r="AG184" i="1" s="1"/>
  <c r="X184" i="1"/>
  <c r="AH184" i="1" s="1"/>
  <c r="Y184" i="1"/>
  <c r="AI184" i="1" s="1"/>
  <c r="Z184" i="1"/>
  <c r="AJ184" i="1" s="1"/>
  <c r="V185" i="1"/>
  <c r="AF185" i="1" s="1"/>
  <c r="W185" i="1"/>
  <c r="AG185" i="1" s="1"/>
  <c r="X185" i="1"/>
  <c r="AH185" i="1" s="1"/>
  <c r="Y185" i="1"/>
  <c r="AI185" i="1" s="1"/>
  <c r="Z185" i="1"/>
  <c r="AJ185" i="1" s="1"/>
  <c r="V186" i="1"/>
  <c r="AF186" i="1" s="1"/>
  <c r="W186" i="1"/>
  <c r="AG186" i="1" s="1"/>
  <c r="X186" i="1"/>
  <c r="AH186" i="1" s="1"/>
  <c r="Y186" i="1"/>
  <c r="AI186" i="1" s="1"/>
  <c r="Z186" i="1"/>
  <c r="AJ186" i="1" s="1"/>
  <c r="V187" i="1"/>
  <c r="AF187" i="1" s="1"/>
  <c r="W187" i="1"/>
  <c r="AG187" i="1" s="1"/>
  <c r="X187" i="1"/>
  <c r="AH187" i="1" s="1"/>
  <c r="Y187" i="1"/>
  <c r="AI187" i="1" s="1"/>
  <c r="Z187" i="1"/>
  <c r="AJ187" i="1" s="1"/>
  <c r="V188" i="1"/>
  <c r="AF188" i="1" s="1"/>
  <c r="W188" i="1"/>
  <c r="AG188" i="1" s="1"/>
  <c r="X188" i="1"/>
  <c r="AH188" i="1" s="1"/>
  <c r="Y188" i="1"/>
  <c r="AI188" i="1" s="1"/>
  <c r="Z188" i="1"/>
  <c r="AJ188" i="1" s="1"/>
  <c r="V189" i="1"/>
  <c r="AF189" i="1" s="1"/>
  <c r="W189" i="1"/>
  <c r="AG189" i="1" s="1"/>
  <c r="X189" i="1"/>
  <c r="AH189" i="1" s="1"/>
  <c r="Y189" i="1"/>
  <c r="AI189" i="1" s="1"/>
  <c r="Z189" i="1"/>
  <c r="AJ189" i="1" s="1"/>
  <c r="V190" i="1"/>
  <c r="AF190" i="1" s="1"/>
  <c r="W190" i="1"/>
  <c r="AG190" i="1" s="1"/>
  <c r="X190" i="1"/>
  <c r="AH190" i="1" s="1"/>
  <c r="Y190" i="1"/>
  <c r="AI190" i="1" s="1"/>
  <c r="Z190" i="1"/>
  <c r="AJ190" i="1" s="1"/>
  <c r="V191" i="1"/>
  <c r="AF191" i="1" s="1"/>
  <c r="W191" i="1"/>
  <c r="AG191" i="1" s="1"/>
  <c r="X191" i="1"/>
  <c r="AH191" i="1" s="1"/>
  <c r="Y191" i="1"/>
  <c r="AI191" i="1" s="1"/>
  <c r="Z191" i="1"/>
  <c r="AJ191" i="1" s="1"/>
  <c r="V192" i="1"/>
  <c r="AF192" i="1" s="1"/>
  <c r="W192" i="1"/>
  <c r="AG192" i="1" s="1"/>
  <c r="X192" i="1"/>
  <c r="AH192" i="1" s="1"/>
  <c r="Y192" i="1"/>
  <c r="AI192" i="1" s="1"/>
  <c r="Z192" i="1"/>
  <c r="AJ192" i="1" s="1"/>
  <c r="V193" i="1"/>
  <c r="AF193" i="1" s="1"/>
  <c r="W193" i="1"/>
  <c r="AG193" i="1" s="1"/>
  <c r="X193" i="1"/>
  <c r="AH193" i="1" s="1"/>
  <c r="Y193" i="1"/>
  <c r="AI193" i="1" s="1"/>
  <c r="Z193" i="1"/>
  <c r="AJ193" i="1" s="1"/>
  <c r="V194" i="1"/>
  <c r="AF194" i="1" s="1"/>
  <c r="W194" i="1"/>
  <c r="AG194" i="1" s="1"/>
  <c r="X194" i="1"/>
  <c r="AH194" i="1" s="1"/>
  <c r="Y194" i="1"/>
  <c r="AI194" i="1" s="1"/>
  <c r="Z194" i="1"/>
  <c r="AJ194" i="1" s="1"/>
  <c r="V195" i="1"/>
  <c r="AF195" i="1" s="1"/>
  <c r="W195" i="1"/>
  <c r="AG195" i="1" s="1"/>
  <c r="X195" i="1"/>
  <c r="AH195" i="1" s="1"/>
  <c r="Y195" i="1"/>
  <c r="AI195" i="1" s="1"/>
  <c r="Z195" i="1"/>
  <c r="AJ195" i="1" s="1"/>
  <c r="V196" i="1"/>
  <c r="AF196" i="1" s="1"/>
  <c r="W196" i="1"/>
  <c r="AG196" i="1" s="1"/>
  <c r="X196" i="1"/>
  <c r="AH196" i="1" s="1"/>
  <c r="Y196" i="1"/>
  <c r="AI196" i="1" s="1"/>
  <c r="Z196" i="1"/>
  <c r="AJ196" i="1" s="1"/>
  <c r="V197" i="1"/>
  <c r="AF197" i="1" s="1"/>
  <c r="W197" i="1"/>
  <c r="AG197" i="1" s="1"/>
  <c r="X197" i="1"/>
  <c r="AH197" i="1" s="1"/>
  <c r="Y197" i="1"/>
  <c r="AI197" i="1" s="1"/>
  <c r="Z197" i="1"/>
  <c r="AJ197" i="1" s="1"/>
  <c r="V198" i="1"/>
  <c r="AF198" i="1" s="1"/>
  <c r="W198" i="1"/>
  <c r="AG198" i="1" s="1"/>
  <c r="X198" i="1"/>
  <c r="AH198" i="1" s="1"/>
  <c r="Y198" i="1"/>
  <c r="AI198" i="1" s="1"/>
  <c r="Z198" i="1"/>
  <c r="AJ198" i="1" s="1"/>
  <c r="V199" i="1"/>
  <c r="AF199" i="1" s="1"/>
  <c r="W199" i="1"/>
  <c r="AG199" i="1" s="1"/>
  <c r="X199" i="1"/>
  <c r="AH199" i="1" s="1"/>
  <c r="Y199" i="1"/>
  <c r="AI199" i="1" s="1"/>
  <c r="Z199" i="1"/>
  <c r="AJ199" i="1" s="1"/>
  <c r="V200" i="1"/>
  <c r="AF200" i="1" s="1"/>
  <c r="W200" i="1"/>
  <c r="AG200" i="1" s="1"/>
  <c r="X200" i="1"/>
  <c r="AH200" i="1" s="1"/>
  <c r="Y200" i="1"/>
  <c r="AI200" i="1" s="1"/>
  <c r="Z200" i="1"/>
  <c r="AJ200" i="1" s="1"/>
  <c r="V201" i="1"/>
  <c r="AF201" i="1" s="1"/>
  <c r="W201" i="1"/>
  <c r="AG201" i="1" s="1"/>
  <c r="X201" i="1"/>
  <c r="AH201" i="1" s="1"/>
  <c r="Y201" i="1"/>
  <c r="AI201" i="1" s="1"/>
  <c r="Z201" i="1"/>
  <c r="AJ201" i="1" s="1"/>
  <c r="V202" i="1"/>
  <c r="AF202" i="1" s="1"/>
  <c r="W202" i="1"/>
  <c r="AG202" i="1" s="1"/>
  <c r="X202" i="1"/>
  <c r="AH202" i="1" s="1"/>
  <c r="Y202" i="1"/>
  <c r="AI202" i="1" s="1"/>
  <c r="Z202" i="1"/>
  <c r="AJ202" i="1" s="1"/>
  <c r="V203" i="1"/>
  <c r="AF203" i="1" s="1"/>
  <c r="W203" i="1"/>
  <c r="AG203" i="1" s="1"/>
  <c r="X203" i="1"/>
  <c r="AH203" i="1" s="1"/>
  <c r="Y203" i="1"/>
  <c r="AI203" i="1" s="1"/>
  <c r="Z203" i="1"/>
  <c r="AJ203" i="1" s="1"/>
  <c r="V204" i="1"/>
  <c r="AF204" i="1" s="1"/>
  <c r="W204" i="1"/>
  <c r="AG204" i="1" s="1"/>
  <c r="X204" i="1"/>
  <c r="AH204" i="1" s="1"/>
  <c r="Y204" i="1"/>
  <c r="AI204" i="1" s="1"/>
  <c r="Z204" i="1"/>
  <c r="AJ204" i="1" s="1"/>
  <c r="V205" i="1"/>
  <c r="AF205" i="1" s="1"/>
  <c r="W205" i="1"/>
  <c r="AG205" i="1" s="1"/>
  <c r="X205" i="1"/>
  <c r="AH205" i="1" s="1"/>
  <c r="Y205" i="1"/>
  <c r="AI205" i="1" s="1"/>
  <c r="Z205" i="1"/>
  <c r="AJ205" i="1" s="1"/>
  <c r="V206" i="1"/>
  <c r="AF206" i="1" s="1"/>
  <c r="W206" i="1"/>
  <c r="AG206" i="1" s="1"/>
  <c r="X206" i="1"/>
  <c r="AH206" i="1" s="1"/>
  <c r="Y206" i="1"/>
  <c r="AI206" i="1" s="1"/>
  <c r="Z206" i="1"/>
  <c r="AJ206" i="1" s="1"/>
  <c r="V207" i="1"/>
  <c r="AF207" i="1" s="1"/>
  <c r="W207" i="1"/>
  <c r="AG207" i="1" s="1"/>
  <c r="X207" i="1"/>
  <c r="AH207" i="1" s="1"/>
  <c r="Y207" i="1"/>
  <c r="AI207" i="1" s="1"/>
  <c r="Z207" i="1"/>
  <c r="AJ207" i="1" s="1"/>
  <c r="V208" i="1"/>
  <c r="AF208" i="1" s="1"/>
  <c r="W208" i="1"/>
  <c r="AG208" i="1" s="1"/>
  <c r="X208" i="1"/>
  <c r="AH208" i="1" s="1"/>
  <c r="Y208" i="1"/>
  <c r="AI208" i="1" s="1"/>
  <c r="Z208" i="1"/>
  <c r="AJ208" i="1" s="1"/>
  <c r="V209" i="1"/>
  <c r="AF209" i="1" s="1"/>
  <c r="W209" i="1"/>
  <c r="AG209" i="1" s="1"/>
  <c r="X209" i="1"/>
  <c r="AH209" i="1" s="1"/>
  <c r="Y209" i="1"/>
  <c r="AI209" i="1" s="1"/>
  <c r="Z209" i="1"/>
  <c r="AJ209" i="1" s="1"/>
  <c r="V210" i="1"/>
  <c r="AF210" i="1" s="1"/>
  <c r="W210" i="1"/>
  <c r="AG210" i="1" s="1"/>
  <c r="X210" i="1"/>
  <c r="AH210" i="1" s="1"/>
  <c r="Y210" i="1"/>
  <c r="AI210" i="1" s="1"/>
  <c r="Z210" i="1"/>
  <c r="AJ210" i="1" s="1"/>
  <c r="V211" i="1"/>
  <c r="AF211" i="1" s="1"/>
  <c r="W211" i="1"/>
  <c r="AG211" i="1" s="1"/>
  <c r="X211" i="1"/>
  <c r="AH211" i="1" s="1"/>
  <c r="Y211" i="1"/>
  <c r="AI211" i="1" s="1"/>
  <c r="Z211" i="1"/>
  <c r="AJ211" i="1" s="1"/>
  <c r="Z19" i="1"/>
  <c r="AJ19" i="1" s="1"/>
  <c r="Y19" i="1"/>
  <c r="AI19" i="1" s="1"/>
  <c r="X19" i="1"/>
  <c r="AH19" i="1" s="1"/>
  <c r="W19" i="1"/>
  <c r="AG19" i="1" s="1"/>
  <c r="V19" i="1"/>
  <c r="AF19" i="1" s="1"/>
  <c r="A208" i="3"/>
  <c r="B208" i="3"/>
  <c r="C208" i="3"/>
  <c r="A209" i="3"/>
  <c r="B209" i="3"/>
  <c r="C209" i="3"/>
  <c r="A210" i="3"/>
  <c r="B210" i="3"/>
  <c r="C210" i="3"/>
  <c r="A211" i="3"/>
  <c r="B211" i="3"/>
  <c r="C211" i="3"/>
  <c r="B14" i="7"/>
  <c r="M53" i="7" l="1"/>
  <c r="M54" i="7"/>
  <c r="M55" i="7" l="1"/>
  <c r="M47" i="7" s="1"/>
  <c r="M30" i="10" s="1"/>
  <c r="M33" i="10" s="1"/>
  <c r="E13" i="10"/>
  <c r="A3" i="1"/>
  <c r="A3" i="10" s="1"/>
  <c r="A13" i="8"/>
  <c r="A13" i="10" s="1"/>
  <c r="A12" i="8"/>
  <c r="A12" i="10" s="1"/>
  <c r="A11" i="8"/>
  <c r="A11" i="10" s="1"/>
  <c r="A10" i="8"/>
  <c r="A10" i="10" s="1"/>
  <c r="A9" i="8"/>
  <c r="A9" i="10" s="1"/>
  <c r="A8" i="8"/>
  <c r="A8" i="10" s="1"/>
  <c r="A7" i="8"/>
  <c r="A7" i="10" s="1"/>
  <c r="A6" i="8"/>
  <c r="A6" i="10" s="1"/>
  <c r="A5" i="8"/>
  <c r="A5" i="10" s="1"/>
  <c r="A4" i="8"/>
  <c r="A4" i="10" s="1"/>
  <c r="E12" i="10"/>
  <c r="E10" i="10"/>
  <c r="E8" i="10"/>
  <c r="E6" i="10"/>
  <c r="F325" i="8" l="1"/>
  <c r="F326" i="8" s="1"/>
  <c r="G325" i="8"/>
  <c r="G326" i="8" s="1"/>
  <c r="E5" i="10"/>
  <c r="E9" i="10"/>
  <c r="I325" i="8"/>
  <c r="I326" i="8" s="1"/>
  <c r="E4" i="10"/>
  <c r="H325" i="8"/>
  <c r="H326" i="8" s="1"/>
  <c r="E11" i="10"/>
  <c r="E7" i="10"/>
  <c r="E325" i="8"/>
  <c r="E326" i="8" s="1"/>
  <c r="H184" i="3" l="1"/>
  <c r="M184" i="3" s="1"/>
  <c r="M17" i="10"/>
  <c r="M19" i="10" s="1"/>
  <c r="F184" i="3"/>
  <c r="K184" i="3" s="1"/>
  <c r="I19" i="3"/>
  <c r="C209" i="8"/>
  <c r="B209" i="8"/>
  <c r="A209" i="8"/>
  <c r="C208" i="8"/>
  <c r="B208" i="8"/>
  <c r="A208" i="8"/>
  <c r="C207" i="8"/>
  <c r="B207" i="8"/>
  <c r="A207" i="8"/>
  <c r="C206" i="8"/>
  <c r="B206" i="8"/>
  <c r="A206" i="8"/>
  <c r="C205" i="8"/>
  <c r="B205" i="8"/>
  <c r="A205" i="8"/>
  <c r="C204" i="8"/>
  <c r="B204" i="8"/>
  <c r="A204" i="8"/>
  <c r="C203" i="8"/>
  <c r="B203" i="8"/>
  <c r="A203" i="8"/>
  <c r="C202" i="8"/>
  <c r="B202" i="8"/>
  <c r="A202" i="8"/>
  <c r="C201" i="8"/>
  <c r="B201" i="8"/>
  <c r="A201" i="8"/>
  <c r="C200" i="8"/>
  <c r="B200" i="8"/>
  <c r="A200" i="8"/>
  <c r="C199" i="8"/>
  <c r="B199" i="8"/>
  <c r="A199" i="8"/>
  <c r="C198" i="8"/>
  <c r="B198" i="8"/>
  <c r="A198" i="8"/>
  <c r="C197" i="8"/>
  <c r="B197" i="8"/>
  <c r="A197" i="8"/>
  <c r="C196" i="8"/>
  <c r="B196" i="8"/>
  <c r="A196" i="8"/>
  <c r="C195" i="8"/>
  <c r="B195" i="8"/>
  <c r="A195" i="8"/>
  <c r="C194" i="8"/>
  <c r="B194" i="8"/>
  <c r="A194" i="8"/>
  <c r="C193" i="8"/>
  <c r="B193" i="8"/>
  <c r="A193" i="8"/>
  <c r="C192" i="8"/>
  <c r="B192" i="8"/>
  <c r="A192" i="8"/>
  <c r="C191" i="8"/>
  <c r="B191" i="8"/>
  <c r="A191" i="8"/>
  <c r="C190" i="8"/>
  <c r="B190" i="8"/>
  <c r="A190" i="8"/>
  <c r="C189" i="8"/>
  <c r="B189" i="8"/>
  <c r="A189" i="8"/>
  <c r="C188" i="8"/>
  <c r="B188" i="8"/>
  <c r="A188" i="8"/>
  <c r="C187" i="8"/>
  <c r="B187" i="8"/>
  <c r="A187" i="8"/>
  <c r="C186" i="8"/>
  <c r="B186" i="8"/>
  <c r="A186" i="8"/>
  <c r="C185" i="8"/>
  <c r="B185" i="8"/>
  <c r="A185" i="8"/>
  <c r="C184" i="8"/>
  <c r="B184" i="8"/>
  <c r="A184" i="8"/>
  <c r="C183" i="8"/>
  <c r="B183" i="8"/>
  <c r="A183" i="8"/>
  <c r="C182" i="8"/>
  <c r="B182" i="8"/>
  <c r="A182" i="8"/>
  <c r="C181" i="8"/>
  <c r="B181" i="8"/>
  <c r="A181" i="8"/>
  <c r="C180" i="8"/>
  <c r="B180" i="8"/>
  <c r="A180" i="8"/>
  <c r="C179" i="8"/>
  <c r="B179" i="8"/>
  <c r="A179" i="8"/>
  <c r="C178" i="8"/>
  <c r="B178" i="8"/>
  <c r="A178" i="8"/>
  <c r="C177" i="8"/>
  <c r="B177" i="8"/>
  <c r="A177" i="8"/>
  <c r="C176" i="8"/>
  <c r="B176" i="8"/>
  <c r="A176" i="8"/>
  <c r="C175" i="8"/>
  <c r="B175" i="8"/>
  <c r="A175" i="8"/>
  <c r="C174" i="8"/>
  <c r="B174" i="8"/>
  <c r="A174" i="8"/>
  <c r="C173" i="8"/>
  <c r="B173" i="8"/>
  <c r="A173" i="8"/>
  <c r="C172" i="8"/>
  <c r="B172" i="8"/>
  <c r="A172" i="8"/>
  <c r="C171" i="8"/>
  <c r="B171" i="8"/>
  <c r="A171" i="8"/>
  <c r="C170" i="8"/>
  <c r="B170" i="8"/>
  <c r="A170" i="8"/>
  <c r="C169" i="8"/>
  <c r="B169" i="8"/>
  <c r="A169" i="8"/>
  <c r="C168" i="8"/>
  <c r="B168" i="8"/>
  <c r="A168" i="8"/>
  <c r="C167" i="8"/>
  <c r="B167" i="8"/>
  <c r="A167" i="8"/>
  <c r="C166" i="8"/>
  <c r="B166" i="8"/>
  <c r="A166" i="8"/>
  <c r="C165" i="8"/>
  <c r="B165" i="8"/>
  <c r="A165" i="8"/>
  <c r="C164" i="8"/>
  <c r="B164" i="8"/>
  <c r="A164" i="8"/>
  <c r="C163" i="8"/>
  <c r="B163" i="8"/>
  <c r="A163" i="8"/>
  <c r="C162" i="8"/>
  <c r="B162" i="8"/>
  <c r="A162" i="8"/>
  <c r="C161" i="8"/>
  <c r="B161" i="8"/>
  <c r="A161" i="8"/>
  <c r="C160" i="8"/>
  <c r="B160" i="8"/>
  <c r="A160" i="8"/>
  <c r="C159" i="8"/>
  <c r="B159" i="8"/>
  <c r="A159" i="8"/>
  <c r="C158" i="8"/>
  <c r="B158" i="8"/>
  <c r="A158" i="8"/>
  <c r="C157" i="8"/>
  <c r="B157" i="8"/>
  <c r="A157" i="8"/>
  <c r="C156" i="8"/>
  <c r="B156" i="8"/>
  <c r="A156" i="8"/>
  <c r="C155" i="8"/>
  <c r="B155" i="8"/>
  <c r="A155" i="8"/>
  <c r="C154" i="8"/>
  <c r="B154" i="8"/>
  <c r="A154" i="8"/>
  <c r="C153" i="8"/>
  <c r="B153" i="8"/>
  <c r="A153" i="8"/>
  <c r="C152" i="8"/>
  <c r="B152" i="8"/>
  <c r="A152" i="8"/>
  <c r="C151" i="8"/>
  <c r="B151" i="8"/>
  <c r="A151" i="8"/>
  <c r="C150" i="8"/>
  <c r="B150" i="8"/>
  <c r="A150" i="8"/>
  <c r="C149" i="8"/>
  <c r="B149" i="8"/>
  <c r="A149" i="8"/>
  <c r="C148" i="8"/>
  <c r="B148" i="8"/>
  <c r="A148" i="8"/>
  <c r="C147" i="8"/>
  <c r="B147" i="8"/>
  <c r="A147" i="8"/>
  <c r="C146" i="8"/>
  <c r="B146" i="8"/>
  <c r="A146" i="8"/>
  <c r="C145" i="8"/>
  <c r="B145" i="8"/>
  <c r="A145" i="8"/>
  <c r="C144" i="8"/>
  <c r="B144" i="8"/>
  <c r="A144" i="8"/>
  <c r="C143" i="8"/>
  <c r="B143" i="8"/>
  <c r="A143" i="8"/>
  <c r="C142" i="8"/>
  <c r="B142" i="8"/>
  <c r="A142" i="8"/>
  <c r="C141" i="8"/>
  <c r="B141" i="8"/>
  <c r="A141" i="8"/>
  <c r="C140" i="8"/>
  <c r="B140" i="8"/>
  <c r="A140" i="8"/>
  <c r="C139" i="8"/>
  <c r="B139" i="8"/>
  <c r="A139" i="8"/>
  <c r="C138" i="8"/>
  <c r="B138" i="8"/>
  <c r="A138" i="8"/>
  <c r="C137" i="8"/>
  <c r="B137" i="8"/>
  <c r="A137" i="8"/>
  <c r="C136" i="8"/>
  <c r="B136" i="8"/>
  <c r="A136" i="8"/>
  <c r="C135" i="8"/>
  <c r="B135" i="8"/>
  <c r="A135" i="8"/>
  <c r="C134" i="8"/>
  <c r="B134" i="8"/>
  <c r="A134" i="8"/>
  <c r="C133" i="8"/>
  <c r="B133" i="8"/>
  <c r="A133" i="8"/>
  <c r="C132" i="8"/>
  <c r="B132" i="8"/>
  <c r="A132" i="8"/>
  <c r="C131" i="8"/>
  <c r="B131" i="8"/>
  <c r="A131" i="8"/>
  <c r="C130" i="8"/>
  <c r="B130" i="8"/>
  <c r="A130" i="8"/>
  <c r="C129" i="8"/>
  <c r="B129" i="8"/>
  <c r="A129" i="8"/>
  <c r="C128" i="8"/>
  <c r="B128" i="8"/>
  <c r="A128" i="8"/>
  <c r="C127" i="8"/>
  <c r="B127" i="8"/>
  <c r="A127" i="8"/>
  <c r="C126" i="8"/>
  <c r="B126" i="8"/>
  <c r="A126" i="8"/>
  <c r="C125" i="8"/>
  <c r="B125" i="8"/>
  <c r="A125" i="8"/>
  <c r="C124" i="8"/>
  <c r="B124" i="8"/>
  <c r="A124" i="8"/>
  <c r="C123" i="8"/>
  <c r="B123" i="8"/>
  <c r="A123" i="8"/>
  <c r="C122" i="8"/>
  <c r="B122" i="8"/>
  <c r="A122" i="8"/>
  <c r="C121" i="8"/>
  <c r="B121" i="8"/>
  <c r="A121" i="8"/>
  <c r="C120" i="8"/>
  <c r="B120" i="8"/>
  <c r="A120" i="8"/>
  <c r="C119" i="8"/>
  <c r="B119" i="8"/>
  <c r="A119" i="8"/>
  <c r="C118" i="8"/>
  <c r="B118" i="8"/>
  <c r="A118" i="8"/>
  <c r="C117" i="8"/>
  <c r="B117" i="8"/>
  <c r="A117" i="8"/>
  <c r="C116" i="8"/>
  <c r="B116" i="8"/>
  <c r="A116" i="8"/>
  <c r="C115" i="8"/>
  <c r="B115" i="8"/>
  <c r="A115" i="8"/>
  <c r="C114" i="8"/>
  <c r="B114" i="8"/>
  <c r="A114" i="8"/>
  <c r="C113" i="8"/>
  <c r="B113" i="8"/>
  <c r="A113" i="8"/>
  <c r="C112" i="8"/>
  <c r="B112" i="8"/>
  <c r="A112" i="8"/>
  <c r="C111" i="8"/>
  <c r="B111" i="8"/>
  <c r="A111" i="8"/>
  <c r="C110" i="8"/>
  <c r="B110" i="8"/>
  <c r="A110" i="8"/>
  <c r="C109" i="8"/>
  <c r="B109" i="8"/>
  <c r="A109" i="8"/>
  <c r="C108" i="8"/>
  <c r="B108" i="8"/>
  <c r="A108" i="8"/>
  <c r="C107" i="8"/>
  <c r="B107" i="8"/>
  <c r="A107" i="8"/>
  <c r="C106" i="8"/>
  <c r="B106" i="8"/>
  <c r="A106" i="8"/>
  <c r="C105" i="8"/>
  <c r="B105" i="8"/>
  <c r="A105" i="8"/>
  <c r="C104" i="8"/>
  <c r="B104" i="8"/>
  <c r="A104" i="8"/>
  <c r="C103" i="8"/>
  <c r="B103" i="8"/>
  <c r="A103" i="8"/>
  <c r="C102" i="8"/>
  <c r="B102" i="8"/>
  <c r="A102" i="8"/>
  <c r="C101" i="8"/>
  <c r="B101" i="8"/>
  <c r="A101" i="8"/>
  <c r="C100" i="8"/>
  <c r="B100" i="8"/>
  <c r="A100" i="8"/>
  <c r="C99" i="8"/>
  <c r="B99" i="8"/>
  <c r="A99" i="8"/>
  <c r="C98" i="8"/>
  <c r="B98" i="8"/>
  <c r="A98" i="8"/>
  <c r="C97" i="8"/>
  <c r="B97" i="8"/>
  <c r="A97" i="8"/>
  <c r="C96" i="8"/>
  <c r="B96" i="8"/>
  <c r="A96" i="8"/>
  <c r="C95" i="8"/>
  <c r="B95" i="8"/>
  <c r="A95" i="8"/>
  <c r="C94" i="8"/>
  <c r="B94" i="8"/>
  <c r="A94" i="8"/>
  <c r="C93" i="8"/>
  <c r="B93" i="8"/>
  <c r="A93" i="8"/>
  <c r="C92" i="8"/>
  <c r="B92" i="8"/>
  <c r="A92" i="8"/>
  <c r="C91" i="8"/>
  <c r="B91" i="8"/>
  <c r="A91" i="8"/>
  <c r="C90" i="8"/>
  <c r="B90" i="8"/>
  <c r="A90" i="8"/>
  <c r="C89" i="8"/>
  <c r="B89" i="8"/>
  <c r="A89" i="8"/>
  <c r="C88" i="8"/>
  <c r="B88" i="8"/>
  <c r="A88" i="8"/>
  <c r="C87" i="8"/>
  <c r="B87" i="8"/>
  <c r="A87" i="8"/>
  <c r="C86" i="8"/>
  <c r="B86" i="8"/>
  <c r="A86" i="8"/>
  <c r="C85" i="8"/>
  <c r="B85" i="8"/>
  <c r="A85" i="8"/>
  <c r="C84" i="8"/>
  <c r="B84" i="8"/>
  <c r="A84" i="8"/>
  <c r="C83" i="8"/>
  <c r="B83" i="8"/>
  <c r="A83" i="8"/>
  <c r="C82" i="8"/>
  <c r="B82" i="8"/>
  <c r="A82" i="8"/>
  <c r="C81" i="8"/>
  <c r="B81" i="8"/>
  <c r="A81" i="8"/>
  <c r="C80" i="8"/>
  <c r="B80" i="8"/>
  <c r="A80" i="8"/>
  <c r="C79" i="8"/>
  <c r="B79" i="8"/>
  <c r="A79" i="8"/>
  <c r="C78" i="8"/>
  <c r="B78" i="8"/>
  <c r="A78" i="8"/>
  <c r="C77" i="8"/>
  <c r="B77" i="8"/>
  <c r="A77" i="8"/>
  <c r="C76" i="8"/>
  <c r="B76" i="8"/>
  <c r="A76" i="8"/>
  <c r="C75" i="8"/>
  <c r="B75" i="8"/>
  <c r="A75" i="8"/>
  <c r="C74" i="8"/>
  <c r="B74" i="8"/>
  <c r="A74" i="8"/>
  <c r="C73" i="8"/>
  <c r="B73" i="8"/>
  <c r="A73" i="8"/>
  <c r="C72" i="8"/>
  <c r="B72" i="8"/>
  <c r="A72" i="8"/>
  <c r="C71" i="8"/>
  <c r="B71" i="8"/>
  <c r="A71" i="8"/>
  <c r="C70" i="8"/>
  <c r="B70" i="8"/>
  <c r="A70" i="8"/>
  <c r="C69" i="8"/>
  <c r="B69" i="8"/>
  <c r="A69" i="8"/>
  <c r="C68" i="8"/>
  <c r="B68" i="8"/>
  <c r="A68" i="8"/>
  <c r="C67" i="8"/>
  <c r="B67" i="8"/>
  <c r="A67" i="8"/>
  <c r="C66" i="8"/>
  <c r="B66" i="8"/>
  <c r="A66" i="8"/>
  <c r="C65" i="8"/>
  <c r="B65" i="8"/>
  <c r="A65" i="8"/>
  <c r="C64" i="8"/>
  <c r="B64" i="8"/>
  <c r="A64" i="8"/>
  <c r="C63" i="8"/>
  <c r="B63" i="8"/>
  <c r="A63" i="8"/>
  <c r="C62" i="8"/>
  <c r="B62" i="8"/>
  <c r="A62" i="8"/>
  <c r="C61" i="8"/>
  <c r="B61" i="8"/>
  <c r="A61" i="8"/>
  <c r="C60" i="8"/>
  <c r="B60" i="8"/>
  <c r="A60" i="8"/>
  <c r="C59" i="8"/>
  <c r="B59" i="8"/>
  <c r="A59" i="8"/>
  <c r="C58" i="8"/>
  <c r="B58" i="8"/>
  <c r="A58" i="8"/>
  <c r="C57" i="8"/>
  <c r="B57" i="8"/>
  <c r="A57" i="8"/>
  <c r="C56" i="8"/>
  <c r="B56" i="8"/>
  <c r="A56" i="8"/>
  <c r="C55" i="8"/>
  <c r="B55" i="8"/>
  <c r="A55" i="8"/>
  <c r="C54" i="8"/>
  <c r="B54" i="8"/>
  <c r="A54" i="8"/>
  <c r="C53" i="8"/>
  <c r="B53" i="8"/>
  <c r="A53" i="8"/>
  <c r="C52" i="8"/>
  <c r="B52" i="8"/>
  <c r="A52" i="8"/>
  <c r="C51" i="8"/>
  <c r="B51" i="8"/>
  <c r="A51" i="8"/>
  <c r="C50" i="8"/>
  <c r="B50" i="8"/>
  <c r="A50" i="8"/>
  <c r="C49" i="8"/>
  <c r="B49" i="8"/>
  <c r="A49" i="8"/>
  <c r="C48" i="8"/>
  <c r="B48" i="8"/>
  <c r="A48" i="8"/>
  <c r="C47" i="8"/>
  <c r="B47" i="8"/>
  <c r="A47" i="8"/>
  <c r="C46" i="8"/>
  <c r="B46" i="8"/>
  <c r="A46" i="8"/>
  <c r="C45" i="8"/>
  <c r="B45" i="8"/>
  <c r="A45" i="8"/>
  <c r="C44" i="8"/>
  <c r="B44" i="8"/>
  <c r="A44" i="8"/>
  <c r="C43" i="8"/>
  <c r="B43" i="8"/>
  <c r="A43" i="8"/>
  <c r="C42" i="8"/>
  <c r="B42" i="8"/>
  <c r="A42" i="8"/>
  <c r="C41" i="8"/>
  <c r="B41" i="8"/>
  <c r="A41" i="8"/>
  <c r="C40" i="8"/>
  <c r="B40" i="8"/>
  <c r="A40" i="8"/>
  <c r="C39" i="8"/>
  <c r="B39" i="8"/>
  <c r="A39" i="8"/>
  <c r="C38" i="8"/>
  <c r="B38" i="8"/>
  <c r="A38" i="8"/>
  <c r="C37" i="8"/>
  <c r="B37" i="8"/>
  <c r="A37" i="8"/>
  <c r="C36" i="8"/>
  <c r="B36" i="8"/>
  <c r="A36" i="8"/>
  <c r="C35" i="8"/>
  <c r="B35" i="8"/>
  <c r="A35" i="8"/>
  <c r="C34" i="8"/>
  <c r="B34" i="8"/>
  <c r="A34" i="8"/>
  <c r="C33" i="8"/>
  <c r="B33" i="8"/>
  <c r="A33" i="8"/>
  <c r="C32" i="8"/>
  <c r="B32" i="8"/>
  <c r="A32" i="8"/>
  <c r="C31" i="8"/>
  <c r="B31" i="8"/>
  <c r="A31" i="8"/>
  <c r="C30" i="8"/>
  <c r="B30" i="8"/>
  <c r="A30" i="8"/>
  <c r="C29" i="8"/>
  <c r="B29" i="8"/>
  <c r="A29" i="8"/>
  <c r="C28" i="8"/>
  <c r="B28" i="8"/>
  <c r="A28" i="8"/>
  <c r="C27" i="8"/>
  <c r="B27" i="8"/>
  <c r="A27" i="8"/>
  <c r="C26" i="8"/>
  <c r="B26" i="8"/>
  <c r="A26" i="8"/>
  <c r="C25" i="8"/>
  <c r="B25" i="8"/>
  <c r="A25" i="8"/>
  <c r="C24" i="8"/>
  <c r="B24" i="8"/>
  <c r="A24" i="8"/>
  <c r="C23" i="8"/>
  <c r="B23" i="8"/>
  <c r="A23" i="8"/>
  <c r="C22" i="8"/>
  <c r="B22" i="8"/>
  <c r="A22" i="8"/>
  <c r="C21" i="8"/>
  <c r="B21" i="8"/>
  <c r="A21" i="8"/>
  <c r="C20" i="8"/>
  <c r="B20" i="8"/>
  <c r="A20" i="8"/>
  <c r="C19" i="8"/>
  <c r="B19" i="8"/>
  <c r="A19" i="8"/>
  <c r="C18" i="8"/>
  <c r="B18" i="8"/>
  <c r="A18" i="8"/>
  <c r="C17" i="8"/>
  <c r="B17" i="8"/>
  <c r="A17" i="8"/>
  <c r="C15" i="8"/>
  <c r="B15" i="8"/>
  <c r="A15" i="8"/>
  <c r="A3" i="8"/>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G26" i="3"/>
  <c r="I26" i="3"/>
  <c r="H26" i="3"/>
  <c r="F26" i="3"/>
  <c r="E26" i="3"/>
  <c r="L23" i="7"/>
  <c r="C17" i="7"/>
  <c r="L17" i="7"/>
  <c r="L20" i="7"/>
  <c r="G20" i="7"/>
  <c r="O23" i="7"/>
  <c r="F17" i="7"/>
  <c r="E20" i="7"/>
  <c r="N14" i="7"/>
  <c r="J23" i="7"/>
  <c r="D17" i="7"/>
  <c r="N20" i="7"/>
  <c r="H17" i="7"/>
  <c r="N26" i="7"/>
  <c r="C26" i="7"/>
  <c r="F23" i="7"/>
  <c r="G23" i="7"/>
  <c r="J14" i="7"/>
  <c r="I23" i="7"/>
  <c r="I14" i="7"/>
  <c r="J20" i="7"/>
  <c r="F26" i="7"/>
  <c r="E23" i="7"/>
  <c r="B20" i="7"/>
  <c r="E17" i="7"/>
  <c r="B26" i="7"/>
  <c r="H23" i="7"/>
  <c r="O17" i="7"/>
  <c r="D14" i="7"/>
  <c r="K14" i="7"/>
  <c r="H26" i="7"/>
  <c r="C23" i="7"/>
  <c r="I17" i="7"/>
  <c r="K17" i="7"/>
  <c r="D20" i="7"/>
  <c r="O20" i="7"/>
  <c r="D26" i="7"/>
  <c r="G17" i="7"/>
  <c r="H20" i="7"/>
  <c r="N23" i="7"/>
  <c r="B17" i="7"/>
  <c r="I26" i="7"/>
  <c r="F14" i="7"/>
  <c r="I20" i="7"/>
  <c r="G14" i="7"/>
  <c r="D23" i="7"/>
  <c r="K20" i="7"/>
  <c r="K23" i="7"/>
  <c r="K26" i="7"/>
  <c r="J17" i="7"/>
  <c r="B23" i="7"/>
  <c r="L14" i="7"/>
  <c r="C14" i="7"/>
  <c r="O26" i="7"/>
  <c r="O14" i="7"/>
  <c r="N17" i="7"/>
  <c r="J26" i="7"/>
  <c r="C20" i="7"/>
  <c r="G26" i="7"/>
  <c r="F20" i="7"/>
  <c r="E14" i="7"/>
  <c r="L26" i="7"/>
  <c r="E26" i="7"/>
  <c r="H14" i="7"/>
  <c r="G184" i="3" l="1"/>
  <c r="L184" i="3" s="1"/>
  <c r="H219" i="3"/>
  <c r="M219" i="3" s="1"/>
  <c r="F219" i="3"/>
  <c r="K219" i="3" s="1"/>
  <c r="E219" i="3"/>
  <c r="J219" i="3" s="1"/>
  <c r="G219" i="3"/>
  <c r="L219" i="3" s="1"/>
  <c r="I219" i="3"/>
  <c r="N219" i="3" s="1"/>
  <c r="I184" i="3"/>
  <c r="N184" i="3" s="1"/>
  <c r="E184" i="3"/>
  <c r="J184" i="3" s="1"/>
  <c r="F213" i="3"/>
  <c r="K213" i="3" s="1"/>
  <c r="H213" i="3"/>
  <c r="M213" i="3" s="1"/>
  <c r="E213" i="3"/>
  <c r="J213" i="3" s="1"/>
  <c r="G213" i="3"/>
  <c r="L213" i="3" s="1"/>
  <c r="I213" i="3"/>
  <c r="N213" i="3" s="1"/>
  <c r="F218" i="3"/>
  <c r="K218" i="3" s="1"/>
  <c r="H218" i="3"/>
  <c r="M218" i="3" s="1"/>
  <c r="E218" i="3"/>
  <c r="J218" i="3" s="1"/>
  <c r="G218" i="3"/>
  <c r="L218" i="3" s="1"/>
  <c r="I218" i="3"/>
  <c r="N218" i="3" s="1"/>
  <c r="F216" i="3"/>
  <c r="K216" i="3" s="1"/>
  <c r="H216" i="3"/>
  <c r="M216" i="3" s="1"/>
  <c r="E216" i="3"/>
  <c r="J216" i="3" s="1"/>
  <c r="G216" i="3"/>
  <c r="L216" i="3" s="1"/>
  <c r="I216" i="3"/>
  <c r="N216" i="3" s="1"/>
  <c r="F214" i="3"/>
  <c r="K214" i="3" s="1"/>
  <c r="H214" i="3"/>
  <c r="M214" i="3" s="1"/>
  <c r="E214" i="3"/>
  <c r="J214" i="3" s="1"/>
  <c r="G214" i="3"/>
  <c r="L214" i="3" s="1"/>
  <c r="I214" i="3"/>
  <c r="N214" i="3" s="1"/>
  <c r="F217" i="3"/>
  <c r="K217" i="3" s="1"/>
  <c r="H217" i="3"/>
  <c r="M217" i="3" s="1"/>
  <c r="E217" i="3"/>
  <c r="J217" i="3" s="1"/>
  <c r="G217" i="3"/>
  <c r="L217" i="3" s="1"/>
  <c r="I217" i="3"/>
  <c r="N217" i="3" s="1"/>
  <c r="E55" i="3"/>
  <c r="G55" i="3"/>
  <c r="H55" i="3"/>
  <c r="F55" i="3"/>
  <c r="I55" i="3"/>
  <c r="G78" i="3"/>
  <c r="I78" i="3"/>
  <c r="F78" i="3"/>
  <c r="E78" i="3"/>
  <c r="H78" i="3"/>
  <c r="E93" i="3"/>
  <c r="J93" i="3" s="1"/>
  <c r="H93" i="3"/>
  <c r="M93" i="3" s="1"/>
  <c r="F93" i="3"/>
  <c r="K93" i="3" s="1"/>
  <c r="G93" i="3"/>
  <c r="L93" i="3" s="1"/>
  <c r="I93" i="3"/>
  <c r="N93" i="3" s="1"/>
  <c r="E122" i="3"/>
  <c r="J122" i="3" s="1"/>
  <c r="H122" i="3"/>
  <c r="M122" i="3" s="1"/>
  <c r="F122" i="3"/>
  <c r="K122" i="3" s="1"/>
  <c r="I122" i="3"/>
  <c r="N122" i="3" s="1"/>
  <c r="G122" i="3"/>
  <c r="L122" i="3" s="1"/>
  <c r="G176" i="3"/>
  <c r="L176" i="3" s="1"/>
  <c r="I176" i="3"/>
  <c r="N176" i="3" s="1"/>
  <c r="H176" i="3"/>
  <c r="M176" i="3" s="1"/>
  <c r="E176" i="3"/>
  <c r="J176" i="3" s="1"/>
  <c r="F176" i="3"/>
  <c r="K176" i="3" s="1"/>
  <c r="E207" i="3"/>
  <c r="J207" i="3" s="1"/>
  <c r="G207" i="3"/>
  <c r="L207" i="3" s="1"/>
  <c r="I207" i="3"/>
  <c r="N207" i="3" s="1"/>
  <c r="F207" i="3"/>
  <c r="K207" i="3" s="1"/>
  <c r="H207" i="3"/>
  <c r="M207" i="3" s="1"/>
  <c r="F145" i="3"/>
  <c r="K145" i="3" s="1"/>
  <c r="H145" i="3"/>
  <c r="M145" i="3" s="1"/>
  <c r="G145" i="3"/>
  <c r="L145" i="3" s="1"/>
  <c r="I145" i="3"/>
  <c r="N145" i="3" s="1"/>
  <c r="E145" i="3"/>
  <c r="J145" i="3" s="1"/>
  <c r="G153" i="3"/>
  <c r="L153" i="3" s="1"/>
  <c r="H153" i="3"/>
  <c r="M153" i="3" s="1"/>
  <c r="E153" i="3"/>
  <c r="J153" i="3" s="1"/>
  <c r="I153" i="3"/>
  <c r="N153" i="3" s="1"/>
  <c r="F153" i="3"/>
  <c r="K153" i="3" s="1"/>
  <c r="E173" i="3"/>
  <c r="J173" i="3" s="1"/>
  <c r="G102" i="3"/>
  <c r="L102" i="3" s="1"/>
  <c r="H46" i="3"/>
  <c r="F172" i="3"/>
  <c r="K172" i="3" s="1"/>
  <c r="H195" i="3"/>
  <c r="M195" i="3" s="1"/>
  <c r="H48" i="3"/>
  <c r="H44" i="3"/>
  <c r="G94" i="3"/>
  <c r="L94" i="3" s="1"/>
  <c r="H210" i="3"/>
  <c r="M210" i="3" s="1"/>
  <c r="F84" i="3"/>
  <c r="F158" i="3"/>
  <c r="K158" i="3" s="1"/>
  <c r="H24" i="3"/>
  <c r="G119" i="3"/>
  <c r="L119" i="3" s="1"/>
  <c r="H194" i="3"/>
  <c r="M194" i="3" s="1"/>
  <c r="F156" i="3"/>
  <c r="K156" i="3" s="1"/>
  <c r="G123" i="3"/>
  <c r="L123" i="3" s="1"/>
  <c r="I204" i="3"/>
  <c r="N204" i="3" s="1"/>
  <c r="E128" i="3"/>
  <c r="J128" i="3" s="1"/>
  <c r="F129" i="3"/>
  <c r="K129" i="3" s="1"/>
  <c r="I23" i="3"/>
  <c r="F81" i="3"/>
  <c r="E142" i="3"/>
  <c r="J142" i="3" s="1"/>
  <c r="G112" i="3"/>
  <c r="L112" i="3" s="1"/>
  <c r="E175" i="3"/>
  <c r="J175" i="3" s="1"/>
  <c r="F73" i="3"/>
  <c r="I206" i="3"/>
  <c r="N206" i="3" s="1"/>
  <c r="H96" i="3"/>
  <c r="M96" i="3" s="1"/>
  <c r="G31" i="3"/>
  <c r="H95" i="3"/>
  <c r="M95" i="3" s="1"/>
  <c r="F65" i="3"/>
  <c r="I132" i="3"/>
  <c r="N132" i="3" s="1"/>
  <c r="G88" i="3"/>
  <c r="L88" i="3" s="1"/>
  <c r="F92" i="3"/>
  <c r="K92" i="3" s="1"/>
  <c r="G171" i="3"/>
  <c r="L171" i="3" s="1"/>
  <c r="F86" i="3"/>
  <c r="K86" i="3" s="1"/>
  <c r="E89" i="3"/>
  <c r="J89" i="3" s="1"/>
  <c r="E202" i="3"/>
  <c r="J202" i="3" s="1"/>
  <c r="G100" i="3"/>
  <c r="L100" i="3" s="1"/>
  <c r="H68" i="3"/>
  <c r="G181" i="3"/>
  <c r="L181" i="3" s="1"/>
  <c r="H105" i="3"/>
  <c r="M105" i="3" s="1"/>
  <c r="G49" i="3"/>
  <c r="H169" i="3"/>
  <c r="M169" i="3" s="1"/>
  <c r="E64" i="3"/>
  <c r="F199" i="3"/>
  <c r="K199" i="3" s="1"/>
  <c r="G53" i="3"/>
  <c r="G113" i="3"/>
  <c r="L113" i="3" s="1"/>
  <c r="E177" i="3"/>
  <c r="J177" i="3" s="1"/>
  <c r="G36" i="3"/>
  <c r="I198" i="3"/>
  <c r="N198" i="3" s="1"/>
  <c r="G134" i="3"/>
  <c r="L134" i="3" s="1"/>
  <c r="H120" i="3"/>
  <c r="M120" i="3" s="1"/>
  <c r="H56" i="3"/>
  <c r="I149" i="3"/>
  <c r="N149" i="3" s="1"/>
  <c r="E62" i="3"/>
  <c r="E167" i="3"/>
  <c r="J167" i="3" s="1"/>
  <c r="G209" i="3"/>
  <c r="L209" i="3" s="1"/>
  <c r="F104" i="3"/>
  <c r="K104" i="3" s="1"/>
  <c r="E40" i="3"/>
  <c r="G137" i="3"/>
  <c r="L137" i="3" s="1"/>
  <c r="F110" i="3"/>
  <c r="K110" i="3" s="1"/>
  <c r="I32" i="3"/>
  <c r="H191" i="3"/>
  <c r="M191" i="3" s="1"/>
  <c r="G191" i="3"/>
  <c r="L191" i="3" s="1"/>
  <c r="F191" i="3"/>
  <c r="K191" i="3" s="1"/>
  <c r="E191" i="3"/>
  <c r="J191" i="3" s="1"/>
  <c r="I191" i="3"/>
  <c r="N191" i="3" s="1"/>
  <c r="G127" i="3"/>
  <c r="L127" i="3" s="1"/>
  <c r="E127" i="3"/>
  <c r="J127" i="3" s="1"/>
  <c r="I127" i="3"/>
  <c r="N127" i="3" s="1"/>
  <c r="H127" i="3"/>
  <c r="M127" i="3" s="1"/>
  <c r="F127" i="3"/>
  <c r="K127" i="3" s="1"/>
  <c r="E63" i="3"/>
  <c r="F63" i="3"/>
  <c r="G63" i="3"/>
  <c r="H63" i="3"/>
  <c r="I63" i="3"/>
  <c r="H170" i="3"/>
  <c r="M170" i="3" s="1"/>
  <c r="I170" i="3"/>
  <c r="N170" i="3" s="1"/>
  <c r="E170" i="3"/>
  <c r="J170" i="3" s="1"/>
  <c r="G170" i="3"/>
  <c r="L170" i="3" s="1"/>
  <c r="F170" i="3"/>
  <c r="K170" i="3" s="1"/>
  <c r="I140" i="3"/>
  <c r="N140" i="3" s="1"/>
  <c r="H140" i="3"/>
  <c r="M140" i="3" s="1"/>
  <c r="G140" i="3"/>
  <c r="L140" i="3" s="1"/>
  <c r="F140" i="3"/>
  <c r="K140" i="3" s="1"/>
  <c r="E140" i="3"/>
  <c r="J140" i="3" s="1"/>
  <c r="F52" i="3"/>
  <c r="E52" i="3"/>
  <c r="H52" i="3"/>
  <c r="G52" i="3"/>
  <c r="I52" i="3"/>
  <c r="F163" i="3"/>
  <c r="K163" i="3" s="1"/>
  <c r="E163" i="3"/>
  <c r="J163" i="3" s="1"/>
  <c r="H163" i="3"/>
  <c r="M163" i="3" s="1"/>
  <c r="G163" i="3"/>
  <c r="L163" i="3" s="1"/>
  <c r="I163" i="3"/>
  <c r="N163" i="3" s="1"/>
  <c r="F99" i="3"/>
  <c r="K99" i="3" s="1"/>
  <c r="G99" i="3"/>
  <c r="L99" i="3" s="1"/>
  <c r="E99" i="3"/>
  <c r="J99" i="3" s="1"/>
  <c r="H99" i="3"/>
  <c r="M99" i="3" s="1"/>
  <c r="I99" i="3"/>
  <c r="N99" i="3" s="1"/>
  <c r="E28" i="3"/>
  <c r="F28" i="3"/>
  <c r="G28" i="3"/>
  <c r="I28" i="3"/>
  <c r="H28" i="3"/>
  <c r="I97" i="3"/>
  <c r="N97" i="3" s="1"/>
  <c r="E97" i="3"/>
  <c r="J97" i="3" s="1"/>
  <c r="H97" i="3"/>
  <c r="M97" i="3" s="1"/>
  <c r="F97" i="3"/>
  <c r="K97" i="3" s="1"/>
  <c r="G97" i="3"/>
  <c r="L97" i="3" s="1"/>
  <c r="E183" i="3"/>
  <c r="J183" i="3" s="1"/>
  <c r="H183" i="3"/>
  <c r="M183" i="3" s="1"/>
  <c r="F183" i="3"/>
  <c r="K183" i="3" s="1"/>
  <c r="I183" i="3"/>
  <c r="N183" i="3" s="1"/>
  <c r="G183" i="3"/>
  <c r="L183" i="3" s="1"/>
  <c r="G35" i="3"/>
  <c r="E35" i="3"/>
  <c r="F35" i="3"/>
  <c r="I35" i="3"/>
  <c r="H35" i="3"/>
  <c r="I41" i="3"/>
  <c r="H41" i="3"/>
  <c r="E41" i="3"/>
  <c r="F41" i="3"/>
  <c r="G41" i="3"/>
  <c r="I70" i="3"/>
  <c r="G70" i="3"/>
  <c r="F70" i="3"/>
  <c r="E70" i="3"/>
  <c r="H70" i="3"/>
  <c r="F208" i="3"/>
  <c r="K208" i="3" s="1"/>
  <c r="I208" i="3"/>
  <c r="N208" i="3" s="1"/>
  <c r="G208" i="3"/>
  <c r="L208" i="3" s="1"/>
  <c r="H208" i="3"/>
  <c r="M208" i="3" s="1"/>
  <c r="E208" i="3"/>
  <c r="J208" i="3" s="1"/>
  <c r="F161" i="3"/>
  <c r="K161" i="3" s="1"/>
  <c r="E161" i="3"/>
  <c r="J161" i="3" s="1"/>
  <c r="G161" i="3"/>
  <c r="L161" i="3" s="1"/>
  <c r="I161" i="3"/>
  <c r="N161" i="3" s="1"/>
  <c r="H161" i="3"/>
  <c r="M161" i="3" s="1"/>
  <c r="E155" i="3"/>
  <c r="J155" i="3" s="1"/>
  <c r="G155" i="3"/>
  <c r="L155" i="3" s="1"/>
  <c r="F155" i="3"/>
  <c r="K155" i="3" s="1"/>
  <c r="H155" i="3"/>
  <c r="M155" i="3" s="1"/>
  <c r="I155" i="3"/>
  <c r="N155" i="3" s="1"/>
  <c r="G91" i="3"/>
  <c r="L91" i="3" s="1"/>
  <c r="F91" i="3"/>
  <c r="K91" i="3" s="1"/>
  <c r="I91" i="3"/>
  <c r="N91" i="3" s="1"/>
  <c r="E91" i="3"/>
  <c r="J91" i="3" s="1"/>
  <c r="H91" i="3"/>
  <c r="M91" i="3" s="1"/>
  <c r="H196" i="3"/>
  <c r="M196" i="3" s="1"/>
  <c r="I196" i="3"/>
  <c r="N196" i="3" s="1"/>
  <c r="F196" i="3"/>
  <c r="K196" i="3" s="1"/>
  <c r="E196" i="3"/>
  <c r="J196" i="3" s="1"/>
  <c r="G196" i="3"/>
  <c r="L196" i="3" s="1"/>
  <c r="F19" i="3"/>
  <c r="F76" i="3"/>
  <c r="I76" i="3"/>
  <c r="E76" i="3"/>
  <c r="H76" i="3"/>
  <c r="G76" i="3"/>
  <c r="F165" i="3"/>
  <c r="K165" i="3" s="1"/>
  <c r="E165" i="3"/>
  <c r="J165" i="3" s="1"/>
  <c r="H165" i="3"/>
  <c r="M165" i="3" s="1"/>
  <c r="G165" i="3"/>
  <c r="L165" i="3" s="1"/>
  <c r="I165" i="3"/>
  <c r="N165" i="3" s="1"/>
  <c r="I25" i="3"/>
  <c r="E25" i="3"/>
  <c r="H25" i="3"/>
  <c r="G25" i="3"/>
  <c r="F25" i="3"/>
  <c r="I111" i="3"/>
  <c r="N111" i="3" s="1"/>
  <c r="E111" i="3"/>
  <c r="J111" i="3" s="1"/>
  <c r="H111" i="3"/>
  <c r="M111" i="3" s="1"/>
  <c r="F111" i="3"/>
  <c r="K111" i="3" s="1"/>
  <c r="G111" i="3"/>
  <c r="L111" i="3" s="1"/>
  <c r="H33" i="3"/>
  <c r="E33" i="3"/>
  <c r="F33" i="3"/>
  <c r="I33" i="3"/>
  <c r="G33" i="3"/>
  <c r="I200" i="3"/>
  <c r="N200" i="3" s="1"/>
  <c r="F200" i="3"/>
  <c r="K200" i="3" s="1"/>
  <c r="H200" i="3"/>
  <c r="M200" i="3" s="1"/>
  <c r="E200" i="3"/>
  <c r="J200" i="3" s="1"/>
  <c r="G200" i="3"/>
  <c r="L200" i="3" s="1"/>
  <c r="F124" i="3"/>
  <c r="K124" i="3" s="1"/>
  <c r="G124" i="3"/>
  <c r="L124" i="3" s="1"/>
  <c r="H124" i="3"/>
  <c r="M124" i="3" s="1"/>
  <c r="E124" i="3"/>
  <c r="J124" i="3" s="1"/>
  <c r="I124" i="3"/>
  <c r="N124" i="3" s="1"/>
  <c r="G141" i="3"/>
  <c r="L141" i="3" s="1"/>
  <c r="E141" i="3"/>
  <c r="J141" i="3" s="1"/>
  <c r="F141" i="3"/>
  <c r="K141" i="3" s="1"/>
  <c r="I141" i="3"/>
  <c r="N141" i="3" s="1"/>
  <c r="H141" i="3"/>
  <c r="M141" i="3" s="1"/>
  <c r="G147" i="3"/>
  <c r="L147" i="3" s="1"/>
  <c r="I147" i="3"/>
  <c r="N147" i="3" s="1"/>
  <c r="E147" i="3"/>
  <c r="J147" i="3" s="1"/>
  <c r="F147" i="3"/>
  <c r="K147" i="3" s="1"/>
  <c r="H147" i="3"/>
  <c r="M147" i="3" s="1"/>
  <c r="E83" i="3"/>
  <c r="G83" i="3"/>
  <c r="F83" i="3"/>
  <c r="H83" i="3"/>
  <c r="I83" i="3"/>
  <c r="H190" i="3"/>
  <c r="M190" i="3" s="1"/>
  <c r="F190" i="3"/>
  <c r="K190" i="3" s="1"/>
  <c r="I190" i="3"/>
  <c r="N190" i="3" s="1"/>
  <c r="G190" i="3"/>
  <c r="L190" i="3" s="1"/>
  <c r="E190" i="3"/>
  <c r="J190" i="3" s="1"/>
  <c r="G126" i="3"/>
  <c r="L126" i="3" s="1"/>
  <c r="F126" i="3"/>
  <c r="K126" i="3" s="1"/>
  <c r="H126" i="3"/>
  <c r="M126" i="3" s="1"/>
  <c r="I126" i="3"/>
  <c r="N126" i="3" s="1"/>
  <c r="E126" i="3"/>
  <c r="J126" i="3" s="1"/>
  <c r="F188" i="3"/>
  <c r="K188" i="3" s="1"/>
  <c r="I188" i="3"/>
  <c r="N188" i="3" s="1"/>
  <c r="E188" i="3"/>
  <c r="J188" i="3" s="1"/>
  <c r="G188" i="3"/>
  <c r="L188" i="3" s="1"/>
  <c r="H188" i="3"/>
  <c r="M188" i="3" s="1"/>
  <c r="E60" i="3"/>
  <c r="G60" i="3"/>
  <c r="F60" i="3"/>
  <c r="H60" i="3"/>
  <c r="I60" i="3"/>
  <c r="E157" i="3"/>
  <c r="J157" i="3" s="1"/>
  <c r="H157" i="3"/>
  <c r="M157" i="3" s="1"/>
  <c r="F157" i="3"/>
  <c r="K157" i="3" s="1"/>
  <c r="I157" i="3"/>
  <c r="N157" i="3" s="1"/>
  <c r="G157" i="3"/>
  <c r="L157" i="3" s="1"/>
  <c r="I118" i="3"/>
  <c r="N118" i="3" s="1"/>
  <c r="G118" i="3"/>
  <c r="L118" i="3" s="1"/>
  <c r="F118" i="3"/>
  <c r="K118" i="3" s="1"/>
  <c r="E118" i="3"/>
  <c r="J118" i="3" s="1"/>
  <c r="H118" i="3"/>
  <c r="M118" i="3" s="1"/>
  <c r="I103" i="3"/>
  <c r="N103" i="3" s="1"/>
  <c r="G103" i="3"/>
  <c r="L103" i="3" s="1"/>
  <c r="E103" i="3"/>
  <c r="J103" i="3" s="1"/>
  <c r="H103" i="3"/>
  <c r="M103" i="3" s="1"/>
  <c r="F103" i="3"/>
  <c r="K103" i="3" s="1"/>
  <c r="H180" i="3"/>
  <c r="M180" i="3" s="1"/>
  <c r="F180" i="3"/>
  <c r="K180" i="3" s="1"/>
  <c r="G180" i="3"/>
  <c r="L180" i="3" s="1"/>
  <c r="E180" i="3"/>
  <c r="J180" i="3" s="1"/>
  <c r="I180" i="3"/>
  <c r="N180" i="3" s="1"/>
  <c r="E54" i="3"/>
  <c r="H54" i="3"/>
  <c r="F54" i="3"/>
  <c r="G54" i="3"/>
  <c r="I54" i="3"/>
  <c r="F192" i="3"/>
  <c r="K192" i="3" s="1"/>
  <c r="I192" i="3"/>
  <c r="N192" i="3" s="1"/>
  <c r="G192" i="3"/>
  <c r="L192" i="3" s="1"/>
  <c r="H192" i="3"/>
  <c r="M192" i="3" s="1"/>
  <c r="E192" i="3"/>
  <c r="J192" i="3" s="1"/>
  <c r="I116" i="3"/>
  <c r="N116" i="3" s="1"/>
  <c r="H116" i="3"/>
  <c r="M116" i="3" s="1"/>
  <c r="F116" i="3"/>
  <c r="K116" i="3" s="1"/>
  <c r="G116" i="3"/>
  <c r="L116" i="3" s="1"/>
  <c r="E116" i="3"/>
  <c r="J116" i="3" s="1"/>
  <c r="G133" i="3"/>
  <c r="L133" i="3" s="1"/>
  <c r="E133" i="3"/>
  <c r="J133" i="3" s="1"/>
  <c r="H133" i="3"/>
  <c r="M133" i="3" s="1"/>
  <c r="I133" i="3"/>
  <c r="N133" i="3" s="1"/>
  <c r="F133" i="3"/>
  <c r="K133" i="3" s="1"/>
  <c r="G139" i="3"/>
  <c r="L139" i="3" s="1"/>
  <c r="F139" i="3"/>
  <c r="K139" i="3" s="1"/>
  <c r="E139" i="3"/>
  <c r="J139" i="3" s="1"/>
  <c r="H139" i="3"/>
  <c r="M139" i="3" s="1"/>
  <c r="I139" i="3"/>
  <c r="N139" i="3" s="1"/>
  <c r="G75" i="3"/>
  <c r="I75" i="3"/>
  <c r="E75" i="3"/>
  <c r="H75" i="3"/>
  <c r="F75" i="3"/>
  <c r="H77" i="3"/>
  <c r="E77" i="3"/>
  <c r="G77" i="3"/>
  <c r="F77" i="3"/>
  <c r="I77" i="3"/>
  <c r="G182" i="3"/>
  <c r="L182" i="3" s="1"/>
  <c r="H182" i="3"/>
  <c r="M182" i="3" s="1"/>
  <c r="I182" i="3"/>
  <c r="N182" i="3" s="1"/>
  <c r="F182" i="3"/>
  <c r="K182" i="3" s="1"/>
  <c r="E182" i="3"/>
  <c r="J182" i="3" s="1"/>
  <c r="F168" i="3"/>
  <c r="K168" i="3" s="1"/>
  <c r="I168" i="3"/>
  <c r="N168" i="3" s="1"/>
  <c r="H168" i="3"/>
  <c r="M168" i="3" s="1"/>
  <c r="E168" i="3"/>
  <c r="J168" i="3" s="1"/>
  <c r="G168" i="3"/>
  <c r="L168" i="3" s="1"/>
  <c r="H19" i="3"/>
  <c r="E19" i="3"/>
  <c r="E159" i="3"/>
  <c r="J159" i="3" s="1"/>
  <c r="G159" i="3"/>
  <c r="L159" i="3" s="1"/>
  <c r="F159" i="3"/>
  <c r="K159" i="3" s="1"/>
  <c r="H159" i="3"/>
  <c r="M159" i="3" s="1"/>
  <c r="I159" i="3"/>
  <c r="N159" i="3" s="1"/>
  <c r="F20" i="3"/>
  <c r="I20" i="3"/>
  <c r="H20" i="3"/>
  <c r="G20" i="3"/>
  <c r="E20" i="3"/>
  <c r="E108" i="3"/>
  <c r="J108" i="3" s="1"/>
  <c r="F108" i="3"/>
  <c r="K108" i="3" s="1"/>
  <c r="G108" i="3"/>
  <c r="L108" i="3" s="1"/>
  <c r="I108" i="3"/>
  <c r="N108" i="3" s="1"/>
  <c r="H108" i="3"/>
  <c r="M108" i="3" s="1"/>
  <c r="I201" i="3"/>
  <c r="N201" i="3" s="1"/>
  <c r="H201" i="3"/>
  <c r="M201" i="3" s="1"/>
  <c r="E201" i="3"/>
  <c r="J201" i="3" s="1"/>
  <c r="G201" i="3"/>
  <c r="L201" i="3" s="1"/>
  <c r="F201" i="3"/>
  <c r="K201" i="3" s="1"/>
  <c r="E125" i="3"/>
  <c r="J125" i="3" s="1"/>
  <c r="I125" i="3"/>
  <c r="N125" i="3" s="1"/>
  <c r="H125" i="3"/>
  <c r="M125" i="3" s="1"/>
  <c r="G125" i="3"/>
  <c r="L125" i="3" s="1"/>
  <c r="F125" i="3"/>
  <c r="K125" i="3" s="1"/>
  <c r="F131" i="3"/>
  <c r="K131" i="3" s="1"/>
  <c r="E131" i="3"/>
  <c r="J131" i="3" s="1"/>
  <c r="H131" i="3"/>
  <c r="M131" i="3" s="1"/>
  <c r="I131" i="3"/>
  <c r="N131" i="3" s="1"/>
  <c r="G131" i="3"/>
  <c r="L131" i="3" s="1"/>
  <c r="I67" i="3"/>
  <c r="G67" i="3"/>
  <c r="H67" i="3"/>
  <c r="F67" i="3"/>
  <c r="E67" i="3"/>
  <c r="F69" i="3"/>
  <c r="H69" i="3"/>
  <c r="I69" i="3"/>
  <c r="E69" i="3"/>
  <c r="G69" i="3"/>
  <c r="H174" i="3"/>
  <c r="M174" i="3" s="1"/>
  <c r="G174" i="3"/>
  <c r="L174" i="3" s="1"/>
  <c r="I174" i="3"/>
  <c r="N174" i="3" s="1"/>
  <c r="E174" i="3"/>
  <c r="J174" i="3" s="1"/>
  <c r="F174" i="3"/>
  <c r="K174" i="3" s="1"/>
  <c r="F211" i="3"/>
  <c r="K211" i="3" s="1"/>
  <c r="G211" i="3"/>
  <c r="L211" i="3" s="1"/>
  <c r="E211" i="3"/>
  <c r="J211" i="3" s="1"/>
  <c r="H211" i="3"/>
  <c r="M211" i="3" s="1"/>
  <c r="I211" i="3"/>
  <c r="N211" i="3" s="1"/>
  <c r="H160" i="3"/>
  <c r="M160" i="3" s="1"/>
  <c r="E160" i="3"/>
  <c r="J160" i="3" s="1"/>
  <c r="G160" i="3"/>
  <c r="L160" i="3" s="1"/>
  <c r="I160" i="3"/>
  <c r="N160" i="3" s="1"/>
  <c r="F160" i="3"/>
  <c r="K160" i="3" s="1"/>
  <c r="G50" i="3"/>
  <c r="E50" i="3"/>
  <c r="H50" i="3"/>
  <c r="I50" i="3"/>
  <c r="F50" i="3"/>
  <c r="G39" i="3"/>
  <c r="F39" i="3"/>
  <c r="I39" i="3"/>
  <c r="H39" i="3"/>
  <c r="E39" i="3"/>
  <c r="H205" i="3"/>
  <c r="M205" i="3" s="1"/>
  <c r="E205" i="3"/>
  <c r="J205" i="3" s="1"/>
  <c r="G205" i="3"/>
  <c r="L205" i="3" s="1"/>
  <c r="F205" i="3"/>
  <c r="K205" i="3" s="1"/>
  <c r="I205" i="3"/>
  <c r="N205" i="3" s="1"/>
  <c r="G151" i="3"/>
  <c r="L151" i="3" s="1"/>
  <c r="E151" i="3"/>
  <c r="J151" i="3" s="1"/>
  <c r="F151" i="3"/>
  <c r="K151" i="3" s="1"/>
  <c r="H151" i="3"/>
  <c r="M151" i="3" s="1"/>
  <c r="I151" i="3"/>
  <c r="N151" i="3" s="1"/>
  <c r="F87" i="3"/>
  <c r="K87" i="3" s="1"/>
  <c r="G87" i="3"/>
  <c r="L87" i="3" s="1"/>
  <c r="H87" i="3"/>
  <c r="M87" i="3" s="1"/>
  <c r="E87" i="3"/>
  <c r="J87" i="3" s="1"/>
  <c r="I87" i="3"/>
  <c r="N87" i="3" s="1"/>
  <c r="E38" i="3"/>
  <c r="H38" i="3"/>
  <c r="I38" i="3"/>
  <c r="F38" i="3"/>
  <c r="G38" i="3"/>
  <c r="H164" i="3"/>
  <c r="M164" i="3" s="1"/>
  <c r="F164" i="3"/>
  <c r="K164" i="3" s="1"/>
  <c r="I164" i="3"/>
  <c r="N164" i="3" s="1"/>
  <c r="G164" i="3"/>
  <c r="L164" i="3" s="1"/>
  <c r="E164" i="3"/>
  <c r="J164" i="3" s="1"/>
  <c r="H193" i="3"/>
  <c r="M193" i="3" s="1"/>
  <c r="E193" i="3"/>
  <c r="J193" i="3" s="1"/>
  <c r="G193" i="3"/>
  <c r="L193" i="3" s="1"/>
  <c r="F193" i="3"/>
  <c r="K193" i="3" s="1"/>
  <c r="I193" i="3"/>
  <c r="N193" i="3" s="1"/>
  <c r="H22" i="3"/>
  <c r="G22" i="3"/>
  <c r="I22" i="3"/>
  <c r="E22" i="3"/>
  <c r="F22" i="3"/>
  <c r="G59" i="3"/>
  <c r="H59" i="3"/>
  <c r="I59" i="3"/>
  <c r="E59" i="3"/>
  <c r="F59" i="3"/>
  <c r="E61" i="3"/>
  <c r="F61" i="3"/>
  <c r="I61" i="3"/>
  <c r="H61" i="3"/>
  <c r="G61" i="3"/>
  <c r="G166" i="3"/>
  <c r="L166" i="3" s="1"/>
  <c r="I166" i="3"/>
  <c r="N166" i="3" s="1"/>
  <c r="H166" i="3"/>
  <c r="M166" i="3" s="1"/>
  <c r="E166" i="3"/>
  <c r="J166" i="3" s="1"/>
  <c r="F166" i="3"/>
  <c r="K166" i="3" s="1"/>
  <c r="H203" i="3"/>
  <c r="M203" i="3" s="1"/>
  <c r="G203" i="3"/>
  <c r="L203" i="3" s="1"/>
  <c r="I203" i="3"/>
  <c r="N203" i="3" s="1"/>
  <c r="E203" i="3"/>
  <c r="J203" i="3" s="1"/>
  <c r="F203" i="3"/>
  <c r="K203" i="3" s="1"/>
  <c r="I152" i="3"/>
  <c r="N152" i="3" s="1"/>
  <c r="H152" i="3"/>
  <c r="M152" i="3" s="1"/>
  <c r="E152" i="3"/>
  <c r="J152" i="3" s="1"/>
  <c r="F152" i="3"/>
  <c r="K152" i="3" s="1"/>
  <c r="G152" i="3"/>
  <c r="L152" i="3" s="1"/>
  <c r="G51" i="3"/>
  <c r="I51" i="3"/>
  <c r="H51" i="3"/>
  <c r="F51" i="3"/>
  <c r="E51" i="3"/>
  <c r="E197" i="3"/>
  <c r="J197" i="3" s="1"/>
  <c r="G197" i="3"/>
  <c r="L197" i="3" s="1"/>
  <c r="F197" i="3"/>
  <c r="K197" i="3" s="1"/>
  <c r="I197" i="3"/>
  <c r="N197" i="3" s="1"/>
  <c r="H197" i="3"/>
  <c r="M197" i="3" s="1"/>
  <c r="H121" i="3"/>
  <c r="M121" i="3" s="1"/>
  <c r="E121" i="3"/>
  <c r="J121" i="3" s="1"/>
  <c r="I121" i="3"/>
  <c r="N121" i="3" s="1"/>
  <c r="G121" i="3"/>
  <c r="L121" i="3" s="1"/>
  <c r="F121" i="3"/>
  <c r="K121" i="3" s="1"/>
  <c r="E143" i="3"/>
  <c r="J143" i="3" s="1"/>
  <c r="I143" i="3"/>
  <c r="N143" i="3" s="1"/>
  <c r="H143" i="3"/>
  <c r="M143" i="3" s="1"/>
  <c r="G143" i="3"/>
  <c r="L143" i="3" s="1"/>
  <c r="F143" i="3"/>
  <c r="K143" i="3" s="1"/>
  <c r="G79" i="3"/>
  <c r="H79" i="3"/>
  <c r="F79" i="3"/>
  <c r="I79" i="3"/>
  <c r="E79" i="3"/>
  <c r="I186" i="3"/>
  <c r="N186" i="3" s="1"/>
  <c r="H186" i="3"/>
  <c r="M186" i="3" s="1"/>
  <c r="G186" i="3"/>
  <c r="L186" i="3" s="1"/>
  <c r="E186" i="3"/>
  <c r="J186" i="3" s="1"/>
  <c r="F186" i="3"/>
  <c r="K186" i="3" s="1"/>
  <c r="E30" i="3"/>
  <c r="H30" i="3"/>
  <c r="F30" i="3"/>
  <c r="G30" i="3"/>
  <c r="I30" i="3"/>
  <c r="E185" i="3"/>
  <c r="J185" i="3" s="1"/>
  <c r="H185" i="3"/>
  <c r="M185" i="3" s="1"/>
  <c r="I185" i="3"/>
  <c r="N185" i="3" s="1"/>
  <c r="G185" i="3"/>
  <c r="L185" i="3" s="1"/>
  <c r="F185" i="3"/>
  <c r="K185" i="3" s="1"/>
  <c r="H187" i="3"/>
  <c r="M187" i="3" s="1"/>
  <c r="I187" i="3"/>
  <c r="N187" i="3" s="1"/>
  <c r="F187" i="3"/>
  <c r="K187" i="3" s="1"/>
  <c r="G187" i="3"/>
  <c r="L187" i="3" s="1"/>
  <c r="E187" i="3"/>
  <c r="J187" i="3" s="1"/>
  <c r="H115" i="3"/>
  <c r="M115" i="3" s="1"/>
  <c r="G115" i="3"/>
  <c r="L115" i="3" s="1"/>
  <c r="F115" i="3"/>
  <c r="K115" i="3" s="1"/>
  <c r="I115" i="3"/>
  <c r="N115" i="3" s="1"/>
  <c r="E115" i="3"/>
  <c r="J115" i="3" s="1"/>
  <c r="I43" i="3"/>
  <c r="G43" i="3"/>
  <c r="H43" i="3"/>
  <c r="E43" i="3"/>
  <c r="F43" i="3"/>
  <c r="I144" i="3"/>
  <c r="N144" i="3" s="1"/>
  <c r="F144" i="3"/>
  <c r="K144" i="3" s="1"/>
  <c r="E144" i="3"/>
  <c r="J144" i="3" s="1"/>
  <c r="G144" i="3"/>
  <c r="L144" i="3" s="1"/>
  <c r="H144" i="3"/>
  <c r="M144" i="3" s="1"/>
  <c r="I80" i="3"/>
  <c r="F80" i="3"/>
  <c r="E80" i="3"/>
  <c r="G80" i="3"/>
  <c r="H80" i="3"/>
  <c r="F179" i="3"/>
  <c r="K179" i="3" s="1"/>
  <c r="E179" i="3"/>
  <c r="J179" i="3" s="1"/>
  <c r="G179" i="3"/>
  <c r="L179" i="3" s="1"/>
  <c r="H179" i="3"/>
  <c r="M179" i="3" s="1"/>
  <c r="I179" i="3"/>
  <c r="N179" i="3" s="1"/>
  <c r="E189" i="3"/>
  <c r="J189" i="3" s="1"/>
  <c r="H189" i="3"/>
  <c r="M189" i="3" s="1"/>
  <c r="G189" i="3"/>
  <c r="L189" i="3" s="1"/>
  <c r="F189" i="3"/>
  <c r="K189" i="3" s="1"/>
  <c r="I189" i="3"/>
  <c r="N189" i="3" s="1"/>
  <c r="F135" i="3"/>
  <c r="K135" i="3" s="1"/>
  <c r="E135" i="3"/>
  <c r="J135" i="3" s="1"/>
  <c r="G135" i="3"/>
  <c r="L135" i="3" s="1"/>
  <c r="H135" i="3"/>
  <c r="M135" i="3" s="1"/>
  <c r="I135" i="3"/>
  <c r="N135" i="3" s="1"/>
  <c r="F71" i="3"/>
  <c r="G71" i="3"/>
  <c r="H71" i="3"/>
  <c r="E71" i="3"/>
  <c r="I71" i="3"/>
  <c r="F57" i="3"/>
  <c r="G57" i="3"/>
  <c r="H57" i="3"/>
  <c r="I57" i="3"/>
  <c r="E57" i="3"/>
  <c r="I178" i="3"/>
  <c r="N178" i="3" s="1"/>
  <c r="F178" i="3"/>
  <c r="K178" i="3" s="1"/>
  <c r="G178" i="3"/>
  <c r="L178" i="3" s="1"/>
  <c r="H178" i="3"/>
  <c r="M178" i="3" s="1"/>
  <c r="E178" i="3"/>
  <c r="J178" i="3" s="1"/>
  <c r="G47" i="3"/>
  <c r="I47" i="3"/>
  <c r="H47" i="3"/>
  <c r="F47" i="3"/>
  <c r="E47" i="3"/>
  <c r="G148" i="3"/>
  <c r="L148" i="3" s="1"/>
  <c r="I148" i="3"/>
  <c r="N148" i="3" s="1"/>
  <c r="F148" i="3"/>
  <c r="K148" i="3" s="1"/>
  <c r="H148" i="3"/>
  <c r="M148" i="3" s="1"/>
  <c r="E148" i="3"/>
  <c r="J148" i="3" s="1"/>
  <c r="I107" i="3"/>
  <c r="N107" i="3" s="1"/>
  <c r="G107" i="3"/>
  <c r="L107" i="3" s="1"/>
  <c r="H107" i="3"/>
  <c r="M107" i="3" s="1"/>
  <c r="F107" i="3"/>
  <c r="K107" i="3" s="1"/>
  <c r="E107" i="3"/>
  <c r="J107" i="3" s="1"/>
  <c r="G27" i="3"/>
  <c r="E27" i="3"/>
  <c r="F27" i="3"/>
  <c r="I27" i="3"/>
  <c r="H27" i="3"/>
  <c r="F150" i="3"/>
  <c r="K150" i="3" s="1"/>
  <c r="I150" i="3"/>
  <c r="N150" i="3" s="1"/>
  <c r="H150" i="3"/>
  <c r="M150" i="3" s="1"/>
  <c r="G150" i="3"/>
  <c r="L150" i="3" s="1"/>
  <c r="E150" i="3"/>
  <c r="J150" i="3" s="1"/>
  <c r="H136" i="3"/>
  <c r="M136" i="3" s="1"/>
  <c r="F136" i="3"/>
  <c r="K136" i="3" s="1"/>
  <c r="E136" i="3"/>
  <c r="J136" i="3" s="1"/>
  <c r="I136" i="3"/>
  <c r="N136" i="3" s="1"/>
  <c r="G136" i="3"/>
  <c r="L136" i="3" s="1"/>
  <c r="F72" i="3"/>
  <c r="E72" i="3"/>
  <c r="I72" i="3"/>
  <c r="H72" i="3"/>
  <c r="G72" i="3"/>
  <c r="G19" i="3"/>
  <c r="K17" i="10"/>
  <c r="K19" i="10" s="1"/>
  <c r="I17" i="10"/>
  <c r="I19" i="10" s="1"/>
  <c r="G17" i="10"/>
  <c r="G19" i="10" s="1"/>
  <c r="E17" i="10"/>
  <c r="E19" i="10" s="1"/>
  <c r="C27" i="7"/>
  <c r="C46" i="7" s="1"/>
  <c r="C52" i="7" s="1"/>
  <c r="D27" i="7"/>
  <c r="D46" i="7" s="1"/>
  <c r="D52" i="7" s="1"/>
  <c r="E27" i="7"/>
  <c r="E46" i="7" s="1"/>
  <c r="E52" i="7" s="1"/>
  <c r="F27" i="7"/>
  <c r="F46" i="7" s="1"/>
  <c r="F52" i="7" s="1"/>
  <c r="G27" i="7"/>
  <c r="G46" i="7" s="1"/>
  <c r="G52" i="7" s="1"/>
  <c r="H27" i="7"/>
  <c r="H46" i="7" s="1"/>
  <c r="H52" i="7" s="1"/>
  <c r="I27" i="7"/>
  <c r="I46" i="7" s="1"/>
  <c r="I52" i="7" s="1"/>
  <c r="J27" i="7"/>
  <c r="J46" i="7" s="1"/>
  <c r="J52" i="7" s="1"/>
  <c r="K27" i="7"/>
  <c r="K46" i="7" s="1"/>
  <c r="K52" i="7" s="1"/>
  <c r="L27" i="7"/>
  <c r="L46" i="7" s="1"/>
  <c r="L52" i="7" s="1"/>
  <c r="N27" i="7"/>
  <c r="N46" i="7" s="1"/>
  <c r="N52" i="7" s="1"/>
  <c r="O27" i="7"/>
  <c r="O46" i="7" s="1"/>
  <c r="O52" i="7" s="1"/>
  <c r="B27" i="7"/>
  <c r="B46" i="7" s="1"/>
  <c r="B52" i="7" s="1"/>
  <c r="C24" i="7"/>
  <c r="C45" i="7" s="1"/>
  <c r="C51" i="7" s="1"/>
  <c r="D24" i="7"/>
  <c r="D45" i="7" s="1"/>
  <c r="D51" i="7" s="1"/>
  <c r="E24" i="7"/>
  <c r="E45" i="7" s="1"/>
  <c r="E51" i="7" s="1"/>
  <c r="F24" i="7"/>
  <c r="F45" i="7" s="1"/>
  <c r="F51" i="7" s="1"/>
  <c r="G24" i="7"/>
  <c r="G45" i="7" s="1"/>
  <c r="G51" i="7" s="1"/>
  <c r="H24" i="7"/>
  <c r="H45" i="7" s="1"/>
  <c r="H51" i="7" s="1"/>
  <c r="I24" i="7"/>
  <c r="I45" i="7" s="1"/>
  <c r="I51" i="7" s="1"/>
  <c r="J24" i="7"/>
  <c r="J45" i="7" s="1"/>
  <c r="J51" i="7" s="1"/>
  <c r="K24" i="7"/>
  <c r="K45" i="7" s="1"/>
  <c r="K51" i="7" s="1"/>
  <c r="L24" i="7"/>
  <c r="L45" i="7" s="1"/>
  <c r="L51" i="7" s="1"/>
  <c r="N24" i="7"/>
  <c r="N45" i="7" s="1"/>
  <c r="N51" i="7" s="1"/>
  <c r="O24" i="7"/>
  <c r="O45" i="7" s="1"/>
  <c r="O51" i="7" s="1"/>
  <c r="B24" i="7"/>
  <c r="B45" i="7" s="1"/>
  <c r="B51" i="7" s="1"/>
  <c r="C21" i="7"/>
  <c r="C44" i="7" s="1"/>
  <c r="C50" i="7" s="1"/>
  <c r="D21" i="7"/>
  <c r="D44" i="7" s="1"/>
  <c r="D50" i="7" s="1"/>
  <c r="E21" i="7"/>
  <c r="E44" i="7" s="1"/>
  <c r="E50" i="7" s="1"/>
  <c r="F21" i="7"/>
  <c r="F44" i="7" s="1"/>
  <c r="F50" i="7" s="1"/>
  <c r="G21" i="7"/>
  <c r="G44" i="7" s="1"/>
  <c r="G50" i="7" s="1"/>
  <c r="H21" i="7"/>
  <c r="H44" i="7" s="1"/>
  <c r="H50" i="7" s="1"/>
  <c r="I21" i="7"/>
  <c r="I44" i="7" s="1"/>
  <c r="I50" i="7" s="1"/>
  <c r="J21" i="7"/>
  <c r="J44" i="7" s="1"/>
  <c r="J50" i="7" s="1"/>
  <c r="K21" i="7"/>
  <c r="K44" i="7" s="1"/>
  <c r="K50" i="7" s="1"/>
  <c r="L21" i="7"/>
  <c r="L44" i="7" s="1"/>
  <c r="L50" i="7" s="1"/>
  <c r="N21" i="7"/>
  <c r="N44" i="7" s="1"/>
  <c r="N50" i="7" s="1"/>
  <c r="O21" i="7"/>
  <c r="O44" i="7" s="1"/>
  <c r="O50" i="7" s="1"/>
  <c r="B21" i="7"/>
  <c r="B44" i="7" s="1"/>
  <c r="B50" i="7" s="1"/>
  <c r="C18" i="7"/>
  <c r="C43" i="7" s="1"/>
  <c r="C49" i="7" s="1"/>
  <c r="D18" i="7"/>
  <c r="D43" i="7" s="1"/>
  <c r="D49" i="7" s="1"/>
  <c r="E18" i="7"/>
  <c r="E43" i="7" s="1"/>
  <c r="E49" i="7" s="1"/>
  <c r="F18" i="7"/>
  <c r="F43" i="7" s="1"/>
  <c r="F49" i="7" s="1"/>
  <c r="G18" i="7"/>
  <c r="G43" i="7" s="1"/>
  <c r="G49" i="7" s="1"/>
  <c r="H18" i="7"/>
  <c r="H43" i="7" s="1"/>
  <c r="H49" i="7" s="1"/>
  <c r="I18" i="7"/>
  <c r="I43" i="7" s="1"/>
  <c r="I49" i="7" s="1"/>
  <c r="J18" i="7"/>
  <c r="J43" i="7" s="1"/>
  <c r="J49" i="7" s="1"/>
  <c r="K18" i="7"/>
  <c r="K43" i="7" s="1"/>
  <c r="K49" i="7" s="1"/>
  <c r="L18" i="7"/>
  <c r="L43" i="7" s="1"/>
  <c r="N18" i="7"/>
  <c r="N43" i="7" s="1"/>
  <c r="N49" i="7" s="1"/>
  <c r="O18" i="7"/>
  <c r="O43" i="7" s="1"/>
  <c r="O49" i="7" s="1"/>
  <c r="B18" i="7"/>
  <c r="B43" i="7" s="1"/>
  <c r="B49" i="7" s="1"/>
  <c r="C15" i="7"/>
  <c r="C42" i="7" s="1"/>
  <c r="C48" i="7" s="1"/>
  <c r="D15" i="7"/>
  <c r="D42" i="7" s="1"/>
  <c r="D48" i="7" s="1"/>
  <c r="E15" i="7"/>
  <c r="E42" i="7" s="1"/>
  <c r="E48" i="7" s="1"/>
  <c r="F15" i="7"/>
  <c r="F42" i="7" s="1"/>
  <c r="F48" i="7" s="1"/>
  <c r="G15" i="7"/>
  <c r="G42" i="7" s="1"/>
  <c r="G48" i="7" s="1"/>
  <c r="H15" i="7"/>
  <c r="H42" i="7" s="1"/>
  <c r="H48" i="7" s="1"/>
  <c r="I15" i="7"/>
  <c r="I42" i="7" s="1"/>
  <c r="I48" i="7" s="1"/>
  <c r="J15" i="7"/>
  <c r="J42" i="7" s="1"/>
  <c r="J48" i="7" s="1"/>
  <c r="K15" i="7"/>
  <c r="K42" i="7" s="1"/>
  <c r="K48" i="7" s="1"/>
  <c r="L15" i="7"/>
  <c r="L42" i="7" s="1"/>
  <c r="L48" i="7" s="1"/>
  <c r="N15" i="7"/>
  <c r="N42" i="7" s="1"/>
  <c r="N48" i="7" s="1"/>
  <c r="O15" i="7"/>
  <c r="O42" i="7" s="1"/>
  <c r="O48" i="7" s="1"/>
  <c r="B15" i="7"/>
  <c r="B42" i="7" s="1"/>
  <c r="B48" i="7" s="1"/>
  <c r="L49" i="7" l="1"/>
  <c r="L54" i="7" s="1"/>
  <c r="K54" i="7"/>
  <c r="K53" i="7"/>
  <c r="H53" i="7"/>
  <c r="H54" i="7"/>
  <c r="I54" i="7"/>
  <c r="I53" i="7"/>
  <c r="G53" i="7"/>
  <c r="G54" i="7"/>
  <c r="O53" i="7"/>
  <c r="O54" i="7"/>
  <c r="F53" i="7"/>
  <c r="F54" i="7"/>
  <c r="C54" i="7"/>
  <c r="C53" i="7"/>
  <c r="B54" i="7"/>
  <c r="B53" i="7"/>
  <c r="N53" i="7"/>
  <c r="N54" i="7"/>
  <c r="E53" i="7"/>
  <c r="E54" i="7"/>
  <c r="D53" i="7"/>
  <c r="D54" i="7"/>
  <c r="J54" i="7"/>
  <c r="J55" i="7" s="1"/>
  <c r="J47" i="7" s="1"/>
  <c r="J53" i="7"/>
  <c r="D63" i="7"/>
  <c r="I210" i="3"/>
  <c r="N210" i="3" s="1"/>
  <c r="F215" i="3"/>
  <c r="K215" i="3" s="1"/>
  <c r="H215" i="3"/>
  <c r="M215" i="3" s="1"/>
  <c r="E215" i="3"/>
  <c r="J215" i="3" s="1"/>
  <c r="G215" i="3"/>
  <c r="L215" i="3" s="1"/>
  <c r="I215" i="3"/>
  <c r="N215" i="3" s="1"/>
  <c r="F212" i="3"/>
  <c r="K212" i="3" s="1"/>
  <c r="H212" i="3"/>
  <c r="M212" i="3" s="1"/>
  <c r="E212" i="3"/>
  <c r="J212" i="3" s="1"/>
  <c r="G212" i="3"/>
  <c r="L212" i="3" s="1"/>
  <c r="I212" i="3"/>
  <c r="N212" i="3" s="1"/>
  <c r="I171" i="3"/>
  <c r="N171" i="3" s="1"/>
  <c r="I158" i="3"/>
  <c r="N158" i="3" s="1"/>
  <c r="I88" i="3"/>
  <c r="N88" i="3" s="1"/>
  <c r="E46" i="3"/>
  <c r="G104" i="3"/>
  <c r="L104" i="3" s="1"/>
  <c r="E210" i="3"/>
  <c r="J210" i="3" s="1"/>
  <c r="G177" i="3"/>
  <c r="L177" i="3" s="1"/>
  <c r="F210" i="3"/>
  <c r="K210" i="3" s="1"/>
  <c r="H173" i="3"/>
  <c r="M173" i="3" s="1"/>
  <c r="G128" i="3"/>
  <c r="L128" i="3" s="1"/>
  <c r="E171" i="3"/>
  <c r="J171" i="3" s="1"/>
  <c r="I177" i="3"/>
  <c r="N177" i="3" s="1"/>
  <c r="G158" i="3"/>
  <c r="L158" i="3" s="1"/>
  <c r="F88" i="3"/>
  <c r="K88" i="3" s="1"/>
  <c r="F46" i="3"/>
  <c r="I46" i="3"/>
  <c r="I104" i="3"/>
  <c r="N104" i="3" s="1"/>
  <c r="G210" i="3"/>
  <c r="L210" i="3" s="1"/>
  <c r="I167" i="3"/>
  <c r="N167" i="3" s="1"/>
  <c r="F198" i="3"/>
  <c r="K198" i="3" s="1"/>
  <c r="I173" i="3"/>
  <c r="N173" i="3" s="1"/>
  <c r="F173" i="3"/>
  <c r="K173" i="3" s="1"/>
  <c r="I128" i="3"/>
  <c r="N128" i="3" s="1"/>
  <c r="H206" i="3"/>
  <c r="M206" i="3" s="1"/>
  <c r="G73" i="3"/>
  <c r="I102" i="3"/>
  <c r="N102" i="3" s="1"/>
  <c r="H92" i="3"/>
  <c r="M92" i="3" s="1"/>
  <c r="F209" i="3"/>
  <c r="K209" i="3" s="1"/>
  <c r="I92" i="3"/>
  <c r="N92" i="3" s="1"/>
  <c r="H84" i="3"/>
  <c r="H73" i="3"/>
  <c r="F102" i="3"/>
  <c r="K102" i="3" s="1"/>
  <c r="E36" i="3"/>
  <c r="G92" i="3"/>
  <c r="L92" i="3" s="1"/>
  <c r="E92" i="3"/>
  <c r="J92" i="3" s="1"/>
  <c r="G84" i="3"/>
  <c r="I84" i="3"/>
  <c r="I73" i="3"/>
  <c r="H102" i="3"/>
  <c r="M102" i="3" s="1"/>
  <c r="E102" i="3"/>
  <c r="J102" i="3" s="1"/>
  <c r="I40" i="3"/>
  <c r="H209" i="3"/>
  <c r="M209" i="3" s="1"/>
  <c r="H204" i="3"/>
  <c r="M204" i="3" s="1"/>
  <c r="G40" i="3"/>
  <c r="F128" i="3"/>
  <c r="K128" i="3" s="1"/>
  <c r="H128" i="3"/>
  <c r="M128" i="3" s="1"/>
  <c r="I175" i="3"/>
  <c r="N175" i="3" s="1"/>
  <c r="G173" i="3"/>
  <c r="L173" i="3" s="1"/>
  <c r="H86" i="3"/>
  <c r="M86" i="3" s="1"/>
  <c r="E209" i="3"/>
  <c r="J209" i="3" s="1"/>
  <c r="F134" i="3"/>
  <c r="K134" i="3" s="1"/>
  <c r="E84" i="3"/>
  <c r="E73" i="3"/>
  <c r="I209" i="3"/>
  <c r="N209" i="3" s="1"/>
  <c r="F204" i="3"/>
  <c r="K204" i="3" s="1"/>
  <c r="H171" i="3"/>
  <c r="M171" i="3" s="1"/>
  <c r="E158" i="3"/>
  <c r="J158" i="3" s="1"/>
  <c r="H104" i="3"/>
  <c r="M104" i="3" s="1"/>
  <c r="E198" i="3"/>
  <c r="J198" i="3" s="1"/>
  <c r="E49" i="3"/>
  <c r="G24" i="3"/>
  <c r="F171" i="3"/>
  <c r="K171" i="3" s="1"/>
  <c r="H158" i="3"/>
  <c r="M158" i="3" s="1"/>
  <c r="I172" i="3"/>
  <c r="N172" i="3" s="1"/>
  <c r="E104" i="3"/>
  <c r="J104" i="3" s="1"/>
  <c r="G198" i="3"/>
  <c r="L198" i="3" s="1"/>
  <c r="I49" i="3"/>
  <c r="G46" i="3"/>
  <c r="H198" i="3"/>
  <c r="M198" i="3" s="1"/>
  <c r="E206" i="3"/>
  <c r="J206" i="3" s="1"/>
  <c r="H49" i="3"/>
  <c r="G169" i="3"/>
  <c r="L169" i="3" s="1"/>
  <c r="E86" i="3"/>
  <c r="J86" i="3" s="1"/>
  <c r="H129" i="3"/>
  <c r="M129" i="3" s="1"/>
  <c r="G96" i="3"/>
  <c r="L96" i="3" s="1"/>
  <c r="G206" i="3"/>
  <c r="L206" i="3" s="1"/>
  <c r="F49" i="3"/>
  <c r="I36" i="3"/>
  <c r="I86" i="3"/>
  <c r="N86" i="3" s="1"/>
  <c r="G129" i="3"/>
  <c r="L129" i="3" s="1"/>
  <c r="I129" i="3"/>
  <c r="N129" i="3" s="1"/>
  <c r="I96" i="3"/>
  <c r="N96" i="3" s="1"/>
  <c r="F96" i="3"/>
  <c r="K96" i="3" s="1"/>
  <c r="H172" i="3"/>
  <c r="M172" i="3" s="1"/>
  <c r="F40" i="3"/>
  <c r="H134" i="3"/>
  <c r="M134" i="3" s="1"/>
  <c r="F169" i="3"/>
  <c r="K169" i="3" s="1"/>
  <c r="G86" i="3"/>
  <c r="L86" i="3" s="1"/>
  <c r="E129" i="3"/>
  <c r="J129" i="3" s="1"/>
  <c r="E96" i="3"/>
  <c r="J96" i="3" s="1"/>
  <c r="E172" i="3"/>
  <c r="J172" i="3" s="1"/>
  <c r="H40" i="3"/>
  <c r="I134" i="3"/>
  <c r="N134" i="3" s="1"/>
  <c r="G172" i="3"/>
  <c r="L172" i="3" s="1"/>
  <c r="E134" i="3"/>
  <c r="J134" i="3" s="1"/>
  <c r="H88" i="3"/>
  <c r="M88" i="3" s="1"/>
  <c r="F167" i="3"/>
  <c r="K167" i="3" s="1"/>
  <c r="H175" i="3"/>
  <c r="M175" i="3" s="1"/>
  <c r="H177" i="3"/>
  <c r="M177" i="3" s="1"/>
  <c r="E123" i="3"/>
  <c r="J123" i="3" s="1"/>
  <c r="H167" i="3"/>
  <c r="M167" i="3" s="1"/>
  <c r="G175" i="3"/>
  <c r="L175" i="3" s="1"/>
  <c r="G167" i="3"/>
  <c r="L167" i="3" s="1"/>
  <c r="F177" i="3"/>
  <c r="K177" i="3" s="1"/>
  <c r="I123" i="3"/>
  <c r="N123" i="3" s="1"/>
  <c r="F175" i="3"/>
  <c r="K175" i="3" s="1"/>
  <c r="H123" i="3"/>
  <c r="M123" i="3" s="1"/>
  <c r="E88" i="3"/>
  <c r="J88" i="3" s="1"/>
  <c r="F123" i="3"/>
  <c r="K123" i="3" s="1"/>
  <c r="E181" i="3"/>
  <c r="J181" i="3" s="1"/>
  <c r="G23" i="3"/>
  <c r="E31" i="3"/>
  <c r="E24" i="3"/>
  <c r="I89" i="3"/>
  <c r="N89" i="3" s="1"/>
  <c r="I31" i="3"/>
  <c r="E195" i="3"/>
  <c r="J195" i="3" s="1"/>
  <c r="F24" i="3"/>
  <c r="E137" i="3"/>
  <c r="J137" i="3" s="1"/>
  <c r="H89" i="3"/>
  <c r="M89" i="3" s="1"/>
  <c r="F64" i="3"/>
  <c r="F31" i="3"/>
  <c r="G195" i="3"/>
  <c r="L195" i="3" s="1"/>
  <c r="I24" i="3"/>
  <c r="F137" i="3"/>
  <c r="K137" i="3" s="1"/>
  <c r="F89" i="3"/>
  <c r="K89" i="3" s="1"/>
  <c r="E23" i="3"/>
  <c r="H31" i="3"/>
  <c r="I195" i="3"/>
  <c r="N195" i="3" s="1"/>
  <c r="I137" i="3"/>
  <c r="N137" i="3" s="1"/>
  <c r="G89" i="3"/>
  <c r="L89" i="3" s="1"/>
  <c r="F23" i="3"/>
  <c r="F195" i="3"/>
  <c r="K195" i="3" s="1"/>
  <c r="H23" i="3"/>
  <c r="G95" i="3"/>
  <c r="L95" i="3" s="1"/>
  <c r="G48" i="3"/>
  <c r="I48" i="3"/>
  <c r="E119" i="3"/>
  <c r="J119" i="3" s="1"/>
  <c r="F206" i="3"/>
  <c r="K206" i="3" s="1"/>
  <c r="I202" i="3"/>
  <c r="N202" i="3" s="1"/>
  <c r="H202" i="3"/>
  <c r="M202" i="3" s="1"/>
  <c r="G202" i="3"/>
  <c r="L202" i="3" s="1"/>
  <c r="I95" i="3"/>
  <c r="N95" i="3" s="1"/>
  <c r="E48" i="3"/>
  <c r="G81" i="3"/>
  <c r="F48" i="3"/>
  <c r="H81" i="3"/>
  <c r="E81" i="3"/>
  <c r="F95" i="3"/>
  <c r="K95" i="3" s="1"/>
  <c r="F56" i="3"/>
  <c r="F202" i="3"/>
  <c r="K202" i="3" s="1"/>
  <c r="I81" i="3"/>
  <c r="E95" i="3"/>
  <c r="J95" i="3" s="1"/>
  <c r="E110" i="3"/>
  <c r="J110" i="3" s="1"/>
  <c r="H113" i="3"/>
  <c r="M113" i="3" s="1"/>
  <c r="G156" i="3"/>
  <c r="L156" i="3" s="1"/>
  <c r="E68" i="3"/>
  <c r="E194" i="3"/>
  <c r="J194" i="3" s="1"/>
  <c r="H62" i="3"/>
  <c r="H142" i="3"/>
  <c r="M142" i="3" s="1"/>
  <c r="G65" i="3"/>
  <c r="E94" i="3"/>
  <c r="J94" i="3" s="1"/>
  <c r="G44" i="3"/>
  <c r="I105" i="3"/>
  <c r="N105" i="3" s="1"/>
  <c r="I68" i="3"/>
  <c r="F113" i="3"/>
  <c r="K113" i="3" s="1"/>
  <c r="I156" i="3"/>
  <c r="N156" i="3" s="1"/>
  <c r="H94" i="3"/>
  <c r="M94" i="3" s="1"/>
  <c r="F36" i="3"/>
  <c r="E113" i="3"/>
  <c r="J113" i="3" s="1"/>
  <c r="I94" i="3"/>
  <c r="N94" i="3" s="1"/>
  <c r="E112" i="3"/>
  <c r="J112" i="3" s="1"/>
  <c r="E132" i="3"/>
  <c r="J132" i="3" s="1"/>
  <c r="F68" i="3"/>
  <c r="G68" i="3"/>
  <c r="I113" i="3"/>
  <c r="N113" i="3" s="1"/>
  <c r="F94" i="3"/>
  <c r="K94" i="3" s="1"/>
  <c r="H112" i="3"/>
  <c r="M112" i="3" s="1"/>
  <c r="G132" i="3"/>
  <c r="L132" i="3" s="1"/>
  <c r="I119" i="3"/>
  <c r="N119" i="3" s="1"/>
  <c r="F105" i="3"/>
  <c r="K105" i="3" s="1"/>
  <c r="F112" i="3"/>
  <c r="K112" i="3" s="1"/>
  <c r="F62" i="3"/>
  <c r="H132" i="3"/>
  <c r="M132" i="3" s="1"/>
  <c r="F119" i="3"/>
  <c r="K119" i="3" s="1"/>
  <c r="G204" i="3"/>
  <c r="L204" i="3" s="1"/>
  <c r="G105" i="3"/>
  <c r="L105" i="3" s="1"/>
  <c r="H156" i="3"/>
  <c r="M156" i="3" s="1"/>
  <c r="I112" i="3"/>
  <c r="N112" i="3" s="1"/>
  <c r="G62" i="3"/>
  <c r="I56" i="3"/>
  <c r="H36" i="3"/>
  <c r="F132" i="3"/>
  <c r="K132" i="3" s="1"/>
  <c r="H119" i="3"/>
  <c r="M119" i="3" s="1"/>
  <c r="E199" i="3"/>
  <c r="J199" i="3" s="1"/>
  <c r="E204" i="3"/>
  <c r="J204" i="3" s="1"/>
  <c r="E105" i="3"/>
  <c r="J105" i="3" s="1"/>
  <c r="E156" i="3"/>
  <c r="J156" i="3" s="1"/>
  <c r="I62" i="3"/>
  <c r="E65" i="3"/>
  <c r="I44" i="3"/>
  <c r="I142" i="3"/>
  <c r="N142" i="3" s="1"/>
  <c r="E100" i="3"/>
  <c r="J100" i="3" s="1"/>
  <c r="G194" i="3"/>
  <c r="L194" i="3" s="1"/>
  <c r="F44" i="3"/>
  <c r="H100" i="3"/>
  <c r="M100" i="3" s="1"/>
  <c r="F194" i="3"/>
  <c r="K194" i="3" s="1"/>
  <c r="E44" i="3"/>
  <c r="F100" i="3"/>
  <c r="K100" i="3" s="1"/>
  <c r="I194" i="3"/>
  <c r="N194" i="3" s="1"/>
  <c r="I65" i="3"/>
  <c r="I100" i="3"/>
  <c r="N100" i="3" s="1"/>
  <c r="G142" i="3"/>
  <c r="L142" i="3" s="1"/>
  <c r="H65" i="3"/>
  <c r="H32" i="3"/>
  <c r="F142" i="3"/>
  <c r="K142" i="3" s="1"/>
  <c r="E169" i="3"/>
  <c r="J169" i="3" s="1"/>
  <c r="H181" i="3"/>
  <c r="M181" i="3" s="1"/>
  <c r="F181" i="3"/>
  <c r="K181" i="3" s="1"/>
  <c r="I64" i="3"/>
  <c r="H64" i="3"/>
  <c r="I169" i="3"/>
  <c r="N169" i="3" s="1"/>
  <c r="I181" i="3"/>
  <c r="N181" i="3" s="1"/>
  <c r="G120" i="3"/>
  <c r="L120" i="3" s="1"/>
  <c r="H110" i="3"/>
  <c r="M110" i="3" s="1"/>
  <c r="H199" i="3"/>
  <c r="M199" i="3" s="1"/>
  <c r="I53" i="3"/>
  <c r="E32" i="3"/>
  <c r="I110" i="3"/>
  <c r="N110" i="3" s="1"/>
  <c r="G149" i="3"/>
  <c r="L149" i="3" s="1"/>
  <c r="I120" i="3"/>
  <c r="N120" i="3" s="1"/>
  <c r="G199" i="3"/>
  <c r="L199" i="3" s="1"/>
  <c r="H53" i="3"/>
  <c r="H149" i="3"/>
  <c r="M149" i="3" s="1"/>
  <c r="F53" i="3"/>
  <c r="G110" i="3"/>
  <c r="L110" i="3" s="1"/>
  <c r="F149" i="3"/>
  <c r="K149" i="3" s="1"/>
  <c r="E120" i="3"/>
  <c r="J120" i="3" s="1"/>
  <c r="I199" i="3"/>
  <c r="N199" i="3" s="1"/>
  <c r="G32" i="3"/>
  <c r="E53" i="3"/>
  <c r="E149" i="3"/>
  <c r="J149" i="3" s="1"/>
  <c r="E56" i="3"/>
  <c r="F120" i="3"/>
  <c r="K120" i="3" s="1"/>
  <c r="F32" i="3"/>
  <c r="H137" i="3"/>
  <c r="M137" i="3" s="1"/>
  <c r="G56" i="3"/>
  <c r="G64" i="3"/>
  <c r="E45" i="3"/>
  <c r="F45" i="3"/>
  <c r="H45" i="3"/>
  <c r="I45" i="3"/>
  <c r="G45" i="3"/>
  <c r="H154" i="3"/>
  <c r="M154" i="3" s="1"/>
  <c r="G154" i="3"/>
  <c r="L154" i="3" s="1"/>
  <c r="E154" i="3"/>
  <c r="J154" i="3" s="1"/>
  <c r="I154" i="3"/>
  <c r="N154" i="3" s="1"/>
  <c r="F154" i="3"/>
  <c r="K154" i="3" s="1"/>
  <c r="E117" i="3"/>
  <c r="J117" i="3" s="1"/>
  <c r="G117" i="3"/>
  <c r="L117" i="3" s="1"/>
  <c r="F117" i="3"/>
  <c r="K117" i="3" s="1"/>
  <c r="H117" i="3"/>
  <c r="M117" i="3" s="1"/>
  <c r="I117" i="3"/>
  <c r="N117" i="3" s="1"/>
  <c r="E109" i="3"/>
  <c r="J109" i="3" s="1"/>
  <c r="H109" i="3"/>
  <c r="M109" i="3" s="1"/>
  <c r="G109" i="3"/>
  <c r="L109" i="3" s="1"/>
  <c r="F109" i="3"/>
  <c r="K109" i="3" s="1"/>
  <c r="I109" i="3"/>
  <c r="N109" i="3" s="1"/>
  <c r="E58" i="3"/>
  <c r="F58" i="3"/>
  <c r="H58" i="3"/>
  <c r="G58" i="3"/>
  <c r="I58" i="3"/>
  <c r="G85" i="3"/>
  <c r="H85" i="3"/>
  <c r="I85" i="3"/>
  <c r="E85" i="3"/>
  <c r="F85" i="3"/>
  <c r="I130" i="3"/>
  <c r="N130" i="3" s="1"/>
  <c r="E130" i="3"/>
  <c r="J130" i="3" s="1"/>
  <c r="H130" i="3"/>
  <c r="M130" i="3" s="1"/>
  <c r="F130" i="3"/>
  <c r="K130" i="3" s="1"/>
  <c r="G130" i="3"/>
  <c r="L130" i="3" s="1"/>
  <c r="I90" i="3"/>
  <c r="N90" i="3" s="1"/>
  <c r="H90" i="3"/>
  <c r="M90" i="3" s="1"/>
  <c r="G90" i="3"/>
  <c r="L90" i="3" s="1"/>
  <c r="F90" i="3"/>
  <c r="K90" i="3" s="1"/>
  <c r="E90" i="3"/>
  <c r="J90" i="3" s="1"/>
  <c r="E21" i="3"/>
  <c r="G21" i="3"/>
  <c r="F21" i="3"/>
  <c r="H21" i="3"/>
  <c r="I21" i="3"/>
  <c r="G162" i="3"/>
  <c r="L162" i="3" s="1"/>
  <c r="H162" i="3"/>
  <c r="M162" i="3" s="1"/>
  <c r="F162" i="3"/>
  <c r="K162" i="3" s="1"/>
  <c r="I162" i="3"/>
  <c r="N162" i="3" s="1"/>
  <c r="E162" i="3"/>
  <c r="J162" i="3" s="1"/>
  <c r="G34" i="3"/>
  <c r="F34" i="3"/>
  <c r="I34" i="3"/>
  <c r="E34" i="3"/>
  <c r="H34" i="3"/>
  <c r="F138" i="3"/>
  <c r="K138" i="3" s="1"/>
  <c r="H138" i="3"/>
  <c r="M138" i="3" s="1"/>
  <c r="E138" i="3"/>
  <c r="J138" i="3" s="1"/>
  <c r="G138" i="3"/>
  <c r="L138" i="3" s="1"/>
  <c r="I138" i="3"/>
  <c r="N138" i="3" s="1"/>
  <c r="E66" i="3"/>
  <c r="H66" i="3"/>
  <c r="F66" i="3"/>
  <c r="I66" i="3"/>
  <c r="G66" i="3"/>
  <c r="G146" i="3"/>
  <c r="L146" i="3" s="1"/>
  <c r="E146" i="3"/>
  <c r="J146" i="3" s="1"/>
  <c r="I146" i="3"/>
  <c r="N146" i="3" s="1"/>
  <c r="F146" i="3"/>
  <c r="K146" i="3" s="1"/>
  <c r="H146" i="3"/>
  <c r="M146" i="3" s="1"/>
  <c r="E106" i="3"/>
  <c r="J106" i="3" s="1"/>
  <c r="H106" i="3"/>
  <c r="M106" i="3" s="1"/>
  <c r="G106" i="3"/>
  <c r="L106" i="3" s="1"/>
  <c r="I106" i="3"/>
  <c r="N106" i="3" s="1"/>
  <c r="F106" i="3"/>
  <c r="K106" i="3" s="1"/>
  <c r="I98" i="3"/>
  <c r="N98" i="3" s="1"/>
  <c r="E98" i="3"/>
  <c r="J98" i="3" s="1"/>
  <c r="H98" i="3"/>
  <c r="M98" i="3" s="1"/>
  <c r="G98" i="3"/>
  <c r="L98" i="3" s="1"/>
  <c r="F98" i="3"/>
  <c r="K98" i="3" s="1"/>
  <c r="E29" i="3"/>
  <c r="F29" i="3"/>
  <c r="G29" i="3"/>
  <c r="H29" i="3"/>
  <c r="I29" i="3"/>
  <c r="E74" i="3"/>
  <c r="F74" i="3"/>
  <c r="G74" i="3"/>
  <c r="H74" i="3"/>
  <c r="I74" i="3"/>
  <c r="E101" i="3"/>
  <c r="J101" i="3" s="1"/>
  <c r="H101" i="3"/>
  <c r="M101" i="3" s="1"/>
  <c r="I101" i="3"/>
  <c r="N101" i="3" s="1"/>
  <c r="G101" i="3"/>
  <c r="L101" i="3" s="1"/>
  <c r="F101" i="3"/>
  <c r="K101" i="3" s="1"/>
  <c r="I82" i="3"/>
  <c r="H82" i="3"/>
  <c r="F82" i="3"/>
  <c r="E82" i="3"/>
  <c r="G82" i="3"/>
  <c r="E42" i="3"/>
  <c r="G42" i="3"/>
  <c r="I42" i="3"/>
  <c r="F42" i="3"/>
  <c r="H42" i="3"/>
  <c r="I37" i="3"/>
  <c r="G37" i="3"/>
  <c r="E37" i="3"/>
  <c r="H37" i="3"/>
  <c r="F37" i="3"/>
  <c r="I114" i="3"/>
  <c r="N114" i="3" s="1"/>
  <c r="E114" i="3"/>
  <c r="J114" i="3" s="1"/>
  <c r="G114" i="3"/>
  <c r="L114" i="3" s="1"/>
  <c r="F114" i="3"/>
  <c r="K114" i="3" s="1"/>
  <c r="H114" i="3"/>
  <c r="M114" i="3" s="1"/>
  <c r="F29" i="10"/>
  <c r="I29" i="10"/>
  <c r="I46" i="10" s="1"/>
  <c r="E29" i="10"/>
  <c r="J29" i="10"/>
  <c r="J46" i="10" s="1"/>
  <c r="O29" i="10"/>
  <c r="K29" i="10"/>
  <c r="K46" i="10" s="1"/>
  <c r="G29" i="10"/>
  <c r="G46" i="10" s="1"/>
  <c r="C29" i="10"/>
  <c r="N29" i="10"/>
  <c r="L29" i="10"/>
  <c r="H29" i="10"/>
  <c r="H46" i="10" s="1"/>
  <c r="D29" i="10"/>
  <c r="B29" i="10"/>
  <c r="L28" i="10"/>
  <c r="O28" i="10"/>
  <c r="K28" i="10"/>
  <c r="K45" i="10" s="1"/>
  <c r="G28" i="10"/>
  <c r="G45" i="10" s="1"/>
  <c r="C28" i="10"/>
  <c r="H28" i="10"/>
  <c r="H45" i="10" s="1"/>
  <c r="I28" i="10"/>
  <c r="I45" i="10" s="1"/>
  <c r="E28" i="10"/>
  <c r="D28" i="10"/>
  <c r="N28" i="10"/>
  <c r="J28" i="10"/>
  <c r="J45" i="10" s="1"/>
  <c r="F28" i="10"/>
  <c r="B28" i="10"/>
  <c r="K27" i="10"/>
  <c r="C27" i="10"/>
  <c r="C44" i="10" s="1"/>
  <c r="I27" i="10"/>
  <c r="E27" i="10"/>
  <c r="E44" i="10" s="1"/>
  <c r="N27" i="10"/>
  <c r="J27" i="10"/>
  <c r="J44" i="10" s="1"/>
  <c r="F27" i="10"/>
  <c r="O27" i="10"/>
  <c r="G27" i="10"/>
  <c r="L27" i="10"/>
  <c r="H27" i="10"/>
  <c r="D27" i="10"/>
  <c r="B27" i="10"/>
  <c r="L26" i="10"/>
  <c r="O26" i="10"/>
  <c r="K26" i="10"/>
  <c r="G26" i="10"/>
  <c r="C26" i="10"/>
  <c r="H26" i="10"/>
  <c r="E26" i="10"/>
  <c r="E43" i="10" s="1"/>
  <c r="D26" i="10"/>
  <c r="I26" i="10"/>
  <c r="N26" i="10"/>
  <c r="N43" i="10" s="1"/>
  <c r="J26" i="10"/>
  <c r="J43" i="10" s="1"/>
  <c r="F26" i="10"/>
  <c r="B26" i="10"/>
  <c r="N25" i="10"/>
  <c r="O25" i="10"/>
  <c r="C25" i="10"/>
  <c r="I25" i="10"/>
  <c r="E25" i="10"/>
  <c r="E42" i="10" s="1"/>
  <c r="J25" i="10"/>
  <c r="J42" i="10" s="1"/>
  <c r="F25" i="10"/>
  <c r="K25" i="10"/>
  <c r="G25" i="10"/>
  <c r="L25" i="10"/>
  <c r="H25" i="10"/>
  <c r="D25" i="10"/>
  <c r="B25" i="10"/>
  <c r="E55" i="7" l="1"/>
  <c r="E47" i="7" s="1"/>
  <c r="H322" i="3"/>
  <c r="H323" i="3" s="1"/>
  <c r="H324" i="3" s="1"/>
  <c r="G322" i="3"/>
  <c r="G323" i="3" s="1"/>
  <c r="G324" i="3" s="1"/>
  <c r="I322" i="3"/>
  <c r="I323" i="3" s="1"/>
  <c r="I324" i="3" s="1"/>
  <c r="F322" i="3"/>
  <c r="F323" i="3" s="1"/>
  <c r="F324" i="3" s="1"/>
  <c r="E322" i="3"/>
  <c r="L53" i="7"/>
  <c r="L55" i="7" s="1"/>
  <c r="L47" i="7" s="1"/>
  <c r="N55" i="7"/>
  <c r="N47" i="7" s="1"/>
  <c r="O55" i="7"/>
  <c r="O47" i="7" s="1"/>
  <c r="D55" i="7"/>
  <c r="D47" i="7" s="1"/>
  <c r="G55" i="7"/>
  <c r="G47" i="7" s="1"/>
  <c r="F55" i="7"/>
  <c r="F47" i="7" s="1"/>
  <c r="H55" i="7"/>
  <c r="H47" i="7" s="1"/>
  <c r="B55" i="7"/>
  <c r="B47" i="7" s="1"/>
  <c r="C55" i="7"/>
  <c r="C47" i="7" s="1"/>
  <c r="I55" i="7"/>
  <c r="I47" i="7" s="1"/>
  <c r="K55" i="7"/>
  <c r="K47" i="7" s="1"/>
  <c r="D106" i="7"/>
  <c r="D87" i="7"/>
  <c r="F87" i="7" s="1"/>
  <c r="D124" i="7"/>
  <c r="F124" i="7" s="1"/>
  <c r="D112" i="7"/>
  <c r="F112" i="7" s="1"/>
  <c r="D100" i="7"/>
  <c r="F100" i="7" s="1"/>
  <c r="D84" i="7"/>
  <c r="F84" i="7" s="1"/>
  <c r="D111" i="7"/>
  <c r="F111" i="7" s="1"/>
  <c r="D103" i="7"/>
  <c r="F103" i="7" s="1"/>
  <c r="D77" i="7"/>
  <c r="D97" i="7"/>
  <c r="F97" i="7" s="1"/>
  <c r="D129" i="7"/>
  <c r="F129" i="7" s="1"/>
  <c r="D125" i="7"/>
  <c r="F125" i="7" s="1"/>
  <c r="D121" i="7"/>
  <c r="D117" i="7"/>
  <c r="D113" i="7"/>
  <c r="F113" i="7" s="1"/>
  <c r="D109" i="7"/>
  <c r="F109" i="7" s="1"/>
  <c r="D105" i="7"/>
  <c r="F105" i="7" s="1"/>
  <c r="D101" i="7"/>
  <c r="F101" i="7" s="1"/>
  <c r="D93" i="7"/>
  <c r="D89" i="7"/>
  <c r="F89" i="7" s="1"/>
  <c r="D85" i="7"/>
  <c r="F85" i="7" s="1"/>
  <c r="D81" i="7"/>
  <c r="F81" i="7" s="1"/>
  <c r="D91" i="7"/>
  <c r="D132" i="7"/>
  <c r="F132" i="7" s="1"/>
  <c r="D120" i="7"/>
  <c r="D108" i="7"/>
  <c r="D96" i="7"/>
  <c r="F96" i="7" s="1"/>
  <c r="D92" i="7"/>
  <c r="F92" i="7" s="1"/>
  <c r="D80" i="7"/>
  <c r="F80" i="7" s="1"/>
  <c r="D79" i="7"/>
  <c r="D119" i="7"/>
  <c r="F119" i="7" s="1"/>
  <c r="D95" i="7"/>
  <c r="F95" i="7" s="1"/>
  <c r="D122" i="7"/>
  <c r="D110" i="7"/>
  <c r="F110" i="7" s="1"/>
  <c r="D98" i="7"/>
  <c r="F98" i="7" s="1"/>
  <c r="D94" i="7"/>
  <c r="F94" i="7" s="1"/>
  <c r="D90" i="7"/>
  <c r="D86" i="7"/>
  <c r="F86" i="7" s="1"/>
  <c r="D82" i="7"/>
  <c r="F82" i="7" s="1"/>
  <c r="D78" i="7"/>
  <c r="D99" i="7"/>
  <c r="F99" i="7" s="1"/>
  <c r="D128" i="7"/>
  <c r="F128" i="7" s="1"/>
  <c r="D104" i="7"/>
  <c r="D126" i="7"/>
  <c r="F126" i="7" s="1"/>
  <c r="D118" i="7"/>
  <c r="F118" i="7" s="1"/>
  <c r="D114" i="7"/>
  <c r="F114" i="7" s="1"/>
  <c r="D123" i="7"/>
  <c r="F123" i="7" s="1"/>
  <c r="D83" i="7"/>
  <c r="F83" i="7" s="1"/>
  <c r="D115" i="7"/>
  <c r="F115" i="7" s="1"/>
  <c r="D127" i="7"/>
  <c r="F127" i="7" s="1"/>
  <c r="D107" i="7"/>
  <c r="F107" i="7" s="1"/>
  <c r="D131" i="7"/>
  <c r="E323" i="3" l="1"/>
  <c r="E324" i="3" s="1"/>
  <c r="K30" i="10"/>
  <c r="I30" i="10"/>
  <c r="I33" i="10" s="1"/>
  <c r="L30" i="10"/>
  <c r="D30" i="10"/>
  <c r="D33" i="10" s="1"/>
  <c r="O30" i="10"/>
  <c r="O33" i="10" s="1"/>
  <c r="E30" i="10"/>
  <c r="J30" i="10"/>
  <c r="J33" i="10" s="1"/>
  <c r="N30" i="10"/>
  <c r="F30" i="10"/>
  <c r="F33" i="10" s="1"/>
  <c r="C30" i="10"/>
  <c r="C33" i="10" s="1"/>
  <c r="G30" i="10"/>
  <c r="G33" i="10" s="1"/>
  <c r="H30" i="10"/>
  <c r="B30" i="10"/>
  <c r="B33" i="10" s="1"/>
  <c r="D66" i="7"/>
  <c r="F66" i="7" s="1"/>
  <c r="D73" i="7"/>
  <c r="F73" i="7" s="1"/>
  <c r="D65" i="7"/>
  <c r="F65" i="7" s="1"/>
  <c r="D76" i="7"/>
  <c r="D69" i="7"/>
  <c r="F69" i="7" s="1"/>
  <c r="D72" i="7"/>
  <c r="F72" i="7" s="1"/>
  <c r="D71" i="7"/>
  <c r="F71" i="7" s="1"/>
  <c r="D68" i="7"/>
  <c r="F68" i="7" s="1"/>
  <c r="D75" i="7"/>
  <c r="F75" i="7" s="1"/>
  <c r="D70" i="7"/>
  <c r="F70" i="7" s="1"/>
  <c r="D67" i="7"/>
  <c r="F67" i="7" s="1"/>
  <c r="D64" i="7"/>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18" i="4"/>
  <c r="J19" i="4"/>
  <c r="K19" i="4"/>
  <c r="L19" i="4"/>
  <c r="M19" i="4"/>
  <c r="N19" i="4"/>
  <c r="J20" i="4"/>
  <c r="K20" i="4"/>
  <c r="L20" i="4"/>
  <c r="M20" i="4"/>
  <c r="N20" i="4"/>
  <c r="J21" i="4"/>
  <c r="K21" i="4"/>
  <c r="L21" i="4"/>
  <c r="M21" i="4"/>
  <c r="N21" i="4"/>
  <c r="J22" i="4"/>
  <c r="K22" i="4"/>
  <c r="L22" i="4"/>
  <c r="M22" i="4"/>
  <c r="N22" i="4"/>
  <c r="J23" i="4"/>
  <c r="K23" i="4"/>
  <c r="L23" i="4"/>
  <c r="M23" i="4"/>
  <c r="N23" i="4"/>
  <c r="J24" i="4"/>
  <c r="K24" i="4"/>
  <c r="L24" i="4"/>
  <c r="M24" i="4"/>
  <c r="N24" i="4"/>
  <c r="J25" i="4"/>
  <c r="K25" i="4"/>
  <c r="L25" i="4"/>
  <c r="M25" i="4"/>
  <c r="N25" i="4"/>
  <c r="J26" i="4"/>
  <c r="K26" i="4"/>
  <c r="L26" i="4"/>
  <c r="M26" i="4"/>
  <c r="N26" i="4"/>
  <c r="J27" i="4"/>
  <c r="K27" i="4"/>
  <c r="L27" i="4"/>
  <c r="M27" i="4"/>
  <c r="N27" i="4"/>
  <c r="J28" i="4"/>
  <c r="K28" i="4"/>
  <c r="L28" i="4"/>
  <c r="M28" i="4"/>
  <c r="N28" i="4"/>
  <c r="J29" i="4"/>
  <c r="K29" i="4"/>
  <c r="L29" i="4"/>
  <c r="M29" i="4"/>
  <c r="N29" i="4"/>
  <c r="J30" i="4"/>
  <c r="K30" i="4"/>
  <c r="L30" i="4"/>
  <c r="M30" i="4"/>
  <c r="N30" i="4"/>
  <c r="J31" i="4"/>
  <c r="K31" i="4"/>
  <c r="L31" i="4"/>
  <c r="M31" i="4"/>
  <c r="N31" i="4"/>
  <c r="J32" i="4"/>
  <c r="K32" i="4"/>
  <c r="L32" i="4"/>
  <c r="M32" i="4"/>
  <c r="N32" i="4"/>
  <c r="J33" i="4"/>
  <c r="K33" i="4"/>
  <c r="L33" i="4"/>
  <c r="M33" i="4"/>
  <c r="N33" i="4"/>
  <c r="J34" i="4"/>
  <c r="K34" i="4"/>
  <c r="L34" i="4"/>
  <c r="M34" i="4"/>
  <c r="N34" i="4"/>
  <c r="J35" i="4"/>
  <c r="K35" i="4"/>
  <c r="L35" i="4"/>
  <c r="M35" i="4"/>
  <c r="N35" i="4"/>
  <c r="J36" i="4"/>
  <c r="K36" i="4"/>
  <c r="L36" i="4"/>
  <c r="M36" i="4"/>
  <c r="N36" i="4"/>
  <c r="J37" i="4"/>
  <c r="K37" i="4"/>
  <c r="L37" i="4"/>
  <c r="M37" i="4"/>
  <c r="N37" i="4"/>
  <c r="J38" i="4"/>
  <c r="K38" i="4"/>
  <c r="L38" i="4"/>
  <c r="M38" i="4"/>
  <c r="N38" i="4"/>
  <c r="J39" i="4"/>
  <c r="K39" i="4"/>
  <c r="L39" i="4"/>
  <c r="M39" i="4"/>
  <c r="N39" i="4"/>
  <c r="J40" i="4"/>
  <c r="K40" i="4"/>
  <c r="L40" i="4"/>
  <c r="M40" i="4"/>
  <c r="N40" i="4"/>
  <c r="J41" i="4"/>
  <c r="K41" i="4"/>
  <c r="L41" i="4"/>
  <c r="M41" i="4"/>
  <c r="N41" i="4"/>
  <c r="J42" i="4"/>
  <c r="K42" i="4"/>
  <c r="L42" i="4"/>
  <c r="M42" i="4"/>
  <c r="N42" i="4"/>
  <c r="J43" i="4"/>
  <c r="K43" i="4"/>
  <c r="L43" i="4"/>
  <c r="M43" i="4"/>
  <c r="N43" i="4"/>
  <c r="J44" i="4"/>
  <c r="K44" i="4"/>
  <c r="L44" i="4"/>
  <c r="M44" i="4"/>
  <c r="N44" i="4"/>
  <c r="J45" i="4"/>
  <c r="K45" i="4"/>
  <c r="L45" i="4"/>
  <c r="M45" i="4"/>
  <c r="N45" i="4"/>
  <c r="J46" i="4"/>
  <c r="K46" i="4"/>
  <c r="L46" i="4"/>
  <c r="M46" i="4"/>
  <c r="N46" i="4"/>
  <c r="J47" i="4"/>
  <c r="K47" i="4"/>
  <c r="L47" i="4"/>
  <c r="M47" i="4"/>
  <c r="N47" i="4"/>
  <c r="J48" i="4"/>
  <c r="K48" i="4"/>
  <c r="L48" i="4"/>
  <c r="M48" i="4"/>
  <c r="N48" i="4"/>
  <c r="J49" i="4"/>
  <c r="K49" i="4"/>
  <c r="L49" i="4"/>
  <c r="M49" i="4"/>
  <c r="N49" i="4"/>
  <c r="J50" i="4"/>
  <c r="K50" i="4"/>
  <c r="L50" i="4"/>
  <c r="M50" i="4"/>
  <c r="N50" i="4"/>
  <c r="J51" i="4"/>
  <c r="K51" i="4"/>
  <c r="L51" i="4"/>
  <c r="M51" i="4"/>
  <c r="N51" i="4"/>
  <c r="J52" i="4"/>
  <c r="K52" i="4"/>
  <c r="L52" i="4"/>
  <c r="M52" i="4"/>
  <c r="N52" i="4"/>
  <c r="J53" i="4"/>
  <c r="K53" i="4"/>
  <c r="L53" i="4"/>
  <c r="M53" i="4"/>
  <c r="N53" i="4"/>
  <c r="J54" i="4"/>
  <c r="K54" i="4"/>
  <c r="L54" i="4"/>
  <c r="M54" i="4"/>
  <c r="N54" i="4"/>
  <c r="J55" i="4"/>
  <c r="K55" i="4"/>
  <c r="L55" i="4"/>
  <c r="M55" i="4"/>
  <c r="N55" i="4"/>
  <c r="J56" i="4"/>
  <c r="K56" i="4"/>
  <c r="L56" i="4"/>
  <c r="M56" i="4"/>
  <c r="N56" i="4"/>
  <c r="J57" i="4"/>
  <c r="K57" i="4"/>
  <c r="L57" i="4"/>
  <c r="M57" i="4"/>
  <c r="N57" i="4"/>
  <c r="J58" i="4"/>
  <c r="K58" i="4"/>
  <c r="L58" i="4"/>
  <c r="M58" i="4"/>
  <c r="N58" i="4"/>
  <c r="J59" i="4"/>
  <c r="K59" i="4"/>
  <c r="L59" i="4"/>
  <c r="M59" i="4"/>
  <c r="N59" i="4"/>
  <c r="J60" i="4"/>
  <c r="K60" i="4"/>
  <c r="L60" i="4"/>
  <c r="M60" i="4"/>
  <c r="N60" i="4"/>
  <c r="J61" i="4"/>
  <c r="K61" i="4"/>
  <c r="L61" i="4"/>
  <c r="M61" i="4"/>
  <c r="N61" i="4"/>
  <c r="J62" i="4"/>
  <c r="K62" i="4"/>
  <c r="L62" i="4"/>
  <c r="M62" i="4"/>
  <c r="N62" i="4"/>
  <c r="J63" i="4"/>
  <c r="K63" i="4"/>
  <c r="L63" i="4"/>
  <c r="M63" i="4"/>
  <c r="N63" i="4"/>
  <c r="J64" i="4"/>
  <c r="K64" i="4"/>
  <c r="L64" i="4"/>
  <c r="M64" i="4"/>
  <c r="N64" i="4"/>
  <c r="J65" i="4"/>
  <c r="K65" i="4"/>
  <c r="L65" i="4"/>
  <c r="M65" i="4"/>
  <c r="N65" i="4"/>
  <c r="J66" i="4"/>
  <c r="K66" i="4"/>
  <c r="L66" i="4"/>
  <c r="M66" i="4"/>
  <c r="N66" i="4"/>
  <c r="J67" i="4"/>
  <c r="K67" i="4"/>
  <c r="L67" i="4"/>
  <c r="M67" i="4"/>
  <c r="N67" i="4"/>
  <c r="J68" i="4"/>
  <c r="K68" i="4"/>
  <c r="L68" i="4"/>
  <c r="M68" i="4"/>
  <c r="N68" i="4"/>
  <c r="J69" i="4"/>
  <c r="K69" i="4"/>
  <c r="L69" i="4"/>
  <c r="M69" i="4"/>
  <c r="N69" i="4"/>
  <c r="J70" i="4"/>
  <c r="K70" i="4"/>
  <c r="L70" i="4"/>
  <c r="M70" i="4"/>
  <c r="N70" i="4"/>
  <c r="J71" i="4"/>
  <c r="K71" i="4"/>
  <c r="L71" i="4"/>
  <c r="M71" i="4"/>
  <c r="N71" i="4"/>
  <c r="J72" i="4"/>
  <c r="K72" i="4"/>
  <c r="L72" i="4"/>
  <c r="M72" i="4"/>
  <c r="N72" i="4"/>
  <c r="J73" i="4"/>
  <c r="K73" i="4"/>
  <c r="L73" i="4"/>
  <c r="M73" i="4"/>
  <c r="N73" i="4"/>
  <c r="J74" i="4"/>
  <c r="K74" i="4"/>
  <c r="L74" i="4"/>
  <c r="M74" i="4"/>
  <c r="N74" i="4"/>
  <c r="J75" i="4"/>
  <c r="K75" i="4"/>
  <c r="L75" i="4"/>
  <c r="M75" i="4"/>
  <c r="N75" i="4"/>
  <c r="J76" i="4"/>
  <c r="K76" i="4"/>
  <c r="L76" i="4"/>
  <c r="M76" i="4"/>
  <c r="N76" i="4"/>
  <c r="J77" i="4"/>
  <c r="K77" i="4"/>
  <c r="L77" i="4"/>
  <c r="M77" i="4"/>
  <c r="N77" i="4"/>
  <c r="J78" i="4"/>
  <c r="K78" i="4"/>
  <c r="L78" i="4"/>
  <c r="M78" i="4"/>
  <c r="N78" i="4"/>
  <c r="J79" i="4"/>
  <c r="K79" i="4"/>
  <c r="L79" i="4"/>
  <c r="M79" i="4"/>
  <c r="N79" i="4"/>
  <c r="J80" i="4"/>
  <c r="K80" i="4"/>
  <c r="L80" i="4"/>
  <c r="M80" i="4"/>
  <c r="N80" i="4"/>
  <c r="J81" i="4"/>
  <c r="K81" i="4"/>
  <c r="L81" i="4"/>
  <c r="M81" i="4"/>
  <c r="N81" i="4"/>
  <c r="J82" i="4"/>
  <c r="K82" i="4"/>
  <c r="L82" i="4"/>
  <c r="M82" i="4"/>
  <c r="N82" i="4"/>
  <c r="J83" i="4"/>
  <c r="K83" i="4"/>
  <c r="L83" i="4"/>
  <c r="M83" i="4"/>
  <c r="N83" i="4"/>
  <c r="J84" i="4"/>
  <c r="K84" i="4"/>
  <c r="L84" i="4"/>
  <c r="M84" i="4"/>
  <c r="N84" i="4"/>
  <c r="K18" i="4"/>
  <c r="L18" i="4"/>
  <c r="M18" i="4"/>
  <c r="N18" i="4"/>
  <c r="J18" i="4"/>
  <c r="H19" i="4"/>
  <c r="I19" i="4"/>
  <c r="H20" i="4"/>
  <c r="I20" i="4"/>
  <c r="H21" i="4"/>
  <c r="I21" i="4"/>
  <c r="H22" i="4"/>
  <c r="I22" i="4"/>
  <c r="H23" i="4"/>
  <c r="I23" i="4"/>
  <c r="H24" i="4"/>
  <c r="I24" i="4"/>
  <c r="H25" i="4"/>
  <c r="I25" i="4"/>
  <c r="H26" i="4"/>
  <c r="I26" i="4"/>
  <c r="H27" i="4"/>
  <c r="I27" i="4"/>
  <c r="H28" i="4"/>
  <c r="I28" i="4"/>
  <c r="H29" i="4"/>
  <c r="I29" i="4"/>
  <c r="H30" i="4"/>
  <c r="I30" i="4"/>
  <c r="H31" i="4"/>
  <c r="I31" i="4"/>
  <c r="H32" i="4"/>
  <c r="I32" i="4"/>
  <c r="H33" i="4"/>
  <c r="I33" i="4"/>
  <c r="H34" i="4"/>
  <c r="I34" i="4"/>
  <c r="H35" i="4"/>
  <c r="I35" i="4"/>
  <c r="H36" i="4"/>
  <c r="I36" i="4"/>
  <c r="H37" i="4"/>
  <c r="I37" i="4"/>
  <c r="H38" i="4"/>
  <c r="I38" i="4"/>
  <c r="H39" i="4"/>
  <c r="I39" i="4"/>
  <c r="H40" i="4"/>
  <c r="I40" i="4"/>
  <c r="H41" i="4"/>
  <c r="I41" i="4"/>
  <c r="H42" i="4"/>
  <c r="I42" i="4"/>
  <c r="H43" i="4"/>
  <c r="I43" i="4"/>
  <c r="H44" i="4"/>
  <c r="I44" i="4"/>
  <c r="H45" i="4"/>
  <c r="I45" i="4"/>
  <c r="H46" i="4"/>
  <c r="I46" i="4"/>
  <c r="H47" i="4"/>
  <c r="I47" i="4"/>
  <c r="H48" i="4"/>
  <c r="I48" i="4"/>
  <c r="H49" i="4"/>
  <c r="I49" i="4"/>
  <c r="H50" i="4"/>
  <c r="I50" i="4"/>
  <c r="H51" i="4"/>
  <c r="I51" i="4"/>
  <c r="H52" i="4"/>
  <c r="I52" i="4"/>
  <c r="H53" i="4"/>
  <c r="I53" i="4"/>
  <c r="H54" i="4"/>
  <c r="I54" i="4"/>
  <c r="H55" i="4"/>
  <c r="I55" i="4"/>
  <c r="H56" i="4"/>
  <c r="I56" i="4"/>
  <c r="H57" i="4"/>
  <c r="I57" i="4"/>
  <c r="H58" i="4"/>
  <c r="I58" i="4"/>
  <c r="H59" i="4"/>
  <c r="I59" i="4"/>
  <c r="H60" i="4"/>
  <c r="I60" i="4"/>
  <c r="H61" i="4"/>
  <c r="I61" i="4"/>
  <c r="H62" i="4"/>
  <c r="I62" i="4"/>
  <c r="H63" i="4"/>
  <c r="I63" i="4"/>
  <c r="H64" i="4"/>
  <c r="I64" i="4"/>
  <c r="H65" i="4"/>
  <c r="I65" i="4"/>
  <c r="H66" i="4"/>
  <c r="I66" i="4"/>
  <c r="H67" i="4"/>
  <c r="I67" i="4"/>
  <c r="H68" i="4"/>
  <c r="I68" i="4"/>
  <c r="H69" i="4"/>
  <c r="I69" i="4"/>
  <c r="H70" i="4"/>
  <c r="I70" i="4"/>
  <c r="H71" i="4"/>
  <c r="I71" i="4"/>
  <c r="H72" i="4"/>
  <c r="I72" i="4"/>
  <c r="H73" i="4"/>
  <c r="I73" i="4"/>
  <c r="H74" i="4"/>
  <c r="I74" i="4"/>
  <c r="H75" i="4"/>
  <c r="I75" i="4"/>
  <c r="H76" i="4"/>
  <c r="I76" i="4"/>
  <c r="H77" i="4"/>
  <c r="I77" i="4"/>
  <c r="H78" i="4"/>
  <c r="I78" i="4"/>
  <c r="H79" i="4"/>
  <c r="I79" i="4"/>
  <c r="H80" i="4"/>
  <c r="I80" i="4"/>
  <c r="H81" i="4"/>
  <c r="I81" i="4"/>
  <c r="H82" i="4"/>
  <c r="I82" i="4"/>
  <c r="H83" i="4"/>
  <c r="I83" i="4"/>
  <c r="H84" i="4"/>
  <c r="I84" i="4"/>
  <c r="H18" i="4"/>
  <c r="I18" i="4"/>
  <c r="D84" i="4"/>
  <c r="C84" i="4"/>
  <c r="B84" i="4"/>
  <c r="AH84" i="4" s="1"/>
  <c r="A84" i="4"/>
  <c r="D83" i="4"/>
  <c r="C83" i="4"/>
  <c r="B83" i="4"/>
  <c r="AH83" i="4" s="1"/>
  <c r="A83" i="4"/>
  <c r="D82" i="4"/>
  <c r="C82" i="4"/>
  <c r="B82" i="4"/>
  <c r="AH82" i="4" s="1"/>
  <c r="A82" i="4"/>
  <c r="D81" i="4"/>
  <c r="C81" i="4"/>
  <c r="B81" i="4"/>
  <c r="AH81" i="4" s="1"/>
  <c r="A81" i="4"/>
  <c r="D80" i="4"/>
  <c r="C80" i="4"/>
  <c r="B80" i="4"/>
  <c r="AH80" i="4" s="1"/>
  <c r="A80" i="4"/>
  <c r="D79" i="4"/>
  <c r="C79" i="4"/>
  <c r="B79" i="4"/>
  <c r="AH79" i="4" s="1"/>
  <c r="A79" i="4"/>
  <c r="D78" i="4"/>
  <c r="C78" i="4"/>
  <c r="B78" i="4"/>
  <c r="AH78" i="4" s="1"/>
  <c r="A78" i="4"/>
  <c r="D77" i="4"/>
  <c r="C77" i="4"/>
  <c r="B77" i="4"/>
  <c r="AH77" i="4" s="1"/>
  <c r="A77" i="4"/>
  <c r="D76" i="4"/>
  <c r="C76" i="4"/>
  <c r="B76" i="4"/>
  <c r="AH76" i="4" s="1"/>
  <c r="A76" i="4"/>
  <c r="D75" i="4"/>
  <c r="C75" i="4"/>
  <c r="B75" i="4"/>
  <c r="AH75" i="4" s="1"/>
  <c r="A75" i="4"/>
  <c r="D74" i="4"/>
  <c r="C74" i="4"/>
  <c r="B74" i="4"/>
  <c r="AH74" i="4" s="1"/>
  <c r="A74" i="4"/>
  <c r="D73" i="4"/>
  <c r="C73" i="4"/>
  <c r="B73" i="4"/>
  <c r="AH73" i="4" s="1"/>
  <c r="A73" i="4"/>
  <c r="D72" i="4"/>
  <c r="C72" i="4"/>
  <c r="B72" i="4"/>
  <c r="AH72" i="4" s="1"/>
  <c r="A72" i="4"/>
  <c r="D71" i="4"/>
  <c r="C71" i="4"/>
  <c r="B71" i="4"/>
  <c r="AH71" i="4" s="1"/>
  <c r="A71" i="4"/>
  <c r="D70" i="4"/>
  <c r="C70" i="4"/>
  <c r="B70" i="4"/>
  <c r="AH70" i="4" s="1"/>
  <c r="A70" i="4"/>
  <c r="D69" i="4"/>
  <c r="C69" i="4"/>
  <c r="B69" i="4"/>
  <c r="AH69" i="4" s="1"/>
  <c r="A69" i="4"/>
  <c r="D68" i="4"/>
  <c r="C68" i="4"/>
  <c r="B68" i="4"/>
  <c r="AH68" i="4" s="1"/>
  <c r="A68" i="4"/>
  <c r="D67" i="4"/>
  <c r="C67" i="4"/>
  <c r="B67" i="4"/>
  <c r="AH67" i="4" s="1"/>
  <c r="A67" i="4"/>
  <c r="D66" i="4"/>
  <c r="C66" i="4"/>
  <c r="B66" i="4"/>
  <c r="AH66" i="4" s="1"/>
  <c r="A66" i="4"/>
  <c r="D65" i="4"/>
  <c r="C65" i="4"/>
  <c r="B65" i="4"/>
  <c r="AH65" i="4" s="1"/>
  <c r="A65" i="4"/>
  <c r="D64" i="4"/>
  <c r="C64" i="4"/>
  <c r="B64" i="4"/>
  <c r="AH64" i="4" s="1"/>
  <c r="A64" i="4"/>
  <c r="D63" i="4"/>
  <c r="C63" i="4"/>
  <c r="B63" i="4"/>
  <c r="AH63" i="4" s="1"/>
  <c r="A63" i="4"/>
  <c r="D62" i="4"/>
  <c r="C62" i="4"/>
  <c r="B62" i="4"/>
  <c r="AH62" i="4" s="1"/>
  <c r="A62" i="4"/>
  <c r="D61" i="4"/>
  <c r="C61" i="4"/>
  <c r="B61" i="4"/>
  <c r="AH61" i="4" s="1"/>
  <c r="A61" i="4"/>
  <c r="D60" i="4"/>
  <c r="C60" i="4"/>
  <c r="B60" i="4"/>
  <c r="AH60" i="4" s="1"/>
  <c r="A60" i="4"/>
  <c r="D59" i="4"/>
  <c r="C59" i="4"/>
  <c r="B59" i="4"/>
  <c r="AH59" i="4" s="1"/>
  <c r="A59" i="4"/>
  <c r="D58" i="4"/>
  <c r="C58" i="4"/>
  <c r="B58" i="4"/>
  <c r="AH58" i="4" s="1"/>
  <c r="A58" i="4"/>
  <c r="D57" i="4"/>
  <c r="C57" i="4"/>
  <c r="B57" i="4"/>
  <c r="AH57" i="4" s="1"/>
  <c r="A57" i="4"/>
  <c r="D56" i="4"/>
  <c r="C56" i="4"/>
  <c r="B56" i="4"/>
  <c r="AH56" i="4" s="1"/>
  <c r="A56" i="4"/>
  <c r="D55" i="4"/>
  <c r="C55" i="4"/>
  <c r="B55" i="4"/>
  <c r="AH55" i="4" s="1"/>
  <c r="A55" i="4"/>
  <c r="D54" i="4"/>
  <c r="C54" i="4"/>
  <c r="B54" i="4"/>
  <c r="AH54" i="4" s="1"/>
  <c r="A54" i="4"/>
  <c r="D53" i="4"/>
  <c r="C53" i="4"/>
  <c r="B53" i="4"/>
  <c r="AH53" i="4" s="1"/>
  <c r="A53" i="4"/>
  <c r="D52" i="4"/>
  <c r="C52" i="4"/>
  <c r="B52" i="4"/>
  <c r="AH52" i="4" s="1"/>
  <c r="A52" i="4"/>
  <c r="D51" i="4"/>
  <c r="C51" i="4"/>
  <c r="B51" i="4"/>
  <c r="AH51" i="4" s="1"/>
  <c r="A51" i="4"/>
  <c r="D50" i="4"/>
  <c r="C50" i="4"/>
  <c r="B50" i="4"/>
  <c r="AH50" i="4" s="1"/>
  <c r="A50" i="4"/>
  <c r="D49" i="4"/>
  <c r="C49" i="4"/>
  <c r="B49" i="4"/>
  <c r="AH49" i="4" s="1"/>
  <c r="A49" i="4"/>
  <c r="D48" i="4"/>
  <c r="C48" i="4"/>
  <c r="B48" i="4"/>
  <c r="AH48" i="4" s="1"/>
  <c r="A48" i="4"/>
  <c r="D47" i="4"/>
  <c r="C47" i="4"/>
  <c r="B47" i="4"/>
  <c r="AH47" i="4" s="1"/>
  <c r="A47" i="4"/>
  <c r="D46" i="4"/>
  <c r="C46" i="4"/>
  <c r="B46" i="4"/>
  <c r="AH46" i="4" s="1"/>
  <c r="A46" i="4"/>
  <c r="D45" i="4"/>
  <c r="C45" i="4"/>
  <c r="B45" i="4"/>
  <c r="AH45" i="4" s="1"/>
  <c r="A45" i="4"/>
  <c r="D44" i="4"/>
  <c r="C44" i="4"/>
  <c r="B44" i="4"/>
  <c r="AH44" i="4" s="1"/>
  <c r="A44" i="4"/>
  <c r="D43" i="4"/>
  <c r="C43" i="4"/>
  <c r="B43" i="4"/>
  <c r="AH43" i="4" s="1"/>
  <c r="A43" i="4"/>
  <c r="D42" i="4"/>
  <c r="C42" i="4"/>
  <c r="B42" i="4"/>
  <c r="AH42" i="4" s="1"/>
  <c r="A42" i="4"/>
  <c r="D41" i="4"/>
  <c r="C41" i="4"/>
  <c r="B41" i="4"/>
  <c r="AH41" i="4" s="1"/>
  <c r="A41" i="4"/>
  <c r="D40" i="4"/>
  <c r="C40" i="4"/>
  <c r="B40" i="4"/>
  <c r="AH40" i="4" s="1"/>
  <c r="A40" i="4"/>
  <c r="D39" i="4"/>
  <c r="C39" i="4"/>
  <c r="B39" i="4"/>
  <c r="AH39" i="4" s="1"/>
  <c r="A39" i="4"/>
  <c r="D38" i="4"/>
  <c r="C38" i="4"/>
  <c r="B38" i="4"/>
  <c r="AH38" i="4" s="1"/>
  <c r="A38" i="4"/>
  <c r="D37" i="4"/>
  <c r="C37" i="4"/>
  <c r="B37" i="4"/>
  <c r="AH37" i="4" s="1"/>
  <c r="A37" i="4"/>
  <c r="D36" i="4"/>
  <c r="C36" i="4"/>
  <c r="B36" i="4"/>
  <c r="AH36" i="4" s="1"/>
  <c r="A36" i="4"/>
  <c r="D35" i="4"/>
  <c r="C35" i="4"/>
  <c r="B35" i="4"/>
  <c r="AH35" i="4" s="1"/>
  <c r="A35" i="4"/>
  <c r="D34" i="4"/>
  <c r="C34" i="4"/>
  <c r="B34" i="4"/>
  <c r="AH34" i="4" s="1"/>
  <c r="A34" i="4"/>
  <c r="D33" i="4"/>
  <c r="C33" i="4"/>
  <c r="B33" i="4"/>
  <c r="AH33" i="4" s="1"/>
  <c r="A33" i="4"/>
  <c r="D32" i="4"/>
  <c r="C32" i="4"/>
  <c r="B32" i="4"/>
  <c r="AH32" i="4" s="1"/>
  <c r="A32" i="4"/>
  <c r="D31" i="4"/>
  <c r="C31" i="4"/>
  <c r="B31" i="4"/>
  <c r="AH31" i="4" s="1"/>
  <c r="A31" i="4"/>
  <c r="D30" i="4"/>
  <c r="C30" i="4"/>
  <c r="B30" i="4"/>
  <c r="AH30" i="4" s="1"/>
  <c r="A30" i="4"/>
  <c r="D29" i="4"/>
  <c r="C29" i="4"/>
  <c r="B29" i="4"/>
  <c r="AH29" i="4" s="1"/>
  <c r="A29" i="4"/>
  <c r="D28" i="4"/>
  <c r="C28" i="4"/>
  <c r="B28" i="4"/>
  <c r="AH28" i="4" s="1"/>
  <c r="A28" i="4"/>
  <c r="D27" i="4"/>
  <c r="C27" i="4"/>
  <c r="B27" i="4"/>
  <c r="AH27" i="4" s="1"/>
  <c r="A27" i="4"/>
  <c r="D26" i="4"/>
  <c r="C26" i="4"/>
  <c r="B26" i="4"/>
  <c r="AH26" i="4" s="1"/>
  <c r="A26" i="4"/>
  <c r="D25" i="4"/>
  <c r="C25" i="4"/>
  <c r="B25" i="4"/>
  <c r="AH25" i="4" s="1"/>
  <c r="A25" i="4"/>
  <c r="D24" i="4"/>
  <c r="C24" i="4"/>
  <c r="B24" i="4"/>
  <c r="AH24" i="4" s="1"/>
  <c r="A24" i="4"/>
  <c r="D23" i="4"/>
  <c r="C23" i="4"/>
  <c r="B23" i="4"/>
  <c r="AH23" i="4" s="1"/>
  <c r="A23" i="4"/>
  <c r="D22" i="4"/>
  <c r="C22" i="4"/>
  <c r="B22" i="4"/>
  <c r="AH22" i="4" s="1"/>
  <c r="A22" i="4"/>
  <c r="D21" i="4"/>
  <c r="C21" i="4"/>
  <c r="B21" i="4"/>
  <c r="AH21" i="4" s="1"/>
  <c r="A21" i="4"/>
  <c r="D20" i="4"/>
  <c r="C20" i="4"/>
  <c r="B20" i="4"/>
  <c r="AH20" i="4" s="1"/>
  <c r="A20" i="4"/>
  <c r="D19" i="4"/>
  <c r="C19" i="4"/>
  <c r="B19" i="4"/>
  <c r="AH19" i="4" s="1"/>
  <c r="A19" i="4"/>
  <c r="D18" i="4"/>
  <c r="C18" i="4"/>
  <c r="B18" i="4"/>
  <c r="AH18" i="4" s="1"/>
  <c r="A18" i="4"/>
  <c r="D15" i="4"/>
  <c r="C15" i="4"/>
  <c r="B15" i="4"/>
  <c r="A15" i="4"/>
  <c r="F10" i="4"/>
  <c r="F9" i="4"/>
  <c r="F8" i="4"/>
  <c r="F7" i="4"/>
  <c r="F6" i="4"/>
  <c r="F5" i="4"/>
  <c r="F4" i="4"/>
  <c r="A3" i="4"/>
  <c r="A3" i="3"/>
  <c r="A323" i="3"/>
  <c r="C19" i="3"/>
  <c r="B19" i="3"/>
  <c r="A78" i="3"/>
  <c r="A79" i="3"/>
  <c r="A80" i="3"/>
  <c r="A81" i="3"/>
  <c r="A82" i="3"/>
  <c r="A83" i="3"/>
  <c r="A84" i="3"/>
  <c r="A85"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19" i="3"/>
  <c r="B16" i="3"/>
  <c r="C16" i="3"/>
  <c r="A16" i="3"/>
  <c r="J37" i="10" l="1"/>
  <c r="J35" i="10"/>
  <c r="J36" i="10" s="1"/>
  <c r="J38" i="10" s="1"/>
  <c r="K16" i="10"/>
  <c r="K18" i="10" s="1"/>
  <c r="K20" i="10" s="1"/>
  <c r="E45" i="10" s="1"/>
  <c r="I16" i="10"/>
  <c r="I18" i="10" s="1"/>
  <c r="I20" i="10" s="1"/>
  <c r="M44" i="10" s="1"/>
  <c r="M16" i="10"/>
  <c r="M18" i="10" s="1"/>
  <c r="M20" i="10" s="1"/>
  <c r="E46" i="10" s="1"/>
  <c r="G16" i="10"/>
  <c r="G18" i="10" s="1"/>
  <c r="G20" i="10" s="1"/>
  <c r="E16" i="10"/>
  <c r="E18" i="10" s="1"/>
  <c r="E20" i="10" s="1"/>
  <c r="C42" i="10" s="1"/>
  <c r="J47" i="10"/>
  <c r="J50" i="10" s="1"/>
  <c r="Q21" i="4"/>
  <c r="W21" i="4" s="1"/>
  <c r="Q29" i="4"/>
  <c r="W29" i="4" s="1"/>
  <c r="Q37" i="4"/>
  <c r="W37" i="4" s="1"/>
  <c r="Q45" i="4"/>
  <c r="W45" i="4" s="1"/>
  <c r="Q53" i="4"/>
  <c r="W53" i="4" s="1"/>
  <c r="Q61" i="4"/>
  <c r="W61" i="4" s="1"/>
  <c r="Q69" i="4"/>
  <c r="W69" i="4" s="1"/>
  <c r="Q77" i="4"/>
  <c r="W77" i="4" s="1"/>
  <c r="U21" i="4"/>
  <c r="AF21" i="4" s="1"/>
  <c r="R21" i="4"/>
  <c r="Z21" i="4" s="1"/>
  <c r="R29" i="4"/>
  <c r="Z29" i="4" s="1"/>
  <c r="R37" i="4"/>
  <c r="Z37" i="4" s="1"/>
  <c r="R45" i="4"/>
  <c r="Z45" i="4" s="1"/>
  <c r="R53" i="4"/>
  <c r="Z53" i="4" s="1"/>
  <c r="R61" i="4"/>
  <c r="Z61" i="4" s="1"/>
  <c r="R69" i="4"/>
  <c r="Z69" i="4" s="1"/>
  <c r="R77" i="4"/>
  <c r="Z77" i="4" s="1"/>
  <c r="S21" i="4"/>
  <c r="AB21" i="4" s="1"/>
  <c r="S29" i="4"/>
  <c r="AB29" i="4" s="1"/>
  <c r="S37" i="4"/>
  <c r="AB37" i="4" s="1"/>
  <c r="S45" i="4"/>
  <c r="AB45" i="4" s="1"/>
  <c r="S53" i="4"/>
  <c r="AB53" i="4" s="1"/>
  <c r="S61" i="4"/>
  <c r="AB61" i="4" s="1"/>
  <c r="S69" i="4"/>
  <c r="AB69" i="4" s="1"/>
  <c r="S77" i="4"/>
  <c r="AB77" i="4" s="1"/>
  <c r="N33" i="10"/>
  <c r="K33" i="10"/>
  <c r="E33" i="10"/>
  <c r="L33" i="10"/>
  <c r="V73" i="4"/>
  <c r="X73" i="4" s="1"/>
  <c r="V53" i="4"/>
  <c r="X53" i="4" s="1"/>
  <c r="V37" i="4"/>
  <c r="X37" i="4" s="1"/>
  <c r="V28" i="4"/>
  <c r="X28" i="4" s="1"/>
  <c r="V83" i="4"/>
  <c r="X83" i="4" s="1"/>
  <c r="V67" i="4"/>
  <c r="X67" i="4" s="1"/>
  <c r="V58" i="4"/>
  <c r="X58" i="4" s="1"/>
  <c r="V42" i="4"/>
  <c r="X42" i="4" s="1"/>
  <c r="V25" i="4"/>
  <c r="X25" i="4" s="1"/>
  <c r="V32" i="4"/>
  <c r="X32" i="4" s="1"/>
  <c r="V80" i="4"/>
  <c r="X80" i="4" s="1"/>
  <c r="V64" i="4"/>
  <c r="X64" i="4" s="1"/>
  <c r="V43" i="4"/>
  <c r="X43" i="4" s="1"/>
  <c r="V26" i="4"/>
  <c r="X26" i="4" s="1"/>
  <c r="V52" i="4"/>
  <c r="X52" i="4" s="1"/>
  <c r="V47" i="4"/>
  <c r="X47" i="4" s="1"/>
  <c r="E83" i="4"/>
  <c r="F82" i="4"/>
  <c r="G81" i="4"/>
  <c r="E79" i="4"/>
  <c r="F78" i="4"/>
  <c r="G77" i="4"/>
  <c r="E75" i="4"/>
  <c r="F74" i="4"/>
  <c r="G73" i="4"/>
  <c r="E71" i="4"/>
  <c r="F70" i="4"/>
  <c r="G69" i="4"/>
  <c r="E67" i="4"/>
  <c r="F66" i="4"/>
  <c r="G65" i="4"/>
  <c r="E63" i="4"/>
  <c r="F62" i="4"/>
  <c r="G61" i="4"/>
  <c r="E59" i="4"/>
  <c r="F58" i="4"/>
  <c r="G57" i="4"/>
  <c r="E55" i="4"/>
  <c r="F54" i="4"/>
  <c r="G53" i="4"/>
  <c r="E51" i="4"/>
  <c r="F50" i="4"/>
  <c r="G49" i="4"/>
  <c r="E47" i="4"/>
  <c r="F46" i="4"/>
  <c r="G45" i="4"/>
  <c r="E43" i="4"/>
  <c r="F42" i="4"/>
  <c r="G41" i="4"/>
  <c r="E39" i="4"/>
  <c r="F38" i="4"/>
  <c r="G37" i="4"/>
  <c r="E35" i="4"/>
  <c r="F34" i="4"/>
  <c r="G33" i="4"/>
  <c r="E31" i="4"/>
  <c r="F30" i="4"/>
  <c r="G29" i="4"/>
  <c r="E27" i="4"/>
  <c r="F26" i="4"/>
  <c r="G25" i="4"/>
  <c r="E23" i="4"/>
  <c r="F22" i="4"/>
  <c r="G21" i="4"/>
  <c r="E19" i="4"/>
  <c r="S81" i="4"/>
  <c r="AB81" i="4" s="1"/>
  <c r="S73" i="4"/>
  <c r="AB73" i="4" s="1"/>
  <c r="S65" i="4"/>
  <c r="AB65" i="4" s="1"/>
  <c r="S57" i="4"/>
  <c r="AB57" i="4" s="1"/>
  <c r="S49" i="4"/>
  <c r="AB49" i="4" s="1"/>
  <c r="S41" i="4"/>
  <c r="AB41" i="4" s="1"/>
  <c r="S33" i="4"/>
  <c r="AB33" i="4" s="1"/>
  <c r="S25" i="4"/>
  <c r="AB25" i="4" s="1"/>
  <c r="E84" i="4"/>
  <c r="F83" i="4"/>
  <c r="G82" i="4"/>
  <c r="E80" i="4"/>
  <c r="F79" i="4"/>
  <c r="G78" i="4"/>
  <c r="E76" i="4"/>
  <c r="F75" i="4"/>
  <c r="G74" i="4"/>
  <c r="E72" i="4"/>
  <c r="F71" i="4"/>
  <c r="G70" i="4"/>
  <c r="E68" i="4"/>
  <c r="F67" i="4"/>
  <c r="G66" i="4"/>
  <c r="E64" i="4"/>
  <c r="F63" i="4"/>
  <c r="G62" i="4"/>
  <c r="E60" i="4"/>
  <c r="F59" i="4"/>
  <c r="G58" i="4"/>
  <c r="E56" i="4"/>
  <c r="F55" i="4"/>
  <c r="G54" i="4"/>
  <c r="E52" i="4"/>
  <c r="F51" i="4"/>
  <c r="G50" i="4"/>
  <c r="E48" i="4"/>
  <c r="F47" i="4"/>
  <c r="G46" i="4"/>
  <c r="E44" i="4"/>
  <c r="F43" i="4"/>
  <c r="G42" i="4"/>
  <c r="E40" i="4"/>
  <c r="F39" i="4"/>
  <c r="G38" i="4"/>
  <c r="E36" i="4"/>
  <c r="F35" i="4"/>
  <c r="G34" i="4"/>
  <c r="E32" i="4"/>
  <c r="F31" i="4"/>
  <c r="G30" i="4"/>
  <c r="E28" i="4"/>
  <c r="F27" i="4"/>
  <c r="G26" i="4"/>
  <c r="E24" i="4"/>
  <c r="F23" i="4"/>
  <c r="G22" i="4"/>
  <c r="E20" i="4"/>
  <c r="F19" i="4"/>
  <c r="E18" i="4"/>
  <c r="F18" i="4"/>
  <c r="F84" i="4"/>
  <c r="G83" i="4"/>
  <c r="E81" i="4"/>
  <c r="F80" i="4"/>
  <c r="G79" i="4"/>
  <c r="E77" i="4"/>
  <c r="F76" i="4"/>
  <c r="G75" i="4"/>
  <c r="E73" i="4"/>
  <c r="F72" i="4"/>
  <c r="G71" i="4"/>
  <c r="E69" i="4"/>
  <c r="F68" i="4"/>
  <c r="G67" i="4"/>
  <c r="E65" i="4"/>
  <c r="F64" i="4"/>
  <c r="G63" i="4"/>
  <c r="E61" i="4"/>
  <c r="F60" i="4"/>
  <c r="G59" i="4"/>
  <c r="E57" i="4"/>
  <c r="F56" i="4"/>
  <c r="G55" i="4"/>
  <c r="E53" i="4"/>
  <c r="F52" i="4"/>
  <c r="G51" i="4"/>
  <c r="E49" i="4"/>
  <c r="F48" i="4"/>
  <c r="G47" i="4"/>
  <c r="E45" i="4"/>
  <c r="F44" i="4"/>
  <c r="G43" i="4"/>
  <c r="E41" i="4"/>
  <c r="F40" i="4"/>
  <c r="G39" i="4"/>
  <c r="E37" i="4"/>
  <c r="F36" i="4"/>
  <c r="G35" i="4"/>
  <c r="E33" i="4"/>
  <c r="F32" i="4"/>
  <c r="G31" i="4"/>
  <c r="E29" i="4"/>
  <c r="F28" i="4"/>
  <c r="G27" i="4"/>
  <c r="E25" i="4"/>
  <c r="F24" i="4"/>
  <c r="G23" i="4"/>
  <c r="E21" i="4"/>
  <c r="F20" i="4"/>
  <c r="G19" i="4"/>
  <c r="Q81" i="4"/>
  <c r="W81" i="4" s="1"/>
  <c r="Q73" i="4"/>
  <c r="W73" i="4" s="1"/>
  <c r="Q65" i="4"/>
  <c r="W65" i="4" s="1"/>
  <c r="Q57" i="4"/>
  <c r="W57" i="4" s="1"/>
  <c r="Q49" i="4"/>
  <c r="W49" i="4" s="1"/>
  <c r="Q41" i="4"/>
  <c r="W41" i="4" s="1"/>
  <c r="Q33" i="4"/>
  <c r="W33" i="4" s="1"/>
  <c r="Q25" i="4"/>
  <c r="W25" i="4" s="1"/>
  <c r="G18" i="4"/>
  <c r="G84" i="4"/>
  <c r="E82" i="4"/>
  <c r="F81" i="4"/>
  <c r="G80" i="4"/>
  <c r="E78" i="4"/>
  <c r="F77" i="4"/>
  <c r="G76" i="4"/>
  <c r="E74" i="4"/>
  <c r="F73" i="4"/>
  <c r="G72" i="4"/>
  <c r="E70" i="4"/>
  <c r="F69" i="4"/>
  <c r="G68" i="4"/>
  <c r="E66" i="4"/>
  <c r="F65" i="4"/>
  <c r="G64" i="4"/>
  <c r="E62" i="4"/>
  <c r="F61" i="4"/>
  <c r="G60" i="4"/>
  <c r="E58" i="4"/>
  <c r="F57" i="4"/>
  <c r="G56" i="4"/>
  <c r="E54" i="4"/>
  <c r="F53" i="4"/>
  <c r="G52" i="4"/>
  <c r="E50" i="4"/>
  <c r="F49" i="4"/>
  <c r="G48" i="4"/>
  <c r="E46" i="4"/>
  <c r="F45" i="4"/>
  <c r="G44" i="4"/>
  <c r="E42" i="4"/>
  <c r="F41" i="4"/>
  <c r="G40" i="4"/>
  <c r="E38" i="4"/>
  <c r="F37" i="4"/>
  <c r="G36" i="4"/>
  <c r="E34" i="4"/>
  <c r="F33" i="4"/>
  <c r="G32" i="4"/>
  <c r="E30" i="4"/>
  <c r="F29" i="4"/>
  <c r="G28" i="4"/>
  <c r="E26" i="4"/>
  <c r="F25" i="4"/>
  <c r="G24" i="4"/>
  <c r="E22" i="4"/>
  <c r="F21" i="4"/>
  <c r="G20" i="4"/>
  <c r="R81" i="4"/>
  <c r="Z81" i="4" s="1"/>
  <c r="R73" i="4"/>
  <c r="Z73" i="4" s="1"/>
  <c r="R65" i="4"/>
  <c r="Z65" i="4" s="1"/>
  <c r="R57" i="4"/>
  <c r="Z57" i="4" s="1"/>
  <c r="R49" i="4"/>
  <c r="Z49" i="4" s="1"/>
  <c r="R41" i="4"/>
  <c r="Z41" i="4" s="1"/>
  <c r="R33" i="4"/>
  <c r="Z33" i="4" s="1"/>
  <c r="R25" i="4"/>
  <c r="Z25" i="4" s="1"/>
  <c r="Q19" i="4"/>
  <c r="W19" i="4" s="1"/>
  <c r="Q23" i="4"/>
  <c r="W23" i="4" s="1"/>
  <c r="Q27" i="4"/>
  <c r="W27" i="4" s="1"/>
  <c r="Q31" i="4"/>
  <c r="W31" i="4" s="1"/>
  <c r="Q35" i="4"/>
  <c r="W35" i="4" s="1"/>
  <c r="Q39" i="4"/>
  <c r="W39" i="4" s="1"/>
  <c r="Q43" i="4"/>
  <c r="W43" i="4" s="1"/>
  <c r="Q47" i="4"/>
  <c r="W47" i="4" s="1"/>
  <c r="Q51" i="4"/>
  <c r="W51" i="4" s="1"/>
  <c r="Q55" i="4"/>
  <c r="W55" i="4" s="1"/>
  <c r="Q63" i="4"/>
  <c r="W63" i="4" s="1"/>
  <c r="Q67" i="4"/>
  <c r="W67" i="4" s="1"/>
  <c r="Q20" i="4"/>
  <c r="W20" i="4" s="1"/>
  <c r="Q36" i="4"/>
  <c r="W36" i="4" s="1"/>
  <c r="Q52" i="4"/>
  <c r="W52" i="4" s="1"/>
  <c r="Q64" i="4"/>
  <c r="W64" i="4" s="1"/>
  <c r="Q68" i="4"/>
  <c r="W68" i="4" s="1"/>
  <c r="Q72" i="4"/>
  <c r="W72" i="4" s="1"/>
  <c r="Q80" i="4"/>
  <c r="W80" i="4" s="1"/>
  <c r="R20" i="4"/>
  <c r="Z20" i="4" s="1"/>
  <c r="R24" i="4"/>
  <c r="Z24" i="4" s="1"/>
  <c r="R28" i="4"/>
  <c r="Z28" i="4" s="1"/>
  <c r="R32" i="4"/>
  <c r="Z32" i="4" s="1"/>
  <c r="R36" i="4"/>
  <c r="Z36" i="4" s="1"/>
  <c r="R40" i="4"/>
  <c r="Z40" i="4" s="1"/>
  <c r="R44" i="4"/>
  <c r="Z44" i="4" s="1"/>
  <c r="R48" i="4"/>
  <c r="Z48" i="4" s="1"/>
  <c r="R52" i="4"/>
  <c r="Z52" i="4" s="1"/>
  <c r="R56" i="4"/>
  <c r="Z56" i="4" s="1"/>
  <c r="R64" i="4"/>
  <c r="Z64" i="4" s="1"/>
  <c r="R68" i="4"/>
  <c r="Z68" i="4" s="1"/>
  <c r="Q22" i="4"/>
  <c r="W22" i="4" s="1"/>
  <c r="Q26" i="4"/>
  <c r="W26" i="4" s="1"/>
  <c r="Q30" i="4"/>
  <c r="W30" i="4" s="1"/>
  <c r="Q34" i="4"/>
  <c r="W34" i="4" s="1"/>
  <c r="Q38" i="4"/>
  <c r="W38" i="4" s="1"/>
  <c r="Q42" i="4"/>
  <c r="W42" i="4" s="1"/>
  <c r="Q46" i="4"/>
  <c r="W46" i="4" s="1"/>
  <c r="Q50" i="4"/>
  <c r="W50" i="4" s="1"/>
  <c r="Q54" i="4"/>
  <c r="W54" i="4" s="1"/>
  <c r="Q58" i="4"/>
  <c r="W58" i="4" s="1"/>
  <c r="Q62" i="4"/>
  <c r="W62" i="4" s="1"/>
  <c r="Q66" i="4"/>
  <c r="W66" i="4" s="1"/>
  <c r="Q71" i="4"/>
  <c r="W71" i="4" s="1"/>
  <c r="R72" i="4"/>
  <c r="Z72" i="4" s="1"/>
  <c r="Q75" i="4"/>
  <c r="W75" i="4" s="1"/>
  <c r="Q79" i="4"/>
  <c r="W79" i="4" s="1"/>
  <c r="R80" i="4"/>
  <c r="Z80" i="4" s="1"/>
  <c r="Q83" i="4"/>
  <c r="W83" i="4" s="1"/>
  <c r="R84" i="4"/>
  <c r="Z84" i="4" s="1"/>
  <c r="R18" i="4"/>
  <c r="Z18" i="4" s="1"/>
  <c r="R22" i="4"/>
  <c r="Z22" i="4" s="1"/>
  <c r="Q18" i="4"/>
  <c r="W18" i="4" s="1"/>
  <c r="S18" i="4"/>
  <c r="AB18" i="4" s="1"/>
  <c r="S22" i="4"/>
  <c r="AB22" i="4" s="1"/>
  <c r="S26" i="4"/>
  <c r="AB26" i="4" s="1"/>
  <c r="S30" i="4"/>
  <c r="AB30" i="4" s="1"/>
  <c r="S34" i="4"/>
  <c r="AB34" i="4" s="1"/>
  <c r="S38" i="4"/>
  <c r="AB38" i="4" s="1"/>
  <c r="S42" i="4"/>
  <c r="AB42" i="4" s="1"/>
  <c r="S46" i="4"/>
  <c r="AB46" i="4" s="1"/>
  <c r="S50" i="4"/>
  <c r="AB50" i="4" s="1"/>
  <c r="S54" i="4"/>
  <c r="AB54" i="4" s="1"/>
  <c r="S58" i="4"/>
  <c r="AB58" i="4" s="1"/>
  <c r="S62" i="4"/>
  <c r="AB62" i="4" s="1"/>
  <c r="S66" i="4"/>
  <c r="AB66" i="4" s="1"/>
  <c r="S74" i="4"/>
  <c r="AB74" i="4" s="1"/>
  <c r="S78" i="4"/>
  <c r="AB78" i="4" s="1"/>
  <c r="S82" i="4"/>
  <c r="AB82" i="4" s="1"/>
  <c r="S19" i="4"/>
  <c r="AB19" i="4" s="1"/>
  <c r="S23" i="4"/>
  <c r="AB23" i="4" s="1"/>
  <c r="R26" i="4"/>
  <c r="Z26" i="4" s="1"/>
  <c r="S27" i="4"/>
  <c r="AB27" i="4" s="1"/>
  <c r="R30" i="4"/>
  <c r="Z30" i="4" s="1"/>
  <c r="S31" i="4"/>
  <c r="AB31" i="4" s="1"/>
  <c r="R34" i="4"/>
  <c r="Z34" i="4" s="1"/>
  <c r="S35" i="4"/>
  <c r="AB35" i="4" s="1"/>
  <c r="R38" i="4"/>
  <c r="Z38" i="4" s="1"/>
  <c r="S39" i="4"/>
  <c r="AB39" i="4" s="1"/>
  <c r="R42" i="4"/>
  <c r="Z42" i="4" s="1"/>
  <c r="S43" i="4"/>
  <c r="AB43" i="4" s="1"/>
  <c r="R46" i="4"/>
  <c r="Z46" i="4" s="1"/>
  <c r="S47" i="4"/>
  <c r="AB47" i="4" s="1"/>
  <c r="R50" i="4"/>
  <c r="Z50" i="4" s="1"/>
  <c r="S51" i="4"/>
  <c r="AB51" i="4" s="1"/>
  <c r="R54" i="4"/>
  <c r="Z54" i="4" s="1"/>
  <c r="S55" i="4"/>
  <c r="AB55" i="4" s="1"/>
  <c r="R58" i="4"/>
  <c r="Z58" i="4" s="1"/>
  <c r="S59" i="4"/>
  <c r="AB59" i="4" s="1"/>
  <c r="R62" i="4"/>
  <c r="Z62" i="4" s="1"/>
  <c r="S63" i="4"/>
  <c r="AB63" i="4" s="1"/>
  <c r="R66" i="4"/>
  <c r="Z66" i="4" s="1"/>
  <c r="S67" i="4"/>
  <c r="AB67" i="4" s="1"/>
  <c r="S71" i="4"/>
  <c r="AB71" i="4" s="1"/>
  <c r="R74" i="4"/>
  <c r="Z74" i="4" s="1"/>
  <c r="S75" i="4"/>
  <c r="AB75" i="4" s="1"/>
  <c r="R78" i="4"/>
  <c r="Z78" i="4" s="1"/>
  <c r="S79" i="4"/>
  <c r="AB79" i="4" s="1"/>
  <c r="R82" i="4"/>
  <c r="Z82" i="4" s="1"/>
  <c r="S83" i="4"/>
  <c r="AB83" i="4" s="1"/>
  <c r="S20" i="4"/>
  <c r="AB20" i="4" s="1"/>
  <c r="S24" i="4"/>
  <c r="AB24" i="4" s="1"/>
  <c r="S28" i="4"/>
  <c r="AB28" i="4" s="1"/>
  <c r="S32" i="4"/>
  <c r="AB32" i="4" s="1"/>
  <c r="S36" i="4"/>
  <c r="AB36" i="4" s="1"/>
  <c r="S40" i="4"/>
  <c r="AB40" i="4" s="1"/>
  <c r="S44" i="4"/>
  <c r="AB44" i="4" s="1"/>
  <c r="S48" i="4"/>
  <c r="AB48" i="4" s="1"/>
  <c r="S52" i="4"/>
  <c r="AB52" i="4" s="1"/>
  <c r="S56" i="4"/>
  <c r="AB56" i="4" s="1"/>
  <c r="S64" i="4"/>
  <c r="AB64" i="4" s="1"/>
  <c r="S68" i="4"/>
  <c r="AB68" i="4" s="1"/>
  <c r="S72" i="4"/>
  <c r="AB72" i="4" s="1"/>
  <c r="S80" i="4"/>
  <c r="AB80" i="4" s="1"/>
  <c r="S84" i="4"/>
  <c r="AB84" i="4" s="1"/>
  <c r="R19" i="4"/>
  <c r="Z19" i="4" s="1"/>
  <c r="Q82" i="4"/>
  <c r="W82" i="4" s="1"/>
  <c r="Q78" i="4"/>
  <c r="W78" i="4" s="1"/>
  <c r="Q74" i="4"/>
  <c r="W74" i="4" s="1"/>
  <c r="R83" i="4"/>
  <c r="Z83" i="4" s="1"/>
  <c r="R79" i="4"/>
  <c r="Z79" i="4" s="1"/>
  <c r="R75" i="4"/>
  <c r="Z75" i="4" s="1"/>
  <c r="R71" i="4"/>
  <c r="Z71" i="4" s="1"/>
  <c r="R67" i="4"/>
  <c r="Z67" i="4" s="1"/>
  <c r="R63" i="4"/>
  <c r="Z63" i="4" s="1"/>
  <c r="R59" i="4"/>
  <c r="Z59" i="4" s="1"/>
  <c r="R55" i="4"/>
  <c r="Z55" i="4" s="1"/>
  <c r="R51" i="4"/>
  <c r="Z51" i="4" s="1"/>
  <c r="R47" i="4"/>
  <c r="Z47" i="4" s="1"/>
  <c r="R43" i="4"/>
  <c r="Z43" i="4" s="1"/>
  <c r="R39" i="4"/>
  <c r="Z39" i="4" s="1"/>
  <c r="R35" i="4"/>
  <c r="Z35" i="4" s="1"/>
  <c r="R31" i="4"/>
  <c r="Z31" i="4" s="1"/>
  <c r="R27" i="4"/>
  <c r="Z27" i="4" s="1"/>
  <c r="R23" i="4"/>
  <c r="Z23" i="4" s="1"/>
  <c r="E37" i="10" l="1"/>
  <c r="E35" i="10"/>
  <c r="E36" i="10" s="1"/>
  <c r="O43" i="10"/>
  <c r="C43" i="10"/>
  <c r="M46" i="10"/>
  <c r="L46" i="10"/>
  <c r="M45" i="10"/>
  <c r="L45" i="10"/>
  <c r="D46" i="10"/>
  <c r="C46" i="10"/>
  <c r="B46" i="10"/>
  <c r="O46" i="10"/>
  <c r="N46" i="10"/>
  <c r="F46" i="10"/>
  <c r="O44" i="10"/>
  <c r="H44" i="10"/>
  <c r="I44" i="10"/>
  <c r="D44" i="10"/>
  <c r="F44" i="10"/>
  <c r="G44" i="10"/>
  <c r="B44" i="10"/>
  <c r="K44" i="10"/>
  <c r="N44" i="10"/>
  <c r="L44" i="10"/>
  <c r="N45" i="10"/>
  <c r="O45" i="10"/>
  <c r="B45" i="10"/>
  <c r="C45" i="10"/>
  <c r="D45" i="10"/>
  <c r="F45" i="10"/>
  <c r="H43" i="10"/>
  <c r="I43" i="10"/>
  <c r="L43" i="10"/>
  <c r="F43" i="10"/>
  <c r="G43" i="10"/>
  <c r="D43" i="10"/>
  <c r="B43" i="10"/>
  <c r="K43" i="10"/>
  <c r="I42" i="10"/>
  <c r="D42" i="10"/>
  <c r="L42" i="10"/>
  <c r="F42" i="10"/>
  <c r="O42" i="10"/>
  <c r="B42" i="10"/>
  <c r="H42" i="10"/>
  <c r="K42" i="10"/>
  <c r="G42" i="10"/>
  <c r="N42" i="10"/>
  <c r="G22" i="10"/>
  <c r="C56" i="10"/>
  <c r="E56" i="10" s="1"/>
  <c r="M22" i="10"/>
  <c r="C59" i="10"/>
  <c r="E59" i="10" s="1"/>
  <c r="I22" i="10"/>
  <c r="C57" i="10"/>
  <c r="E57" i="10" s="1"/>
  <c r="C58" i="10"/>
  <c r="E58" i="10" s="1"/>
  <c r="K22" i="10"/>
  <c r="E22" i="10"/>
  <c r="C55" i="10"/>
  <c r="E55" i="10" s="1"/>
  <c r="V82" i="4"/>
  <c r="X82" i="4" s="1"/>
  <c r="AA82" i="4" s="1"/>
  <c r="V48" i="4"/>
  <c r="X48" i="4" s="1"/>
  <c r="AA48" i="4" s="1"/>
  <c r="V56" i="4"/>
  <c r="X56" i="4" s="1"/>
  <c r="AC56" i="4" s="1"/>
  <c r="V84" i="4"/>
  <c r="X84" i="4" s="1"/>
  <c r="AC84" i="4" s="1"/>
  <c r="V49" i="4"/>
  <c r="X49" i="4" s="1"/>
  <c r="AA49" i="4" s="1"/>
  <c r="V69" i="4"/>
  <c r="X69" i="4" s="1"/>
  <c r="AA69" i="4" s="1"/>
  <c r="V27" i="4"/>
  <c r="X27" i="4" s="1"/>
  <c r="AA27" i="4" s="1"/>
  <c r="V66" i="4"/>
  <c r="X66" i="4" s="1"/>
  <c r="Y66" i="4" s="1"/>
  <c r="V33" i="4"/>
  <c r="X33" i="4" s="1"/>
  <c r="AC33" i="4" s="1"/>
  <c r="V71" i="4"/>
  <c r="X71" i="4" s="1"/>
  <c r="AA71" i="4" s="1"/>
  <c r="V21" i="4"/>
  <c r="X21" i="4" s="1"/>
  <c r="AG21" i="4" s="1"/>
  <c r="V44" i="4"/>
  <c r="X44" i="4" s="1"/>
  <c r="AA44" i="4" s="1"/>
  <c r="V20" i="4"/>
  <c r="X20" i="4" s="1"/>
  <c r="AC20" i="4" s="1"/>
  <c r="V55" i="4"/>
  <c r="X55" i="4" s="1"/>
  <c r="AC55" i="4" s="1"/>
  <c r="V34" i="4"/>
  <c r="X34" i="4" s="1"/>
  <c r="AC34" i="4" s="1"/>
  <c r="V50" i="4"/>
  <c r="X50" i="4" s="1"/>
  <c r="AC50" i="4" s="1"/>
  <c r="V35" i="4"/>
  <c r="X35" i="4" s="1"/>
  <c r="AA35" i="4" s="1"/>
  <c r="V45" i="4"/>
  <c r="X45" i="4" s="1"/>
  <c r="Y45" i="4" s="1"/>
  <c r="V72" i="4"/>
  <c r="X72" i="4" s="1"/>
  <c r="AC72" i="4" s="1"/>
  <c r="V18" i="4"/>
  <c r="X18" i="4" s="1"/>
  <c r="AC18" i="4" s="1"/>
  <c r="V79" i="4"/>
  <c r="X79" i="4" s="1"/>
  <c r="Y79" i="4" s="1"/>
  <c r="V74" i="4"/>
  <c r="X74" i="4" s="1"/>
  <c r="AA74" i="4" s="1"/>
  <c r="V57" i="4"/>
  <c r="X57" i="4" s="1"/>
  <c r="AA57" i="4" s="1"/>
  <c r="V41" i="4"/>
  <c r="X41" i="4" s="1"/>
  <c r="AC41" i="4" s="1"/>
  <c r="V61" i="4"/>
  <c r="X61" i="4" s="1"/>
  <c r="Y61" i="4" s="1"/>
  <c r="V29" i="4"/>
  <c r="X29" i="4" s="1"/>
  <c r="Y29" i="4" s="1"/>
  <c r="V77" i="4"/>
  <c r="X77" i="4" s="1"/>
  <c r="Y77" i="4" s="1"/>
  <c r="V36" i="4"/>
  <c r="X36" i="4" s="1"/>
  <c r="AC36" i="4" s="1"/>
  <c r="V24" i="4"/>
  <c r="X24" i="4" s="1"/>
  <c r="AC24" i="4" s="1"/>
  <c r="V19" i="4"/>
  <c r="X19" i="4" s="1"/>
  <c r="AC19" i="4" s="1"/>
  <c r="V63" i="4"/>
  <c r="X63" i="4" s="1"/>
  <c r="AC63" i="4" s="1"/>
  <c r="J85" i="3"/>
  <c r="J49" i="3"/>
  <c r="K22" i="3"/>
  <c r="N22" i="3"/>
  <c r="J22" i="3"/>
  <c r="L22" i="3"/>
  <c r="L34" i="3"/>
  <c r="K34" i="3"/>
  <c r="J34" i="3"/>
  <c r="L50" i="3"/>
  <c r="K50" i="3"/>
  <c r="J50" i="3"/>
  <c r="K30" i="3"/>
  <c r="J30" i="3"/>
  <c r="L30" i="3"/>
  <c r="L42" i="3"/>
  <c r="J42" i="3"/>
  <c r="K42" i="3"/>
  <c r="L58" i="3"/>
  <c r="J58" i="3"/>
  <c r="K58" i="3"/>
  <c r="K62" i="3"/>
  <c r="J62" i="3"/>
  <c r="L62" i="3"/>
  <c r="K78" i="3"/>
  <c r="J78" i="3"/>
  <c r="L78" i="3"/>
  <c r="K70" i="3"/>
  <c r="J70" i="3"/>
  <c r="L70" i="3"/>
  <c r="AA83" i="4"/>
  <c r="AC80" i="4"/>
  <c r="Y58" i="4"/>
  <c r="Y42" i="4"/>
  <c r="Y26" i="4"/>
  <c r="AA64" i="4"/>
  <c r="AA28" i="4"/>
  <c r="J25" i="3"/>
  <c r="Y43" i="4"/>
  <c r="AA37" i="4"/>
  <c r="AA53" i="4"/>
  <c r="AC37" i="4"/>
  <c r="AC53" i="4"/>
  <c r="V65" i="4"/>
  <c r="X65" i="4" s="1"/>
  <c r="AA65" i="4" s="1"/>
  <c r="V81" i="4"/>
  <c r="X81" i="4" s="1"/>
  <c r="AC81" i="4" s="1"/>
  <c r="V40" i="4"/>
  <c r="X40" i="4" s="1"/>
  <c r="AA40" i="4" s="1"/>
  <c r="V60" i="4"/>
  <c r="X60" i="4" s="1"/>
  <c r="V76" i="4"/>
  <c r="X76" i="4" s="1"/>
  <c r="V23" i="4"/>
  <c r="X23" i="4" s="1"/>
  <c r="AA23" i="4" s="1"/>
  <c r="V39" i="4"/>
  <c r="X39" i="4" s="1"/>
  <c r="AA39" i="4" s="1"/>
  <c r="V59" i="4"/>
  <c r="X59" i="4" s="1"/>
  <c r="AA59" i="4" s="1"/>
  <c r="V75" i="4"/>
  <c r="X75" i="4" s="1"/>
  <c r="Y75" i="4" s="1"/>
  <c r="V22" i="4"/>
  <c r="X22" i="4" s="1"/>
  <c r="AA22" i="4" s="1"/>
  <c r="V38" i="4"/>
  <c r="X38" i="4" s="1"/>
  <c r="AA38" i="4" s="1"/>
  <c r="V54" i="4"/>
  <c r="X54" i="4" s="1"/>
  <c r="AC54" i="4" s="1"/>
  <c r="V70" i="4"/>
  <c r="X70" i="4" s="1"/>
  <c r="M27" i="3"/>
  <c r="M36" i="3"/>
  <c r="N44" i="3"/>
  <c r="N65" i="3"/>
  <c r="M73" i="3"/>
  <c r="N81" i="3"/>
  <c r="M33" i="3"/>
  <c r="N26" i="3"/>
  <c r="N35" i="3"/>
  <c r="M43" i="3"/>
  <c r="M51" i="3"/>
  <c r="M59" i="3"/>
  <c r="N68" i="3"/>
  <c r="N84" i="3"/>
  <c r="J29" i="3"/>
  <c r="N38" i="3"/>
  <c r="N46" i="3"/>
  <c r="M54" i="3"/>
  <c r="M63" i="3"/>
  <c r="N79" i="3"/>
  <c r="M32" i="3"/>
  <c r="J41" i="3"/>
  <c r="M57" i="3"/>
  <c r="N66" i="3"/>
  <c r="M74" i="3"/>
  <c r="M82" i="3"/>
  <c r="AA67" i="4"/>
  <c r="AC64" i="4"/>
  <c r="AC32" i="4"/>
  <c r="AC43" i="4"/>
  <c r="Y83" i="4"/>
  <c r="AA32" i="4"/>
  <c r="AA43" i="4"/>
  <c r="AC83" i="4"/>
  <c r="AC67" i="4"/>
  <c r="AC58" i="4"/>
  <c r="AC42" i="4"/>
  <c r="AC26" i="4"/>
  <c r="Y80" i="4"/>
  <c r="Y64" i="4"/>
  <c r="Y37" i="4"/>
  <c r="Y53" i="4"/>
  <c r="V68" i="4"/>
  <c r="X68" i="4" s="1"/>
  <c r="AC68" i="4" s="1"/>
  <c r="V31" i="4"/>
  <c r="X31" i="4" s="1"/>
  <c r="AA31" i="4" s="1"/>
  <c r="V51" i="4"/>
  <c r="X51" i="4" s="1"/>
  <c r="AC51" i="4" s="1"/>
  <c r="V30" i="4"/>
  <c r="X30" i="4" s="1"/>
  <c r="AC30" i="4" s="1"/>
  <c r="V46" i="4"/>
  <c r="X46" i="4" s="1"/>
  <c r="AC46" i="4" s="1"/>
  <c r="V62" i="4"/>
  <c r="X62" i="4" s="1"/>
  <c r="AA62" i="4" s="1"/>
  <c r="V78" i="4"/>
  <c r="X78" i="4" s="1"/>
  <c r="Y78" i="4" s="1"/>
  <c r="AC28" i="4"/>
  <c r="AA58" i="4"/>
  <c r="AA42" i="4"/>
  <c r="AA26" i="4"/>
  <c r="AA80" i="4"/>
  <c r="AA52" i="4"/>
  <c r="N53" i="3"/>
  <c r="Y52" i="4"/>
  <c r="AC52" i="4"/>
  <c r="K48" i="3"/>
  <c r="AC47" i="4"/>
  <c r="AA47" i="4"/>
  <c r="J45" i="3"/>
  <c r="Y67" i="4"/>
  <c r="Y25" i="4"/>
  <c r="Y73" i="4"/>
  <c r="AA25" i="4"/>
  <c r="AA73" i="4"/>
  <c r="AC25" i="4"/>
  <c r="AC73" i="4"/>
  <c r="N45" i="3"/>
  <c r="U44" i="4"/>
  <c r="AF44" i="4" s="1"/>
  <c r="N77" i="3"/>
  <c r="U76" i="4"/>
  <c r="AF76" i="4" s="1"/>
  <c r="M42" i="3"/>
  <c r="T41" i="4"/>
  <c r="AD41" i="4" s="1"/>
  <c r="T73" i="4"/>
  <c r="AD73" i="4" s="1"/>
  <c r="AE73" i="4" s="1"/>
  <c r="M56" i="3"/>
  <c r="T55" i="4"/>
  <c r="AD55" i="4" s="1"/>
  <c r="T18" i="4"/>
  <c r="AD18" i="4" s="1"/>
  <c r="U37" i="4"/>
  <c r="AF37" i="4" s="1"/>
  <c r="AG37" i="4" s="1"/>
  <c r="U53" i="4"/>
  <c r="AF53" i="4" s="1"/>
  <c r="AG53" i="4" s="1"/>
  <c r="N70" i="3"/>
  <c r="U69" i="4"/>
  <c r="AF69" i="4" s="1"/>
  <c r="U18" i="4"/>
  <c r="AF18" i="4" s="1"/>
  <c r="N28" i="3"/>
  <c r="U27" i="4"/>
  <c r="AF27" i="4" s="1"/>
  <c r="U43" i="4"/>
  <c r="AF43" i="4" s="1"/>
  <c r="AG43" i="4" s="1"/>
  <c r="N60" i="3"/>
  <c r="U59" i="4"/>
  <c r="AF59" i="4" s="1"/>
  <c r="N76" i="3"/>
  <c r="U75" i="4"/>
  <c r="AF75" i="4" s="1"/>
  <c r="M25" i="3"/>
  <c r="T24" i="4"/>
  <c r="AD24" i="4" s="1"/>
  <c r="T40" i="4"/>
  <c r="AD40" i="4" s="1"/>
  <c r="T56" i="4"/>
  <c r="AD56" i="4" s="1"/>
  <c r="T72" i="4"/>
  <c r="AD72" i="4" s="1"/>
  <c r="N23" i="3"/>
  <c r="U22" i="4"/>
  <c r="AF22" i="4" s="1"/>
  <c r="N39" i="3"/>
  <c r="U38" i="4"/>
  <c r="AF38" i="4" s="1"/>
  <c r="N55" i="3"/>
  <c r="U54" i="4"/>
  <c r="AF54" i="4" s="1"/>
  <c r="U70" i="4"/>
  <c r="AF70" i="4" s="1"/>
  <c r="T26" i="4"/>
  <c r="AD26" i="4" s="1"/>
  <c r="AE26" i="4" s="1"/>
  <c r="T42" i="4"/>
  <c r="AD42" i="4" s="1"/>
  <c r="AE42" i="4" s="1"/>
  <c r="N25" i="3"/>
  <c r="U24" i="4"/>
  <c r="AF24" i="4" s="1"/>
  <c r="U40" i="4"/>
  <c r="AF40" i="4" s="1"/>
  <c r="U56" i="4"/>
  <c r="AF56" i="4" s="1"/>
  <c r="U72" i="4"/>
  <c r="AF72" i="4" s="1"/>
  <c r="M22" i="3"/>
  <c r="T21" i="4"/>
  <c r="AD21" i="4" s="1"/>
  <c r="T37" i="4"/>
  <c r="AD37" i="4" s="1"/>
  <c r="AE37" i="4" s="1"/>
  <c r="T53" i="4"/>
  <c r="AD53" i="4" s="1"/>
  <c r="AE53" i="4" s="1"/>
  <c r="M70" i="3"/>
  <c r="T69" i="4"/>
  <c r="AD69" i="4" s="1"/>
  <c r="M20" i="3"/>
  <c r="T19" i="4"/>
  <c r="AD19" i="4" s="1"/>
  <c r="T35" i="4"/>
  <c r="AD35" i="4" s="1"/>
  <c r="M52" i="3"/>
  <c r="T51" i="4"/>
  <c r="AD51" i="4" s="1"/>
  <c r="T67" i="4"/>
  <c r="AD67" i="4" s="1"/>
  <c r="AE67" i="4" s="1"/>
  <c r="T83" i="4"/>
  <c r="AD83" i="4" s="1"/>
  <c r="AE83" i="4" s="1"/>
  <c r="M55" i="3"/>
  <c r="T54" i="4"/>
  <c r="AD54" i="4" s="1"/>
  <c r="M71" i="3"/>
  <c r="T70" i="4"/>
  <c r="AD70" i="4" s="1"/>
  <c r="U65" i="4"/>
  <c r="AF65" i="4" s="1"/>
  <c r="N40" i="3"/>
  <c r="U39" i="4"/>
  <c r="AF39" i="4" s="1"/>
  <c r="N72" i="3"/>
  <c r="U71" i="4"/>
  <c r="AF71" i="4" s="1"/>
  <c r="M21" i="3"/>
  <c r="T20" i="4"/>
  <c r="AD20" i="4" s="1"/>
  <c r="M37" i="3"/>
  <c r="T36" i="4"/>
  <c r="AD36" i="4" s="1"/>
  <c r="T52" i="4"/>
  <c r="AD52" i="4" s="1"/>
  <c r="AE52" i="4" s="1"/>
  <c r="M69" i="3"/>
  <c r="T68" i="4"/>
  <c r="AD68" i="4" s="1"/>
  <c r="M85" i="3"/>
  <c r="T84" i="4"/>
  <c r="AD84" i="4" s="1"/>
  <c r="U34" i="4"/>
  <c r="AF34" i="4" s="1"/>
  <c r="U50" i="4"/>
  <c r="AF50" i="4" s="1"/>
  <c r="N67" i="3"/>
  <c r="U66" i="4"/>
  <c r="AF66" i="4" s="1"/>
  <c r="N83" i="3"/>
  <c r="U82" i="4"/>
  <c r="AF82" i="4" s="1"/>
  <c r="M23" i="3"/>
  <c r="T22" i="4"/>
  <c r="AD22" i="4" s="1"/>
  <c r="M39" i="3"/>
  <c r="T38" i="4"/>
  <c r="AD38" i="4" s="1"/>
  <c r="N21" i="3"/>
  <c r="U20" i="4"/>
  <c r="AF20" i="4" s="1"/>
  <c r="N37" i="3"/>
  <c r="U36" i="4"/>
  <c r="AF36" i="4" s="1"/>
  <c r="U52" i="4"/>
  <c r="AF52" i="4" s="1"/>
  <c r="AG52" i="4" s="1"/>
  <c r="N69" i="3"/>
  <c r="U68" i="4"/>
  <c r="AF68" i="4" s="1"/>
  <c r="N85" i="3"/>
  <c r="U84" i="4"/>
  <c r="AF84" i="4" s="1"/>
  <c r="M34" i="3"/>
  <c r="T33" i="4"/>
  <c r="AD33" i="4" s="1"/>
  <c r="M50" i="3"/>
  <c r="T49" i="4"/>
  <c r="AD49" i="4" s="1"/>
  <c r="T65" i="4"/>
  <c r="AD65" i="4" s="1"/>
  <c r="T81" i="4"/>
  <c r="AD81" i="4" s="1"/>
  <c r="T31" i="4"/>
  <c r="AD31" i="4" s="1"/>
  <c r="T47" i="4"/>
  <c r="AD47" i="4" s="1"/>
  <c r="AE47" i="4" s="1"/>
  <c r="M64" i="3"/>
  <c r="T63" i="4"/>
  <c r="AD63" i="4" s="1"/>
  <c r="M80" i="3"/>
  <c r="T79" i="4"/>
  <c r="AD79" i="4" s="1"/>
  <c r="T50" i="4"/>
  <c r="AD50" i="4" s="1"/>
  <c r="M67" i="3"/>
  <c r="T66" i="4"/>
  <c r="AD66" i="4" s="1"/>
  <c r="M83" i="3"/>
  <c r="T82" i="4"/>
  <c r="AD82" i="4" s="1"/>
  <c r="N50" i="3"/>
  <c r="U49" i="4"/>
  <c r="AF49" i="4" s="1"/>
  <c r="N56" i="3"/>
  <c r="U55" i="4"/>
  <c r="AF55" i="4" s="1"/>
  <c r="AG55" i="4" s="1"/>
  <c r="U45" i="4"/>
  <c r="AF45" i="4" s="1"/>
  <c r="N78" i="3"/>
  <c r="U77" i="4"/>
  <c r="AF77" i="4" s="1"/>
  <c r="U35" i="4"/>
  <c r="AF35" i="4" s="1"/>
  <c r="U67" i="4"/>
  <c r="AF67" i="4" s="1"/>
  <c r="AG67" i="4" s="1"/>
  <c r="T32" i="4"/>
  <c r="AD32" i="4" s="1"/>
  <c r="AE32" i="4" s="1"/>
  <c r="T64" i="4"/>
  <c r="AD64" i="4" s="1"/>
  <c r="AE64" i="4" s="1"/>
  <c r="N31" i="3"/>
  <c r="U30" i="4"/>
  <c r="AF30" i="4" s="1"/>
  <c r="U62" i="4"/>
  <c r="AF62" i="4" s="1"/>
  <c r="U78" i="4"/>
  <c r="AF78" i="4" s="1"/>
  <c r="T34" i="4"/>
  <c r="AD34" i="4" s="1"/>
  <c r="U32" i="4"/>
  <c r="AF32" i="4" s="1"/>
  <c r="AG32" i="4" s="1"/>
  <c r="U80" i="4"/>
  <c r="AF80" i="4" s="1"/>
  <c r="AG80" i="4" s="1"/>
  <c r="T45" i="4"/>
  <c r="AD45" i="4" s="1"/>
  <c r="M78" i="3"/>
  <c r="T77" i="4"/>
  <c r="AD77" i="4" s="1"/>
  <c r="M28" i="3"/>
  <c r="T27" i="4"/>
  <c r="AD27" i="4" s="1"/>
  <c r="T43" i="4"/>
  <c r="AD43" i="4" s="1"/>
  <c r="AE43" i="4" s="1"/>
  <c r="M76" i="3"/>
  <c r="T75" i="4"/>
  <c r="AD75" i="4" s="1"/>
  <c r="T62" i="4"/>
  <c r="AD62" i="4" s="1"/>
  <c r="T78" i="4"/>
  <c r="AD78" i="4" s="1"/>
  <c r="N34" i="3"/>
  <c r="U33" i="4"/>
  <c r="AF33" i="4" s="1"/>
  <c r="U81" i="4"/>
  <c r="AF81" i="4" s="1"/>
  <c r="N24" i="3"/>
  <c r="U23" i="4"/>
  <c r="AF23" i="4" s="1"/>
  <c r="N30" i="3"/>
  <c r="U29" i="4"/>
  <c r="AF29" i="4" s="1"/>
  <c r="N62" i="3"/>
  <c r="U61" i="4"/>
  <c r="AF61" i="4" s="1"/>
  <c r="N20" i="3"/>
  <c r="U19" i="4"/>
  <c r="AF19" i="4" s="1"/>
  <c r="N52" i="3"/>
  <c r="U51" i="4"/>
  <c r="AF51" i="4" s="1"/>
  <c r="U83" i="4"/>
  <c r="AF83" i="4" s="1"/>
  <c r="AG83" i="4" s="1"/>
  <c r="M49" i="3"/>
  <c r="T48" i="4"/>
  <c r="AD48" i="4" s="1"/>
  <c r="T80" i="4"/>
  <c r="AD80" i="4" s="1"/>
  <c r="AE80" i="4" s="1"/>
  <c r="N47" i="3"/>
  <c r="U46" i="4"/>
  <c r="AF46" i="4" s="1"/>
  <c r="N49" i="3"/>
  <c r="U48" i="4"/>
  <c r="AF48" i="4" s="1"/>
  <c r="U64" i="4"/>
  <c r="AF64" i="4" s="1"/>
  <c r="AG64" i="4" s="1"/>
  <c r="M30" i="3"/>
  <c r="T29" i="4"/>
  <c r="AD29" i="4" s="1"/>
  <c r="M62" i="3"/>
  <c r="T61" i="4"/>
  <c r="AD61" i="4" s="1"/>
  <c r="M60" i="3"/>
  <c r="T59" i="4"/>
  <c r="AD59" i="4" s="1"/>
  <c r="U25" i="4"/>
  <c r="AF25" i="4" s="1"/>
  <c r="AG25" i="4" s="1"/>
  <c r="N42" i="3"/>
  <c r="U41" i="4"/>
  <c r="AF41" i="4" s="1"/>
  <c r="N58" i="3"/>
  <c r="U57" i="4"/>
  <c r="AF57" i="4" s="1"/>
  <c r="U73" i="4"/>
  <c r="AF73" i="4" s="1"/>
  <c r="AG73" i="4" s="1"/>
  <c r="U31" i="4"/>
  <c r="AF31" i="4" s="1"/>
  <c r="U47" i="4"/>
  <c r="AF47" i="4" s="1"/>
  <c r="AG47" i="4" s="1"/>
  <c r="N64" i="3"/>
  <c r="U63" i="4"/>
  <c r="AF63" i="4" s="1"/>
  <c r="N80" i="3"/>
  <c r="U79" i="4"/>
  <c r="AF79" i="4" s="1"/>
  <c r="T28" i="4"/>
  <c r="AD28" i="4" s="1"/>
  <c r="AE28" i="4" s="1"/>
  <c r="M45" i="3"/>
  <c r="T44" i="4"/>
  <c r="AD44" i="4" s="1"/>
  <c r="M61" i="3"/>
  <c r="T60" i="4"/>
  <c r="AD60" i="4" s="1"/>
  <c r="M77" i="3"/>
  <c r="T76" i="4"/>
  <c r="AD76" i="4" s="1"/>
  <c r="U26" i="4"/>
  <c r="AF26" i="4" s="1"/>
  <c r="AG26" i="4" s="1"/>
  <c r="U42" i="4"/>
  <c r="AF42" i="4" s="1"/>
  <c r="AG42" i="4" s="1"/>
  <c r="U58" i="4"/>
  <c r="AF58" i="4" s="1"/>
  <c r="AG58" i="4" s="1"/>
  <c r="N75" i="3"/>
  <c r="U74" i="4"/>
  <c r="AF74" i="4" s="1"/>
  <c r="M31" i="3"/>
  <c r="T30" i="4"/>
  <c r="AD30" i="4" s="1"/>
  <c r="M47" i="3"/>
  <c r="T46" i="4"/>
  <c r="AD46" i="4" s="1"/>
  <c r="U28" i="4"/>
  <c r="AF28" i="4" s="1"/>
  <c r="AG28" i="4" s="1"/>
  <c r="N61" i="3"/>
  <c r="U60" i="4"/>
  <c r="AF60" i="4" s="1"/>
  <c r="T25" i="4"/>
  <c r="AD25" i="4" s="1"/>
  <c r="AE25" i="4" s="1"/>
  <c r="M58" i="3"/>
  <c r="T57" i="4"/>
  <c r="AD57" i="4" s="1"/>
  <c r="M24" i="3"/>
  <c r="T23" i="4"/>
  <c r="AD23" i="4" s="1"/>
  <c r="M40" i="3"/>
  <c r="T39" i="4"/>
  <c r="AD39" i="4" s="1"/>
  <c r="M72" i="3"/>
  <c r="T71" i="4"/>
  <c r="AD71" i="4" s="1"/>
  <c r="T58" i="4"/>
  <c r="AD58" i="4" s="1"/>
  <c r="AE58" i="4" s="1"/>
  <c r="M75" i="3"/>
  <c r="T74" i="4"/>
  <c r="AD74" i="4" s="1"/>
  <c r="Y47" i="4"/>
  <c r="R76" i="4"/>
  <c r="Z76" i="4" s="1"/>
  <c r="Q76" i="4"/>
  <c r="W76" i="4" s="1"/>
  <c r="Q60" i="4"/>
  <c r="W60" i="4" s="1"/>
  <c r="Q44" i="4"/>
  <c r="W44" i="4" s="1"/>
  <c r="Q28" i="4"/>
  <c r="W28" i="4" s="1"/>
  <c r="Y28" i="4" s="1"/>
  <c r="R70" i="4"/>
  <c r="Z70" i="4" s="1"/>
  <c r="Q48" i="4"/>
  <c r="W48" i="4" s="1"/>
  <c r="Q32" i="4"/>
  <c r="W32" i="4" s="1"/>
  <c r="Y32" i="4" s="1"/>
  <c r="S76" i="4"/>
  <c r="AB76" i="4" s="1"/>
  <c r="S60" i="4"/>
  <c r="AB60" i="4" s="1"/>
  <c r="Q70" i="4"/>
  <c r="W70" i="4" s="1"/>
  <c r="R60" i="4"/>
  <c r="Z60" i="4" s="1"/>
  <c r="Q84" i="4"/>
  <c r="W84" i="4" s="1"/>
  <c r="S70" i="4"/>
  <c r="AB70" i="4" s="1"/>
  <c r="Q56" i="4"/>
  <c r="W56" i="4" s="1"/>
  <c r="Q40" i="4"/>
  <c r="W40" i="4" s="1"/>
  <c r="Q24" i="4"/>
  <c r="W24" i="4" s="1"/>
  <c r="Q59" i="4"/>
  <c r="W59" i="4" s="1"/>
  <c r="K28" i="3"/>
  <c r="K60" i="3"/>
  <c r="K76" i="3"/>
  <c r="L49" i="3"/>
  <c r="L76" i="3"/>
  <c r="L60" i="3"/>
  <c r="K55" i="3"/>
  <c r="K39" i="3"/>
  <c r="L28" i="3"/>
  <c r="L55" i="3"/>
  <c r="L47" i="3"/>
  <c r="L39" i="3"/>
  <c r="L31" i="3"/>
  <c r="L23" i="3"/>
  <c r="K23" i="3"/>
  <c r="K85" i="3"/>
  <c r="J47" i="3"/>
  <c r="J31" i="3"/>
  <c r="K69" i="3"/>
  <c r="K49" i="3"/>
  <c r="J64" i="3"/>
  <c r="J24" i="3"/>
  <c r="K64" i="3"/>
  <c r="K80" i="3"/>
  <c r="J75" i="3"/>
  <c r="L45" i="3"/>
  <c r="K75" i="3"/>
  <c r="L64" i="3"/>
  <c r="L20" i="3"/>
  <c r="L80" i="3"/>
  <c r="J76" i="3"/>
  <c r="K24" i="3"/>
  <c r="K40" i="3"/>
  <c r="K56" i="3"/>
  <c r="K72" i="3"/>
  <c r="J83" i="3"/>
  <c r="K20" i="3"/>
  <c r="L85" i="3"/>
  <c r="L69" i="3"/>
  <c r="L37" i="3"/>
  <c r="L21" i="3"/>
  <c r="K83" i="3"/>
  <c r="L72" i="3"/>
  <c r="K67" i="3"/>
  <c r="L56" i="3"/>
  <c r="L40" i="3"/>
  <c r="K35" i="3"/>
  <c r="L24" i="3"/>
  <c r="J80" i="3"/>
  <c r="J72" i="3"/>
  <c r="J67" i="3"/>
  <c r="K21" i="3"/>
  <c r="J52" i="3"/>
  <c r="K52" i="3"/>
  <c r="L25" i="3"/>
  <c r="L52" i="3"/>
  <c r="K47" i="3"/>
  <c r="K31" i="3"/>
  <c r="L83" i="3"/>
  <c r="L75" i="3"/>
  <c r="L67" i="3"/>
  <c r="J55" i="3"/>
  <c r="J39" i="3"/>
  <c r="J23" i="3"/>
  <c r="K45" i="3"/>
  <c r="K37" i="3"/>
  <c r="K25" i="3"/>
  <c r="J69" i="3"/>
  <c r="J37" i="3"/>
  <c r="J21" i="3"/>
  <c r="J56" i="3"/>
  <c r="J40" i="3"/>
  <c r="J28" i="3"/>
  <c r="J20" i="3"/>
  <c r="J60" i="3"/>
  <c r="J71" i="3"/>
  <c r="K61" i="3"/>
  <c r="N71" i="3"/>
  <c r="L77" i="3"/>
  <c r="L61" i="3"/>
  <c r="K71" i="3"/>
  <c r="L71" i="3"/>
  <c r="K77" i="3"/>
  <c r="J77" i="3"/>
  <c r="J61" i="3"/>
  <c r="E38" i="10" l="1"/>
  <c r="E47" i="10" s="1"/>
  <c r="E50" i="10" s="1"/>
  <c r="M35" i="10"/>
  <c r="M36" i="10" s="1"/>
  <c r="M37" i="10"/>
  <c r="B37" i="10"/>
  <c r="B35" i="10"/>
  <c r="B36" i="10" s="1"/>
  <c r="I37" i="10"/>
  <c r="I35" i="10"/>
  <c r="I36" i="10" s="1"/>
  <c r="F35" i="10"/>
  <c r="F36" i="10" s="1"/>
  <c r="F37" i="10"/>
  <c r="C37" i="10"/>
  <c r="C35" i="10"/>
  <c r="C36" i="10" s="1"/>
  <c r="K37" i="10"/>
  <c r="K35" i="10"/>
  <c r="K36" i="10" s="1"/>
  <c r="O35" i="10"/>
  <c r="O36" i="10" s="1"/>
  <c r="O37" i="10"/>
  <c r="G37" i="10"/>
  <c r="G35" i="10"/>
  <c r="G36" i="10" s="1"/>
  <c r="H37" i="10"/>
  <c r="H35" i="10"/>
  <c r="H36" i="10" s="1"/>
  <c r="N35" i="10"/>
  <c r="N36" i="10" s="1"/>
  <c r="N37" i="10"/>
  <c r="D35" i="10"/>
  <c r="D36" i="10" s="1"/>
  <c r="D37" i="10"/>
  <c r="L35" i="10"/>
  <c r="L36" i="10" s="1"/>
  <c r="L37" i="10"/>
  <c r="AG84" i="4"/>
  <c r="AG82" i="4"/>
  <c r="AC82" i="4"/>
  <c r="AE82" i="4"/>
  <c r="Y82" i="4"/>
  <c r="K81" i="3"/>
  <c r="L73" i="3"/>
  <c r="K36" i="3"/>
  <c r="AE27" i="4"/>
  <c r="K68" i="3"/>
  <c r="J68" i="3"/>
  <c r="K73" i="3"/>
  <c r="Y24" i="4"/>
  <c r="AE20" i="4"/>
  <c r="AG79" i="4"/>
  <c r="L27" i="3"/>
  <c r="Y56" i="4"/>
  <c r="AG41" i="4"/>
  <c r="L35" i="3"/>
  <c r="L43" i="3"/>
  <c r="Y84" i="4"/>
  <c r="AG35" i="4"/>
  <c r="J35" i="3"/>
  <c r="AE23" i="4"/>
  <c r="L68" i="3"/>
  <c r="AE74" i="4"/>
  <c r="AG19" i="4"/>
  <c r="AA45" i="4"/>
  <c r="AG45" i="4"/>
  <c r="AE19" i="4"/>
  <c r="AG74" i="4"/>
  <c r="AC45" i="4"/>
  <c r="AG49" i="4"/>
  <c r="AE45" i="4"/>
  <c r="AE49" i="4"/>
  <c r="AG56" i="4"/>
  <c r="AE36" i="4"/>
  <c r="AE21" i="4"/>
  <c r="K32" i="3"/>
  <c r="AG23" i="4"/>
  <c r="AE55" i="4"/>
  <c r="J59" i="3"/>
  <c r="Y48" i="4"/>
  <c r="AA77" i="4"/>
  <c r="AG71" i="4"/>
  <c r="AE69" i="4"/>
  <c r="J79" i="3"/>
  <c r="AG57" i="4"/>
  <c r="Y70" i="4"/>
  <c r="M26" i="3"/>
  <c r="AA41" i="4"/>
  <c r="M65" i="3"/>
  <c r="J65" i="3"/>
  <c r="K65" i="3"/>
  <c r="K59" i="3"/>
  <c r="N59" i="3"/>
  <c r="AE71" i="4"/>
  <c r="L59" i="3"/>
  <c r="K79" i="3"/>
  <c r="L79" i="3"/>
  <c r="AC76" i="4"/>
  <c r="AA76" i="4"/>
  <c r="AE76" i="4"/>
  <c r="AE48" i="4"/>
  <c r="AC77" i="4"/>
  <c r="AE34" i="4"/>
  <c r="AG34" i="4"/>
  <c r="AG69" i="4"/>
  <c r="L65" i="3"/>
  <c r="AC70" i="4"/>
  <c r="AA70" i="4"/>
  <c r="Y76" i="4"/>
  <c r="AE57" i="4"/>
  <c r="AG48" i="4"/>
  <c r="Y69" i="4"/>
  <c r="AE60" i="4"/>
  <c r="J33" i="3"/>
  <c r="AC48" i="4"/>
  <c r="AA33" i="4"/>
  <c r="M79" i="3"/>
  <c r="AG27" i="4"/>
  <c r="AE66" i="4"/>
  <c r="AG36" i="4"/>
  <c r="N27" i="3"/>
  <c r="AG66" i="4"/>
  <c r="AE84" i="4"/>
  <c r="J48" i="3"/>
  <c r="Y49" i="4"/>
  <c r="Y41" i="4"/>
  <c r="AE39" i="4"/>
  <c r="AE56" i="4"/>
  <c r="AA56" i="4"/>
  <c r="Y19" i="4"/>
  <c r="Y60" i="4"/>
  <c r="J73" i="3"/>
  <c r="M66" i="3"/>
  <c r="M38" i="3"/>
  <c r="AG54" i="4"/>
  <c r="AC59" i="4"/>
  <c r="AC31" i="4"/>
  <c r="AA79" i="4"/>
  <c r="J27" i="3"/>
  <c r="K27" i="3"/>
  <c r="L32" i="3"/>
  <c r="AG76" i="4"/>
  <c r="L29" i="3"/>
  <c r="Y63" i="4"/>
  <c r="AE44" i="4"/>
  <c r="AC49" i="4"/>
  <c r="Y33" i="4"/>
  <c r="Y55" i="4"/>
  <c r="L57" i="3"/>
  <c r="J57" i="3"/>
  <c r="K57" i="3"/>
  <c r="J63" i="3"/>
  <c r="L63" i="3"/>
  <c r="L44" i="3"/>
  <c r="L33" i="3"/>
  <c r="AA60" i="4"/>
  <c r="AC60" i="4"/>
  <c r="Y44" i="4"/>
  <c r="AG60" i="4"/>
  <c r="N29" i="3"/>
  <c r="AE30" i="4"/>
  <c r="AG63" i="4"/>
  <c r="AE29" i="4"/>
  <c r="AG20" i="4"/>
  <c r="K63" i="3"/>
  <c r="L51" i="3"/>
  <c r="J51" i="3"/>
  <c r="K51" i="3"/>
  <c r="K33" i="3"/>
  <c r="K44" i="3"/>
  <c r="J44" i="3"/>
  <c r="K29" i="3"/>
  <c r="AE63" i="4"/>
  <c r="AC23" i="4"/>
  <c r="AA84" i="4"/>
  <c r="AA54" i="4"/>
  <c r="Y21" i="4"/>
  <c r="AC69" i="4"/>
  <c r="M29" i="3"/>
  <c r="AE54" i="4"/>
  <c r="Y54" i="4"/>
  <c r="Y23" i="4"/>
  <c r="Y27" i="4"/>
  <c r="AC27" i="4"/>
  <c r="AC66" i="4"/>
  <c r="AA66" i="4"/>
  <c r="AC71" i="4"/>
  <c r="N51" i="3"/>
  <c r="J43" i="3"/>
  <c r="K43" i="3"/>
  <c r="L81" i="3"/>
  <c r="AG61" i="4"/>
  <c r="AC29" i="4"/>
  <c r="AA29" i="4"/>
  <c r="AE41" i="4"/>
  <c r="L36" i="3"/>
  <c r="L84" i="3"/>
  <c r="L41" i="3"/>
  <c r="K84" i="3"/>
  <c r="J36" i="3"/>
  <c r="J81" i="3"/>
  <c r="Y59" i="4"/>
  <c r="Y40" i="4"/>
  <c r="Y31" i="4"/>
  <c r="M81" i="3"/>
  <c r="AG29" i="4"/>
  <c r="AG33" i="4"/>
  <c r="AE50" i="4"/>
  <c r="AE33" i="4"/>
  <c r="J84" i="3"/>
  <c r="K41" i="3"/>
  <c r="AE61" i="4"/>
  <c r="AC61" i="4"/>
  <c r="AA61" i="4"/>
  <c r="AG72" i="4"/>
  <c r="Y71" i="4"/>
  <c r="AG31" i="4"/>
  <c r="AC21" i="4"/>
  <c r="AA21" i="4"/>
  <c r="AG44" i="4"/>
  <c r="AC44" i="4"/>
  <c r="AE59" i="4"/>
  <c r="Y20" i="4"/>
  <c r="J32" i="3"/>
  <c r="N36" i="3"/>
  <c r="AA20" i="4"/>
  <c r="AA55" i="4"/>
  <c r="AG40" i="4"/>
  <c r="N43" i="3"/>
  <c r="N82" i="3"/>
  <c r="N19" i="3"/>
  <c r="AC40" i="4"/>
  <c r="M19" i="3"/>
  <c r="AG78" i="4"/>
  <c r="M84" i="3"/>
  <c r="N41" i="3"/>
  <c r="L19" i="3"/>
  <c r="J19" i="3"/>
  <c r="K19" i="3"/>
  <c r="N74" i="3"/>
  <c r="AG51" i="4"/>
  <c r="Y72" i="4"/>
  <c r="Y34" i="4"/>
  <c r="N32" i="3"/>
  <c r="M68" i="3"/>
  <c r="AE75" i="4"/>
  <c r="M44" i="3"/>
  <c r="AA34" i="4"/>
  <c r="N33" i="3"/>
  <c r="N63" i="3"/>
  <c r="N57" i="3"/>
  <c r="AG18" i="4"/>
  <c r="Y38" i="4"/>
  <c r="AE38" i="4"/>
  <c r="Y36" i="4"/>
  <c r="AE51" i="4"/>
  <c r="N73" i="3"/>
  <c r="AE18" i="4"/>
  <c r="Y35" i="4"/>
  <c r="AA18" i="4"/>
  <c r="AE35" i="4"/>
  <c r="Y18" i="4"/>
  <c r="AE72" i="4"/>
  <c r="AG75" i="4"/>
  <c r="AA72" i="4"/>
  <c r="AC38" i="4"/>
  <c r="Y50" i="4"/>
  <c r="AE31" i="4"/>
  <c r="AG50" i="4"/>
  <c r="AG38" i="4"/>
  <c r="AA36" i="4"/>
  <c r="AA50" i="4"/>
  <c r="AC35" i="4"/>
  <c r="AA75" i="4"/>
  <c r="AE79" i="4"/>
  <c r="AE68" i="4"/>
  <c r="AA24" i="4"/>
  <c r="Y68" i="4"/>
  <c r="AG81" i="4"/>
  <c r="AE77" i="4"/>
  <c r="Y81" i="4"/>
  <c r="AC74" i="4"/>
  <c r="Y74" i="4"/>
  <c r="Y46" i="4"/>
  <c r="AG46" i="4"/>
  <c r="AG62" i="4"/>
  <c r="AE22" i="4"/>
  <c r="AG24" i="4"/>
  <c r="AG22" i="4"/>
  <c r="M41" i="3"/>
  <c r="N54" i="3"/>
  <c r="AA81" i="4"/>
  <c r="Y22" i="4"/>
  <c r="AC22" i="4"/>
  <c r="AE46" i="4"/>
  <c r="AE62" i="4"/>
  <c r="AE81" i="4"/>
  <c r="AG68" i="4"/>
  <c r="AE40" i="4"/>
  <c r="AG59" i="4"/>
  <c r="Y57" i="4"/>
  <c r="AA46" i="4"/>
  <c r="M35" i="3"/>
  <c r="AG30" i="4"/>
  <c r="AC57" i="4"/>
  <c r="AC65" i="4"/>
  <c r="Y65" i="4"/>
  <c r="AC79" i="4"/>
  <c r="AE65" i="4"/>
  <c r="AE70" i="4"/>
  <c r="AG70" i="4"/>
  <c r="AA68" i="4"/>
  <c r="AC78" i="4"/>
  <c r="AA63" i="4"/>
  <c r="AA19" i="4"/>
  <c r="AE24" i="4"/>
  <c r="Y39" i="4"/>
  <c r="AA78" i="4"/>
  <c r="AA51" i="4"/>
  <c r="AE78" i="4"/>
  <c r="M46" i="3"/>
  <c r="AG77" i="4"/>
  <c r="AG39" i="4"/>
  <c r="AG65" i="4"/>
  <c r="Y51" i="4"/>
  <c r="AC39" i="4"/>
  <c r="L82" i="3"/>
  <c r="K82" i="3"/>
  <c r="J82" i="3"/>
  <c r="K54" i="3"/>
  <c r="J54" i="3"/>
  <c r="L54" i="3"/>
  <c r="Y30" i="4"/>
  <c r="AC75" i="4"/>
  <c r="L66" i="3"/>
  <c r="K66" i="3"/>
  <c r="J66" i="3"/>
  <c r="K38" i="3"/>
  <c r="J38" i="3"/>
  <c r="L38" i="3"/>
  <c r="L26" i="3"/>
  <c r="J26" i="3"/>
  <c r="K26" i="3"/>
  <c r="Y62" i="4"/>
  <c r="AA30" i="4"/>
  <c r="AC62" i="4"/>
  <c r="L74" i="3"/>
  <c r="J74" i="3"/>
  <c r="K74" i="3"/>
  <c r="K46" i="3"/>
  <c r="J46" i="3"/>
  <c r="L46" i="3"/>
  <c r="K53" i="3"/>
  <c r="J53" i="3"/>
  <c r="M53" i="3"/>
  <c r="L53" i="3"/>
  <c r="N48" i="3"/>
  <c r="M48" i="3"/>
  <c r="L48" i="3"/>
  <c r="M38" i="10" l="1"/>
  <c r="M47" i="10" s="1"/>
  <c r="M50" i="10" s="1"/>
  <c r="B38" i="10"/>
  <c r="B47" i="10" s="1"/>
  <c r="B50" i="10" s="1"/>
  <c r="F38" i="10"/>
  <c r="F47" i="10" s="1"/>
  <c r="F50" i="10" s="1"/>
  <c r="I38" i="10"/>
  <c r="I47" i="10" s="1"/>
  <c r="I50" i="10" s="1"/>
  <c r="L38" i="10"/>
  <c r="L47" i="10" s="1"/>
  <c r="L50" i="10" s="1"/>
  <c r="K38" i="10"/>
  <c r="K47" i="10" s="1"/>
  <c r="K50" i="10" s="1"/>
  <c r="N38" i="10"/>
  <c r="N47" i="10" s="1"/>
  <c r="N50" i="10" s="1"/>
  <c r="H38" i="10"/>
  <c r="H47" i="10" s="1"/>
  <c r="H50" i="10" s="1"/>
  <c r="C38" i="10"/>
  <c r="C47" i="10" s="1"/>
  <c r="C50" i="10" s="1"/>
  <c r="G38" i="10"/>
  <c r="G47" i="10" s="1"/>
  <c r="G50" i="10" s="1"/>
  <c r="D38" i="10"/>
  <c r="D47" i="10" s="1"/>
  <c r="D50" i="10" s="1"/>
  <c r="O38" i="10"/>
  <c r="O47" i="10" s="1"/>
  <c r="O50" i="10" s="1"/>
</calcChain>
</file>

<file path=xl/sharedStrings.xml><?xml version="1.0" encoding="utf-8"?>
<sst xmlns="http://schemas.openxmlformats.org/spreadsheetml/2006/main" count="806" uniqueCount="456">
  <si>
    <t>Sri Eshwar College of Engineering</t>
  </si>
  <si>
    <t>Semester</t>
  </si>
  <si>
    <t>Course code and Name:</t>
  </si>
  <si>
    <t>S. No</t>
  </si>
  <si>
    <t>CO1</t>
  </si>
  <si>
    <t>CO2</t>
  </si>
  <si>
    <t>CO3</t>
  </si>
  <si>
    <t>CO4</t>
  </si>
  <si>
    <t>CO5</t>
  </si>
  <si>
    <t>CIA</t>
  </si>
  <si>
    <t>Quiz</t>
  </si>
  <si>
    <t>Program</t>
  </si>
  <si>
    <t>Course Handling Faculty</t>
  </si>
  <si>
    <t>Name of the course coordinator</t>
  </si>
  <si>
    <t>:</t>
  </si>
  <si>
    <t>CO</t>
  </si>
  <si>
    <t>PO1</t>
  </si>
  <si>
    <t>PO2</t>
  </si>
  <si>
    <t>PO3</t>
  </si>
  <si>
    <t>PO4</t>
  </si>
  <si>
    <t>PO5</t>
  </si>
  <si>
    <t>PO6</t>
  </si>
  <si>
    <t>PO7</t>
  </si>
  <si>
    <t>PO8</t>
  </si>
  <si>
    <t>PO9</t>
  </si>
  <si>
    <t>PO10</t>
  </si>
  <si>
    <t>PO11</t>
  </si>
  <si>
    <t>PO12</t>
  </si>
  <si>
    <t>PSO1</t>
  </si>
  <si>
    <t>PSO2</t>
  </si>
  <si>
    <t>CO ATTAINMENT LEVEL DESCRIPTIONS</t>
  </si>
  <si>
    <t>LEVEL</t>
  </si>
  <si>
    <t>TARGET</t>
  </si>
  <si>
    <t>STATEMENT</t>
  </si>
  <si>
    <t>LEVEL 1</t>
  </si>
  <si>
    <t>LEVEL 2</t>
  </si>
  <si>
    <t>Direct Assessment (80% Weightage)</t>
  </si>
  <si>
    <t>Indirect Assessment (20% Weightage)</t>
  </si>
  <si>
    <t>DESCRIPTION</t>
  </si>
  <si>
    <t>LEVEL 3</t>
  </si>
  <si>
    <t>%</t>
  </si>
  <si>
    <t>Total number of Students</t>
  </si>
  <si>
    <t>CO ATTAINMENT</t>
  </si>
  <si>
    <t>CO/PO-PSO</t>
  </si>
  <si>
    <t>COURSE TO PO/PSO MAPPING</t>
  </si>
  <si>
    <t>Name / Designation / Department of course coordinator with sign and date</t>
  </si>
  <si>
    <t>HoD: Name / Designation / Department with sign and date</t>
  </si>
  <si>
    <t>Coimbatore - 641 202</t>
  </si>
  <si>
    <t>Academic Year/Batch</t>
  </si>
  <si>
    <t>CO ASSESSMENT AND EVALUATION</t>
  </si>
  <si>
    <t>80% OF DIRECT ATTAINMENT (A)</t>
  </si>
  <si>
    <t>CO ATTAINMENT STATUS</t>
  </si>
  <si>
    <t>CO1
(40)</t>
  </si>
  <si>
    <t>CO2
(40)</t>
  </si>
  <si>
    <t>CO3
(40)</t>
  </si>
  <si>
    <t>CO4
(40)</t>
  </si>
  <si>
    <t>CO5
(40)</t>
  </si>
  <si>
    <t>ASSIGNMENT</t>
  </si>
  <si>
    <t>Presentation
(100)</t>
  </si>
  <si>
    <t>Quiz
(100)</t>
  </si>
  <si>
    <t xml:space="preserve">(Only through internal assessment)
CO value in % = total numerator / total denominator
(x)
</t>
  </si>
  <si>
    <t xml:space="preserve">(Only through external assessment)
End semester exam (marks % equivalent of grade or individual CO values in %) (y)
</t>
  </si>
  <si>
    <t xml:space="preserve">Final CO attainment value in % 
= 0.4 x+ 0.6 y
(Assuming weightage for internal assessment as 40% and external assessment as 60%)
</t>
  </si>
  <si>
    <t>0.4X</t>
  </si>
  <si>
    <t>0.6Y</t>
  </si>
  <si>
    <t>Total</t>
  </si>
  <si>
    <t>CO1
(10)</t>
  </si>
  <si>
    <t>CO2
(10)</t>
  </si>
  <si>
    <t>CO3
(10)</t>
  </si>
  <si>
    <t>CO4
(10)</t>
  </si>
  <si>
    <t>CO5
(10)</t>
  </si>
  <si>
    <t>CO-PO Mapping Process</t>
  </si>
  <si>
    <t>R2019</t>
  </si>
  <si>
    <t>Step 1:</t>
  </si>
  <si>
    <t>1. Engineering Knowledge</t>
  </si>
  <si>
    <t>2. Problem Analysis</t>
  </si>
  <si>
    <t>3. Design / Development of solutions</t>
  </si>
  <si>
    <t>4. Conduct Investigations of complex problems</t>
  </si>
  <si>
    <t>5. Modern Tool usage</t>
  </si>
  <si>
    <t>1. Engineering science
2. Science fundamentals.
3. Understanding of problems and finding the optimum solution.
4. Project development.</t>
  </si>
  <si>
    <t>Program Outcomes (POs)</t>
  </si>
  <si>
    <t>PSOs</t>
  </si>
  <si>
    <t>CO1-IND</t>
  </si>
  <si>
    <t>CO2-IND</t>
  </si>
  <si>
    <t>CO3 - IND</t>
  </si>
  <si>
    <t>CO4 -IND</t>
  </si>
  <si>
    <t>CO5 -IND</t>
  </si>
  <si>
    <t>CO-PO/PSO MAPPING</t>
  </si>
  <si>
    <t>The final CO-PO/PSO correlation matrix based on weightage taken as a grade.</t>
  </si>
  <si>
    <t>when the value of "C" (contribution percentage) is</t>
  </si>
  <si>
    <t>Strength of correlation</t>
  </si>
  <si>
    <t>Grade to indicate the strength of correlation of CO with PO/PSO</t>
  </si>
  <si>
    <t>Grade in numerals</t>
  </si>
  <si>
    <t>Grade as an alphabet</t>
  </si>
  <si>
    <t>&lt; 25 %</t>
  </si>
  <si>
    <t>No correlation</t>
  </si>
  <si>
    <t>-</t>
  </si>
  <si>
    <t>&gt;= 25% to &lt; 50%</t>
  </si>
  <si>
    <t>Weak correlation</t>
  </si>
  <si>
    <t>W</t>
  </si>
  <si>
    <t>&gt;= 50% to &lt; 75%</t>
  </si>
  <si>
    <t>Medium correlation</t>
  </si>
  <si>
    <t>M</t>
  </si>
  <si>
    <t>&gt;= 75%</t>
  </si>
  <si>
    <t>Strong correlation</t>
  </si>
  <si>
    <t>S</t>
  </si>
  <si>
    <t>FINAL CO-PO/PSO MAPPING</t>
  </si>
  <si>
    <t>Course Articulation Matrix</t>
  </si>
  <si>
    <t>Program Outcomes (PO)</t>
  </si>
  <si>
    <t>Note:</t>
  </si>
  <si>
    <t>CO - PO/PSO MAPPING JUSTIFICATION TABLE</t>
  </si>
  <si>
    <t>Number of key elements of a PO/PSO satisfied by the CO</t>
  </si>
  <si>
    <t>Justification</t>
  </si>
  <si>
    <t>The indirect assessment value is &gt;=</t>
  </si>
  <si>
    <t>% of Marks</t>
  </si>
  <si>
    <t xml:space="preserve">Provide a short (maximum two sentences) explanation on how a CO contributes to the achievement of this </t>
  </si>
  <si>
    <t>PO or PSO by mentioning the key elements of the PO  or PSO satisfied by the CO.</t>
  </si>
  <si>
    <t>CO3  (%)</t>
  </si>
  <si>
    <t>CO4  (%)</t>
  </si>
  <si>
    <t>AVG</t>
  </si>
  <si>
    <t>CO DIRECT ATTAINMENT</t>
  </si>
  <si>
    <t>COURSE END SURVEY</t>
  </si>
  <si>
    <t>CO INDIRECT ATTAINMENT</t>
  </si>
  <si>
    <t>Total Number of 1's</t>
  </si>
  <si>
    <t>Total Number of 2's</t>
  </si>
  <si>
    <t>Total Number of 3's</t>
  </si>
  <si>
    <t>Total Number of 4's</t>
  </si>
  <si>
    <t>Total Number of 5's</t>
  </si>
  <si>
    <t>CO attainment Value in % = {[(1 x Count of Scale Value 1 + 2 x Count of Scale Value 2 + 3 x Count of Scale Value 3 + 4 x Count of Scale Value 4 + 5 x Count of Scale Value 5)/Total no. of students]/5} x 100</t>
  </si>
  <si>
    <t xml:space="preserve">CO ATTAINMENT </t>
  </si>
  <si>
    <t>OVERALL CO ATTAINMENT (A+B)</t>
  </si>
  <si>
    <t>20% OF INDIRECT ATTAINMENT (B)</t>
  </si>
  <si>
    <t>CO TARGET VALUE</t>
  </si>
  <si>
    <t xml:space="preserve">CO-PO/PSO MAPPING </t>
  </si>
  <si>
    <t>PO/PSO ATTAINMENT THROUGH COURSE</t>
  </si>
  <si>
    <t xml:space="preserve">COURSE TO PO/PSO ATTAINMENT </t>
  </si>
  <si>
    <t>Name / Designation / Department of module coordinator with sign and date</t>
  </si>
  <si>
    <t>Course Outcomes</t>
  </si>
  <si>
    <t>CO Target</t>
  </si>
  <si>
    <t>Final CO Attainment</t>
  </si>
  <si>
    <t>(Actions suggested with respect to - Curriculum Interventions, Pedagogical Initiatives, and Support System Improvements)</t>
  </si>
  <si>
    <t>Regulation</t>
  </si>
  <si>
    <t>Course Code</t>
  </si>
  <si>
    <t>Course Name</t>
  </si>
  <si>
    <t>Course handling Faculty</t>
  </si>
  <si>
    <t>Course Coordinator</t>
  </si>
  <si>
    <t>Academic Year</t>
  </si>
  <si>
    <t>Batch</t>
  </si>
  <si>
    <t>Total Number of Students</t>
  </si>
  <si>
    <t>Direct Attainment Level as per the Description</t>
  </si>
  <si>
    <t>Indirect Attainment Level as per the Description</t>
  </si>
  <si>
    <t>Evaluation of COs and Action Proposed to Improve CO's not attained</t>
  </si>
  <si>
    <t>ROLL NUM</t>
  </si>
  <si>
    <t>REGISTER
NUMBER</t>
  </si>
  <si>
    <t>NAME OF THE STUDENT</t>
  </si>
  <si>
    <t xml:space="preserve">CO DIRECT ATTAINMENT </t>
  </si>
  <si>
    <t>Target for CO Assessment (%)</t>
  </si>
  <si>
    <t>PO/PSO</t>
  </si>
  <si>
    <t>DETAILS</t>
  </si>
  <si>
    <t>KEY ELEMENTS</t>
  </si>
  <si>
    <t>NUMBER OF
KEY
ELEMENTS</t>
  </si>
  <si>
    <t>CIA+ASSIGNMENT+PRESENTATION/
TUTORIAL+ QUIZ
(X)
X = (Total marks scored in particular CO / Total Denominator)*100</t>
  </si>
  <si>
    <t>DIRECT ATTAINMENT =
(0.4X + 0.6Y)
%</t>
  </si>
  <si>
    <t>CO ATT</t>
  </si>
  <si>
    <t>DIRECT ATTAINMENT
(0.4X + 0.6Y)</t>
  </si>
  <si>
    <t>CO1 (Key)</t>
  </si>
  <si>
    <t>CO2 (Key)</t>
  </si>
  <si>
    <t>CO3 (Key)</t>
  </si>
  <si>
    <t>CO4 (Key)</t>
  </si>
  <si>
    <t>CO5 (Key)</t>
  </si>
  <si>
    <t>CO5 (%)</t>
  </si>
  <si>
    <t>CO2 (%)</t>
  </si>
  <si>
    <t>CO1 (%)</t>
  </si>
  <si>
    <t>THROUH DIRECT ATTAINMENT
INDIVIDUAL CO DIRECT ATTAINMENT  &gt;= Target % ?</t>
  </si>
  <si>
    <t xml:space="preserve">Total Number of Students securing Target % and above in Direct Assessment </t>
  </si>
  <si>
    <t>CO/PO&amp;PSO Mappings (S/M/W indicates strength of correlation)
S - (3) Strong, M (2) - Medium, W (1) - Weak</t>
  </si>
  <si>
    <t>Assignment</t>
  </si>
  <si>
    <t>Presentation / Tutorial</t>
  </si>
  <si>
    <t>Matrix showning the " the number of key elements of a PO/PSO satisfied by the CO"</t>
  </si>
  <si>
    <t>The justification for mapping a CO to a Particular PO/PSO</t>
  </si>
  <si>
    <t>Number of key elements of a PO / PSO satisfied by the CO</t>
  </si>
  <si>
    <t>PO / PSO</t>
  </si>
  <si>
    <t>Year / Semester</t>
  </si>
  <si>
    <t>&lt; 60% of Students scoring &gt;=</t>
  </si>
  <si>
    <t>&gt;= 70% of Students scoring &gt;=</t>
  </si>
  <si>
    <t>&gt;= 60 &amp; &lt; 70% of Students scoring &gt;=</t>
  </si>
  <si>
    <t>no of no zero</t>
  </si>
  <si>
    <t>sum</t>
  </si>
  <si>
    <t>Average</t>
  </si>
  <si>
    <t xml:space="preserve">Apply the knowledge of mathematics, science, engineering fundamentals, and an engineering specialization to the solution of complex engineering problems. </t>
  </si>
  <si>
    <t>1. Knowledge of maths
2. Sicence fundamentals
3. Engineering fundamentals
4. Engineering knowledge specific to the program</t>
  </si>
  <si>
    <t>Identify, formulate, review research literature, and analyze complex engineering problems reaching substantiated conclusions using first principles of mathematics, natural sciences, and engineering sciences.</t>
  </si>
  <si>
    <t>1. Indentify and formulate
2. Review research literature
3. Using first principles of maths
4. Natural sciences
5. Engineering science</t>
  </si>
  <si>
    <t xml:space="preserve">Design solutions for complex engineering problems and design system components or processes that meet the specified needs with appropriate consideration for the public health and safety, and the cultural, societal, and environmental considerations. </t>
  </si>
  <si>
    <t>1. Design system components or processes
2. Public health and safety
3. Cultural
4. Societal
5. Environment consideration</t>
  </si>
  <si>
    <t xml:space="preserve">Use research-based knowledge and research methods including design of experiments, analysis and interpretation of data, and synthesis of the information to provide valid conclusions. </t>
  </si>
  <si>
    <t>1. Desgin of experiments
2. Analysis of data
3. Interpretation of data
4. Synthesis of the information</t>
  </si>
  <si>
    <t xml:space="preserve">Create, select, and apply appropriate techniques, resources, and modern engineering and IT tools including prediction and modeling to complex engineering activities with an understanding of the limitations. </t>
  </si>
  <si>
    <t>1. Create
2. Select and apply appropriate techniques / resources
3. Modern engineering tools
4. IT Tools</t>
  </si>
  <si>
    <t>6. The Engineer and Society</t>
  </si>
  <si>
    <t xml:space="preserve">Apply reasoning informed by the contextual knowledge to assess societal, health, safety, legal and cultural issues and the consequent responsibilities relevant to the professional engineering practice. </t>
  </si>
  <si>
    <t>1. Assess societal issues
2. Assess cultural issues
3. Health and safety issues
4. Legal issues
5. The consequent responsibilities relevant to the professional engineering practices</t>
  </si>
  <si>
    <t>7. Environment and Sustainability</t>
  </si>
  <si>
    <t xml:space="preserve">Understand the impact of the professional engineering solutions in societal and environmental contexts, and demonstrate the knowledge of, and need for sustainable development. </t>
  </si>
  <si>
    <t>1. Impact of the professional engineering solutions in societal context
2. Impact of hte professional engineering solutions in environmental contexts
3. Sustainable development</t>
  </si>
  <si>
    <t>8. Ethics</t>
  </si>
  <si>
    <t xml:space="preserve">Apply ethical principles and commit to professional ethics and responsibilities and norms of the engineering practice. </t>
  </si>
  <si>
    <t>1. Ethical principles
2. Commit to professional ethics.
3. Responsbilities of the engineering practice.
4. Responsibilities and norms of the engineering practice.</t>
  </si>
  <si>
    <t>9. Individual and Teamwork</t>
  </si>
  <si>
    <t>Function effectively as an individual, and as a member or leader in diverse teams, and in multidisciplinary settings.</t>
  </si>
  <si>
    <t>1. Funtional individuality
2. Function as a member or leader in diverse teams
3. Function in multidisciplinary settings</t>
  </si>
  <si>
    <t>10. Communication</t>
  </si>
  <si>
    <t xml:space="preserve">Communicate effectively on complex engineering activities with the engineering community and with society at large, such as, being able to comprehend and write effective reports and design documentation, make effective presentations, and give and receive clear instructions. </t>
  </si>
  <si>
    <t>1. Communicate complex engneering activities with the engineering community.
2. Communicate complex engineering activites with society.
3. Comprehend and write effective reports and design documentation.
4. Make effective presentations.
5. Give and receive clear instructions.</t>
  </si>
  <si>
    <t>11. Project Management and finance</t>
  </si>
  <si>
    <t xml:space="preserve">Demonstrate knowledge and understanding of the engineering and management principles and apply these to one’s own work, as a member and leader in a team, to manage projects and in multidisciplinary environments. </t>
  </si>
  <si>
    <t>1. Engineering principles.
2. Mangament principles.
3. Apply to one's own work.
4. Member and leader in a team.
5. Manage projects.
6. Multidisciplinary environments.</t>
  </si>
  <si>
    <t>12. Life long learning</t>
  </si>
  <si>
    <t xml:space="preserve">Recognize the need for, and have the preparation and ability to engage in independent and life-long learning in the broadest context of technological change. </t>
  </si>
  <si>
    <t>1. Engage in independent learning.
2. Life-long learning.
3. Technological change.</t>
  </si>
  <si>
    <t>The program outocmes of a UG program (12 in number)+ 2 PSOs are shown.</t>
  </si>
  <si>
    <t>Key</t>
  </si>
  <si>
    <t>The key elements of PO1 to PO12 and PSOs</t>
  </si>
  <si>
    <t>End Semester Marks</t>
  </si>
  <si>
    <t>END SEMESTER MARKS (%)
(Y)</t>
  </si>
  <si>
    <t>Department of Computer and Communication Engineering</t>
  </si>
  <si>
    <t>BE-CCE</t>
  </si>
  <si>
    <t>III/VI</t>
  </si>
  <si>
    <t>R19IT303</t>
  </si>
  <si>
    <t>CRYPTOGRAPHY AND CYBERSECURITY</t>
  </si>
  <si>
    <t>R.PREETHI</t>
  </si>
  <si>
    <t>Dr K.Sivakumar</t>
  </si>
  <si>
    <t>2024-25</t>
  </si>
  <si>
    <t>2022-26</t>
  </si>
  <si>
    <t>Apply the concepts of computer and communication systems to develop software for different applications.</t>
  </si>
  <si>
    <t>Acquire skills and knowledge to solve real-time challenges in communication networks</t>
  </si>
  <si>
    <t>Apply principles of basic communication systems to design basic modulation schemes for efficient signal transmission.</t>
  </si>
  <si>
    <t>Make use of Symmetric and Asymmetric encryption techniques to solve cryptographic problems.</t>
  </si>
  <si>
    <t>Apply the different cryptographic operations of public key cryptography.</t>
  </si>
  <si>
    <t>Analyze security services in Application, Transport and Network layers.</t>
  </si>
  <si>
    <t>Examine common web application security vulnerabilities and various prevention mechanisms.</t>
  </si>
  <si>
    <t>22CC001</t>
  </si>
  <si>
    <t>722822115001</t>
  </si>
  <si>
    <t>AFREED S</t>
  </si>
  <si>
    <t>22CC002</t>
  </si>
  <si>
    <t>722822115002</t>
  </si>
  <si>
    <t>AJAY J</t>
  </si>
  <si>
    <t>22CC003</t>
  </si>
  <si>
    <t>722822115003</t>
  </si>
  <si>
    <t>AKSHAYAN K</t>
  </si>
  <si>
    <t>22CC004</t>
  </si>
  <si>
    <t>722822115004</t>
  </si>
  <si>
    <t>DARSHAN R B</t>
  </si>
  <si>
    <t>22CC005</t>
  </si>
  <si>
    <t>722822115005</t>
  </si>
  <si>
    <t>DEEPAK RAJA M</t>
  </si>
  <si>
    <t>22CC006</t>
  </si>
  <si>
    <t>722822115006</t>
  </si>
  <si>
    <t>DHANUSHPRIYAN S</t>
  </si>
  <si>
    <t>22CC007</t>
  </si>
  <si>
    <t>722822115007</t>
  </si>
  <si>
    <t>DHARSHINI K</t>
  </si>
  <si>
    <t>22CC008</t>
  </si>
  <si>
    <t>722822115008</t>
  </si>
  <si>
    <t>DHEVADHARSHINI M</t>
  </si>
  <si>
    <t>22CC009</t>
  </si>
  <si>
    <t>722822115009</t>
  </si>
  <si>
    <t>DINESH R</t>
  </si>
  <si>
    <t>22CC010</t>
  </si>
  <si>
    <t>722822115010</t>
  </si>
  <si>
    <t>ELANGO T</t>
  </si>
  <si>
    <t>22CC011</t>
  </si>
  <si>
    <t>722822115011</t>
  </si>
  <si>
    <t>GAYATHIRI K</t>
  </si>
  <si>
    <t>22CC012</t>
  </si>
  <si>
    <t>722822115012</t>
  </si>
  <si>
    <t>GNANARIDDHIKA R</t>
  </si>
  <si>
    <t>22CC013</t>
  </si>
  <si>
    <t>722822115013</t>
  </si>
  <si>
    <t>GOKUL G</t>
  </si>
  <si>
    <t>22CC014</t>
  </si>
  <si>
    <t>722822115014</t>
  </si>
  <si>
    <t>GOKUL K</t>
  </si>
  <si>
    <t>22CC015</t>
  </si>
  <si>
    <t>722822115015</t>
  </si>
  <si>
    <t>GOPINATH S</t>
  </si>
  <si>
    <t>22CC016</t>
  </si>
  <si>
    <t>722822115016</t>
  </si>
  <si>
    <t>HARIBABU T</t>
  </si>
  <si>
    <t>22CC017</t>
  </si>
  <si>
    <t>722822115017</t>
  </si>
  <si>
    <t>HARIBRAGAADESH T A</t>
  </si>
  <si>
    <t>22CC018</t>
  </si>
  <si>
    <t>722822115018</t>
  </si>
  <si>
    <t>HARITHA R</t>
  </si>
  <si>
    <t>22CC019</t>
  </si>
  <si>
    <t>722822115019</t>
  </si>
  <si>
    <t>JANANI M</t>
  </si>
  <si>
    <t>22CC020</t>
  </si>
  <si>
    <t>722822115020</t>
  </si>
  <si>
    <t>KABINESH S</t>
  </si>
  <si>
    <t>22CC021</t>
  </si>
  <si>
    <t>722822115021</t>
  </si>
  <si>
    <t>KAMALESH R</t>
  </si>
  <si>
    <t>22CC022</t>
  </si>
  <si>
    <t>722822115022</t>
  </si>
  <si>
    <t>KARTHICK M G</t>
  </si>
  <si>
    <t>22CC023</t>
  </si>
  <si>
    <t>722822115023</t>
  </si>
  <si>
    <t>KARTHIK S</t>
  </si>
  <si>
    <t>22CC024</t>
  </si>
  <si>
    <t>722822115024</t>
  </si>
  <si>
    <t>KATHIRVEL R</t>
  </si>
  <si>
    <t>22CC025</t>
  </si>
  <si>
    <t>722822115025</t>
  </si>
  <si>
    <t>KAVIYA A</t>
  </si>
  <si>
    <t>22CC026</t>
  </si>
  <si>
    <t>722822115026</t>
  </si>
  <si>
    <t>LOGESHWARAN V</t>
  </si>
  <si>
    <t>22CC027</t>
  </si>
  <si>
    <t>722822115027</t>
  </si>
  <si>
    <t>MADHAN A</t>
  </si>
  <si>
    <t>22CC028</t>
  </si>
  <si>
    <t>722822115028</t>
  </si>
  <si>
    <t>MANGAIYARKARASI R</t>
  </si>
  <si>
    <t>22CC029</t>
  </si>
  <si>
    <t>722822115029</t>
  </si>
  <si>
    <t>MOHAMED AFSAR A</t>
  </si>
  <si>
    <t>22CC030</t>
  </si>
  <si>
    <t>722822115030</t>
  </si>
  <si>
    <t>MUTHU RAJA S</t>
  </si>
  <si>
    <t>22CC031</t>
  </si>
  <si>
    <t>722822115031</t>
  </si>
  <si>
    <t>MUTHUVEL A</t>
  </si>
  <si>
    <t>22CC032</t>
  </si>
  <si>
    <t>722822115032</t>
  </si>
  <si>
    <t>NARAYANI S</t>
  </si>
  <si>
    <t>22CC033</t>
  </si>
  <si>
    <t>722822115033</t>
  </si>
  <si>
    <t>NAVEEN K S</t>
  </si>
  <si>
    <t>22CC034</t>
  </si>
  <si>
    <t>722822115034</t>
  </si>
  <si>
    <t>NIRMALKUMAR M</t>
  </si>
  <si>
    <t>22CC035</t>
  </si>
  <si>
    <t>722822115035</t>
  </si>
  <si>
    <t>PRAKASH KUMAR M</t>
  </si>
  <si>
    <t>22CC036</t>
  </si>
  <si>
    <t>722822115036</t>
  </si>
  <si>
    <t>PRASANNAKUMAR V G</t>
  </si>
  <si>
    <t>22CC037</t>
  </si>
  <si>
    <t>722822115037</t>
  </si>
  <si>
    <t>PUGALENTHI A S</t>
  </si>
  <si>
    <t>22CC038</t>
  </si>
  <si>
    <t>722822115038</t>
  </si>
  <si>
    <t>RAJESH KUMAR M</t>
  </si>
  <si>
    <t>22CC039</t>
  </si>
  <si>
    <t>722822115039</t>
  </si>
  <si>
    <t>RENUKA K</t>
  </si>
  <si>
    <t>22CC040</t>
  </si>
  <si>
    <t>722822115040</t>
  </si>
  <si>
    <t>RISHAB S</t>
  </si>
  <si>
    <t>22CC041</t>
  </si>
  <si>
    <t>722822115041</t>
  </si>
  <si>
    <t>RITHIKA S</t>
  </si>
  <si>
    <t>22CC042</t>
  </si>
  <si>
    <t>722822115042</t>
  </si>
  <si>
    <t>RITHISH S</t>
  </si>
  <si>
    <t>22CC043</t>
  </si>
  <si>
    <t>722822115043</t>
  </si>
  <si>
    <t>ROHIT K S</t>
  </si>
  <si>
    <t>22CC044</t>
  </si>
  <si>
    <t>722822115044</t>
  </si>
  <si>
    <t>SAKTHI VIGNESH S</t>
  </si>
  <si>
    <t>22CC045</t>
  </si>
  <si>
    <t>722822115045</t>
  </si>
  <si>
    <t>SAKTHIVEL M</t>
  </si>
  <si>
    <t>22CC046</t>
  </si>
  <si>
    <t>722822115046</t>
  </si>
  <si>
    <t>SAMRAAT M</t>
  </si>
  <si>
    <t>22CC047</t>
  </si>
  <si>
    <t>722822115047</t>
  </si>
  <si>
    <t>SHANMUGAPRIYA M</t>
  </si>
  <si>
    <t>22CC048</t>
  </si>
  <si>
    <t>722822115048</t>
  </si>
  <si>
    <t>SHRINAYA S K</t>
  </si>
  <si>
    <t>22CC049</t>
  </si>
  <si>
    <t>722822115049</t>
  </si>
  <si>
    <t>SIDDARTHAN S</t>
  </si>
  <si>
    <t>22CC050</t>
  </si>
  <si>
    <t>722822115050</t>
  </si>
  <si>
    <t>SIVANANTHAM A</t>
  </si>
  <si>
    <t>22CC051</t>
  </si>
  <si>
    <t>722822115051</t>
  </si>
  <si>
    <t>SOFIYA NIVEDHINI  J</t>
  </si>
  <si>
    <t>22CC052</t>
  </si>
  <si>
    <t>722822115052</t>
  </si>
  <si>
    <t>SOWBHARNIKA  P G</t>
  </si>
  <si>
    <t>22CC053</t>
  </si>
  <si>
    <t>722822115053</t>
  </si>
  <si>
    <t>SREEMATHI S</t>
  </si>
  <si>
    <t>22CC054</t>
  </si>
  <si>
    <t>722822115054</t>
  </si>
  <si>
    <t>SRINIDHI P S</t>
  </si>
  <si>
    <t>22CC055</t>
  </si>
  <si>
    <t>722822115055</t>
  </si>
  <si>
    <t>SUGIRTHA VARDHINI  M</t>
  </si>
  <si>
    <t>22CC056</t>
  </si>
  <si>
    <t>722822115056</t>
  </si>
  <si>
    <t>SURRYA BHAARATHI S A</t>
  </si>
  <si>
    <t>22CC057</t>
  </si>
  <si>
    <t>722822115057</t>
  </si>
  <si>
    <t>SWETHA S</t>
  </si>
  <si>
    <t>22CC058</t>
  </si>
  <si>
    <t>722822115058</t>
  </si>
  <si>
    <t>TAMILKUMARAN N</t>
  </si>
  <si>
    <t>22CC059</t>
  </si>
  <si>
    <t>722822115059</t>
  </si>
  <si>
    <t>VEDHA KAVYA SRI P</t>
  </si>
  <si>
    <t>22CC060</t>
  </si>
  <si>
    <t>722822115060</t>
  </si>
  <si>
    <t>VISHAL KUMAR S</t>
  </si>
  <si>
    <t>22CC061</t>
  </si>
  <si>
    <t>722822115061</t>
  </si>
  <si>
    <t>YALINI S</t>
  </si>
  <si>
    <t>22CC062</t>
  </si>
  <si>
    <t>722822115062</t>
  </si>
  <si>
    <t>YASHWANTH B</t>
  </si>
  <si>
    <t>22CC063</t>
  </si>
  <si>
    <t>722822115063</t>
  </si>
  <si>
    <t>YUKESH R</t>
  </si>
  <si>
    <t>22CC301</t>
  </si>
  <si>
    <t>722822115301</t>
  </si>
  <si>
    <t>AJITH DAS S</t>
  </si>
  <si>
    <t>22CC302</t>
  </si>
  <si>
    <t>722822115302</t>
  </si>
  <si>
    <t>RAKESH M</t>
  </si>
  <si>
    <t>strongly supports PO1 by enabling students to apply core engineering knowledge of communication systems and modulation techniques to design efficient signal transmission mechanisms.</t>
  </si>
  <si>
    <t>moderately contributes to PO2 by facilitating analytical understanding of modulation schemes and their performance characteristics in communication systems.</t>
  </si>
  <si>
    <t>weakly supports PSO2 by introducing foundational concepts relevant to communication technologies that are applicable in domain-specific security and networking contexts.</t>
  </si>
  <si>
    <t>strongly aligns with PO1 by applying fundamental engineering principles of cryptography to solve real-world security problems.</t>
  </si>
  <si>
    <t>moderately supports PO2 through analysis and selection of appropriate symmetric and asymmetric encryption techniques for given problem scenarios.</t>
  </si>
  <si>
    <t>weakly contributes to PO3 by requiring students to design simple cryptographic solutions using standard encryption algorithms.</t>
  </si>
  <si>
    <t>weakly maps to PSO2 by exposing students to cryptographic mechanisms relevant to secure system development.</t>
  </si>
  <si>
    <t>strongly supports PO1 by reinforcing the application of mathematical and engineering principles underlying public key cryptographic operations.</t>
  </si>
  <si>
    <t>moderately aligns with PO3 through the application of cryptographic operations in the design and implementation of secure communication mechanisms.</t>
  </si>
  <si>
    <t>weakly contributes to PO12 by encouraging awareness of security standards and practices related to cryptographic systems.</t>
  </si>
  <si>
    <t>weakly supports PSO2 by applying public key cryptography concepts relevant to domain-specific secure applications.</t>
  </si>
  <si>
    <t>strongly aligns with PO2 by enabling systematic analysis of security services across different layers of network architecture.</t>
  </si>
  <si>
    <t>weakly supports PO4 through investigation and interpretation of security mechanisms in layered network environments.</t>
  </si>
  <si>
    <t>weakly contributes to PO12 by emphasizing standard security services and protocols used across network layers.</t>
  </si>
  <si>
    <t>weakly maps to PSO1 by analyzing security services relevant to professional practice in networking and system security.</t>
  </si>
  <si>
    <t>strongly supports PO2 by enabling in-depth analysis of web application vulnerabilities and corresponding mitigation strategies.</t>
  </si>
  <si>
    <t>weakly contributes to PO3 through the application of preventive mechanisms in designing secure web applications.</t>
  </si>
  <si>
    <t>weakly aligns with PO4 by examining investigation techniques for identifying and preventing web-based security threats.</t>
  </si>
  <si>
    <t>weakly supports PO12 by reinforcing awareness of security standards and best practices in web application security.</t>
  </si>
  <si>
    <t>weakly maps to PSO1 by addressing domain-specific security concerns in web-based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</si>
</sst>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
  </numFmts>
  <fonts count="24" x14ac:knownFonts="1">
    <font>
      <sz val="11"/>
      <color theme="1"/>
      <name val="Calibri"/>
      <family val="2"/>
      <scheme val="minor"/>
    </font>
    <font>
      <b/>
      <sz val="11"/>
      <color theme="1"/>
      <name val="Calibri"/>
      <family val="2"/>
      <scheme val="minor"/>
    </font>
    <font>
      <sz val="12"/>
      <color theme="1"/>
      <name val="Calibri"/>
      <family val="2"/>
      <scheme val="minor"/>
    </font>
    <font>
      <sz val="18"/>
      <color theme="1"/>
      <name val="Calibri"/>
      <family val="2"/>
      <scheme val="minor"/>
    </font>
    <font>
      <sz val="18"/>
      <color theme="1"/>
      <name val="Wingdings"/>
      <charset val="2"/>
    </font>
    <font>
      <b/>
      <sz val="11"/>
      <color theme="1"/>
      <name val="Cambria"/>
      <family val="1"/>
      <scheme val="major"/>
    </font>
    <font>
      <sz val="11"/>
      <color theme="1"/>
      <name val="Cambria"/>
      <family val="1"/>
      <scheme val="major"/>
    </font>
    <font>
      <b/>
      <sz val="18"/>
      <color theme="1"/>
      <name val="Cambria"/>
      <family val="1"/>
      <scheme val="major"/>
    </font>
    <font>
      <sz val="18"/>
      <color theme="1"/>
      <name val="Cambria"/>
      <family val="1"/>
      <scheme val="major"/>
    </font>
    <font>
      <sz val="18"/>
      <color rgb="FF202124"/>
      <name val="Cambria"/>
      <family val="1"/>
      <scheme val="major"/>
    </font>
    <font>
      <b/>
      <sz val="18"/>
      <name val="Cambria"/>
      <family val="1"/>
      <scheme val="major"/>
    </font>
    <font>
      <sz val="22"/>
      <color theme="1"/>
      <name val="Cambria"/>
      <family val="1"/>
      <scheme val="major"/>
    </font>
    <font>
      <sz val="14"/>
      <color theme="1"/>
      <name val="Cambria"/>
      <family val="1"/>
      <scheme val="major"/>
    </font>
    <font>
      <sz val="20"/>
      <color theme="1"/>
      <name val="Cambria"/>
      <family val="1"/>
      <scheme val="major"/>
    </font>
    <font>
      <sz val="8"/>
      <name val="Calibri"/>
      <family val="2"/>
      <scheme val="minor"/>
    </font>
    <font>
      <sz val="16"/>
      <color theme="1"/>
      <name val="Cambria"/>
      <family val="1"/>
      <scheme val="major"/>
    </font>
    <font>
      <b/>
      <sz val="16"/>
      <color theme="1"/>
      <name val="Cambria"/>
      <family val="1"/>
      <scheme val="major"/>
    </font>
    <font>
      <b/>
      <sz val="20"/>
      <color theme="1"/>
      <name val="Cambria"/>
      <family val="1"/>
      <scheme val="major"/>
    </font>
    <font>
      <b/>
      <sz val="24"/>
      <color theme="1"/>
      <name val="Cambria"/>
      <family val="1"/>
      <scheme val="major"/>
    </font>
    <font>
      <b/>
      <sz val="26"/>
      <color theme="1"/>
      <name val="Cambria"/>
      <family val="1"/>
      <scheme val="major"/>
    </font>
    <font>
      <sz val="20"/>
      <color theme="1"/>
      <name val="Cambria"/>
      <family val="1"/>
    </font>
    <font>
      <b/>
      <u/>
      <sz val="24"/>
      <color theme="1"/>
      <name val="Cambria"/>
      <family val="1"/>
      <scheme val="major"/>
    </font>
    <font>
      <sz val="18"/>
      <color theme="1"/>
      <name val="Cambria"/>
      <family val="1"/>
    </font>
    <font>
      <b/>
      <sz val="8"/>
      <color theme="1"/>
      <name val="Cambria"/>
      <family val="1"/>
      <scheme val="major"/>
    </font>
  </fonts>
  <fills count="1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86">
    <xf numFmtId="0" fontId="0" fillId="0" borderId="0" xfId="0"/>
    <xf numFmtId="0" fontId="0" fillId="0" borderId="1" xfId="0" applyBorder="1" applyAlignment="1">
      <alignment horizontal="center"/>
    </xf>
    <xf numFmtId="0" fontId="1" fillId="0" borderId="0" xfId="0" applyFont="1" applyAlignment="1">
      <alignment horizontal="left"/>
    </xf>
    <xf numFmtId="0" fontId="1" fillId="0" borderId="0" xfId="0" applyFont="1" applyAlignment="1">
      <alignment horizontal="center"/>
    </xf>
    <xf numFmtId="0" fontId="0" fillId="0" borderId="0" xfId="0" applyAlignment="1">
      <alignment horizontal="left"/>
    </xf>
    <xf numFmtId="0" fontId="1" fillId="0" borderId="1" xfId="0" applyFont="1" applyBorder="1" applyAlignment="1">
      <alignment horizontal="center"/>
    </xf>
    <xf numFmtId="0" fontId="1" fillId="0" borderId="0" xfId="0" applyFont="1"/>
    <xf numFmtId="1" fontId="0" fillId="0" borderId="1" xfId="0" applyNumberFormat="1" applyBorder="1" applyAlignment="1">
      <alignment horizontal="center"/>
    </xf>
    <xf numFmtId="1" fontId="0" fillId="0" borderId="1" xfId="0" applyNumberFormat="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left"/>
    </xf>
    <xf numFmtId="0" fontId="1" fillId="2" borderId="4" xfId="0" applyFont="1" applyFill="1" applyBorder="1" applyAlignment="1">
      <alignment horizontal="center" vertical="center" wrapText="1"/>
    </xf>
    <xf numFmtId="0" fontId="1" fillId="0" borderId="0" xfId="0" applyFont="1" applyAlignment="1">
      <alignment horizontal="center" vertical="center" wrapText="1"/>
    </xf>
    <xf numFmtId="0" fontId="1" fillId="0" borderId="7" xfId="0" applyFont="1" applyBorder="1" applyAlignment="1">
      <alignment vertical="center"/>
    </xf>
    <xf numFmtId="0" fontId="7" fillId="0" borderId="1" xfId="0" applyFont="1" applyBorder="1" applyAlignment="1">
      <alignment horizontal="center" vertical="center"/>
    </xf>
    <xf numFmtId="0" fontId="7" fillId="0" borderId="0" xfId="0" applyFont="1" applyAlignment="1">
      <alignment horizontal="center" vertical="center"/>
    </xf>
    <xf numFmtId="0" fontId="8" fillId="0" borderId="0" xfId="0" applyFont="1" applyAlignment="1">
      <alignment horizontal="left" vertical="center" wrapText="1"/>
    </xf>
    <xf numFmtId="0" fontId="7" fillId="2" borderId="1" xfId="0" applyFont="1" applyFill="1" applyBorder="1" applyAlignment="1">
      <alignment horizontal="center" vertical="center"/>
    </xf>
    <xf numFmtId="0" fontId="8" fillId="0" borderId="1" xfId="0" applyFont="1" applyBorder="1" applyAlignment="1">
      <alignment horizontal="center" vertical="center"/>
    </xf>
    <xf numFmtId="1" fontId="8" fillId="0" borderId="1" xfId="0" applyNumberFormat="1" applyFont="1" applyBorder="1" applyAlignment="1">
      <alignment horizontal="center" vertical="center"/>
    </xf>
    <xf numFmtId="0" fontId="7" fillId="5" borderId="1" xfId="0" applyFont="1" applyFill="1" applyBorder="1" applyAlignment="1">
      <alignment horizontal="center" vertical="center"/>
    </xf>
    <xf numFmtId="0" fontId="8" fillId="0" borderId="0" xfId="0" applyFont="1" applyAlignment="1">
      <alignment vertical="center"/>
    </xf>
    <xf numFmtId="0" fontId="7" fillId="0" borderId="0" xfId="0" applyFont="1" applyAlignment="1">
      <alignment vertical="center"/>
    </xf>
    <xf numFmtId="0" fontId="8" fillId="3" borderId="1" xfId="0" applyFont="1" applyFill="1" applyBorder="1" applyAlignment="1">
      <alignment vertical="center"/>
    </xf>
    <xf numFmtId="0" fontId="8" fillId="2" borderId="1" xfId="0" applyFont="1" applyFill="1" applyBorder="1" applyAlignment="1">
      <alignment vertical="center"/>
    </xf>
    <xf numFmtId="0" fontId="9" fillId="0" borderId="0" xfId="0" applyFont="1" applyAlignment="1">
      <alignment vertical="center"/>
    </xf>
    <xf numFmtId="0" fontId="8" fillId="0" borderId="0" xfId="0" applyFont="1" applyAlignment="1">
      <alignment horizontal="center" vertical="center"/>
    </xf>
    <xf numFmtId="0" fontId="7" fillId="0" borderId="13" xfId="0" applyFont="1" applyBorder="1" applyAlignment="1">
      <alignment vertical="center"/>
    </xf>
    <xf numFmtId="0" fontId="8" fillId="0" borderId="15" xfId="0" applyFont="1" applyBorder="1" applyAlignment="1">
      <alignment vertical="center"/>
    </xf>
    <xf numFmtId="0" fontId="8" fillId="0" borderId="13" xfId="0" applyFont="1" applyBorder="1" applyAlignment="1">
      <alignment vertical="center"/>
    </xf>
    <xf numFmtId="0" fontId="8" fillId="0" borderId="8" xfId="0" applyFont="1" applyBorder="1" applyAlignment="1">
      <alignment vertical="center"/>
    </xf>
    <xf numFmtId="0" fontId="8" fillId="0" borderId="7" xfId="0" applyFont="1" applyBorder="1" applyAlignment="1">
      <alignment vertical="center"/>
    </xf>
    <xf numFmtId="0" fontId="8" fillId="0" borderId="12" xfId="0" applyFont="1" applyBorder="1" applyAlignment="1">
      <alignment vertical="center"/>
    </xf>
    <xf numFmtId="0" fontId="6" fillId="0" borderId="0" xfId="0" applyFont="1" applyAlignment="1">
      <alignment vertical="center"/>
    </xf>
    <xf numFmtId="0" fontId="8" fillId="3"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8" fillId="0" borderId="6"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2" fontId="7" fillId="0" borderId="1" xfId="0" applyNumberFormat="1" applyFont="1" applyBorder="1" applyAlignment="1">
      <alignment horizontal="center" vertical="center" wrapText="1"/>
    </xf>
    <xf numFmtId="0" fontId="6" fillId="0" borderId="0" xfId="0" applyFont="1" applyAlignment="1">
      <alignment vertical="center" wrapText="1"/>
    </xf>
    <xf numFmtId="2" fontId="8" fillId="0" borderId="1" xfId="0" applyNumberFormat="1" applyFont="1" applyBorder="1" applyAlignment="1">
      <alignment horizontal="center" vertical="center"/>
    </xf>
    <xf numFmtId="2" fontId="6" fillId="0" borderId="0" xfId="0" applyNumberFormat="1" applyFont="1" applyAlignment="1">
      <alignment vertical="center"/>
    </xf>
    <xf numFmtId="0" fontId="7" fillId="2" borderId="26" xfId="0" applyFont="1" applyFill="1" applyBorder="1" applyAlignment="1">
      <alignment horizontal="center" vertical="center"/>
    </xf>
    <xf numFmtId="1" fontId="8" fillId="0" borderId="26" xfId="0" applyNumberFormat="1" applyFont="1" applyBorder="1" applyAlignment="1">
      <alignment horizontal="center" vertical="center"/>
    </xf>
    <xf numFmtId="1" fontId="8" fillId="7" borderId="24" xfId="0" applyNumberFormat="1" applyFont="1" applyFill="1" applyBorder="1" applyAlignment="1">
      <alignment horizontal="center" vertical="center"/>
    </xf>
    <xf numFmtId="0" fontId="2" fillId="0" borderId="0" xfId="0" applyFont="1" applyAlignment="1">
      <alignment vertical="center"/>
    </xf>
    <xf numFmtId="0" fontId="5"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vertical="center"/>
    </xf>
    <xf numFmtId="0" fontId="3" fillId="0" borderId="0" xfId="0" applyFont="1" applyAlignment="1">
      <alignment vertical="center"/>
    </xf>
    <xf numFmtId="0" fontId="8" fillId="0" borderId="21" xfId="0" applyFont="1" applyBorder="1" applyAlignment="1">
      <alignment horizontal="center" vertical="center"/>
    </xf>
    <xf numFmtId="0" fontId="4" fillId="0" borderId="1" xfId="0" applyFont="1" applyBorder="1" applyAlignment="1">
      <alignment horizontal="center" vertical="center"/>
    </xf>
    <xf numFmtId="0" fontId="4" fillId="0" borderId="26" xfId="0" applyFont="1" applyBorder="1" applyAlignment="1">
      <alignment horizontal="center" vertical="center"/>
    </xf>
    <xf numFmtId="0" fontId="8" fillId="0" borderId="0" xfId="0" applyFont="1" applyAlignment="1">
      <alignment horizontal="left" vertical="center"/>
    </xf>
    <xf numFmtId="1" fontId="8" fillId="0" borderId="0" xfId="0" applyNumberFormat="1" applyFont="1" applyAlignment="1">
      <alignment horizontal="center" vertical="center"/>
    </xf>
    <xf numFmtId="0" fontId="4" fillId="0" borderId="0" xfId="0" applyFont="1" applyAlignment="1">
      <alignment horizontal="center" vertical="center"/>
    </xf>
    <xf numFmtId="0" fontId="7" fillId="0" borderId="0" xfId="0" applyFont="1" applyAlignment="1">
      <alignment horizontal="left" vertical="center"/>
    </xf>
    <xf numFmtId="1" fontId="15" fillId="0" borderId="1" xfId="0" applyNumberFormat="1" applyFont="1" applyBorder="1" applyAlignment="1">
      <alignment horizontal="center" vertical="center"/>
    </xf>
    <xf numFmtId="1" fontId="15" fillId="0" borderId="26" xfId="0" applyNumberFormat="1" applyFont="1" applyBorder="1" applyAlignment="1">
      <alignment horizontal="center" vertical="center"/>
    </xf>
    <xf numFmtId="0" fontId="12" fillId="0" borderId="0" xfId="0" applyFont="1" applyAlignment="1">
      <alignment vertical="center"/>
    </xf>
    <xf numFmtId="0" fontId="16" fillId="3" borderId="1" xfId="0" applyFont="1" applyFill="1" applyBorder="1" applyAlignment="1">
      <alignment horizontal="center" vertical="center"/>
    </xf>
    <xf numFmtId="166" fontId="15" fillId="0" borderId="1" xfId="0" applyNumberFormat="1" applyFont="1" applyBorder="1" applyAlignment="1">
      <alignment horizontal="center" vertical="center"/>
    </xf>
    <xf numFmtId="166" fontId="15" fillId="0" borderId="26" xfId="0" applyNumberFormat="1" applyFont="1" applyBorder="1" applyAlignment="1">
      <alignment horizontal="center" vertical="center"/>
    </xf>
    <xf numFmtId="1" fontId="15" fillId="7" borderId="24" xfId="0" applyNumberFormat="1" applyFont="1" applyFill="1" applyBorder="1" applyAlignment="1">
      <alignment horizontal="center" vertical="center"/>
    </xf>
    <xf numFmtId="166" fontId="8" fillId="0" borderId="1" xfId="0" applyNumberFormat="1" applyFont="1" applyBorder="1" applyAlignment="1">
      <alignment horizontal="center" vertical="center"/>
    </xf>
    <xf numFmtId="166" fontId="8" fillId="0" borderId="26" xfId="0" applyNumberFormat="1" applyFont="1" applyBorder="1" applyAlignment="1">
      <alignment horizontal="center" vertical="center"/>
    </xf>
    <xf numFmtId="1" fontId="8" fillId="3" borderId="1" xfId="0" applyNumberFormat="1" applyFont="1" applyFill="1" applyBorder="1" applyAlignment="1">
      <alignment horizontal="center" vertical="center"/>
    </xf>
    <xf numFmtId="0" fontId="15" fillId="0" borderId="1" xfId="0" applyFont="1" applyBorder="1" applyAlignment="1">
      <alignment horizontal="left" vertical="center"/>
    </xf>
    <xf numFmtId="0" fontId="7" fillId="5" borderId="1" xfId="0" applyFont="1" applyFill="1" applyBorder="1" applyAlignment="1">
      <alignment horizontal="center" vertical="center" wrapText="1"/>
    </xf>
    <xf numFmtId="1" fontId="7" fillId="0" borderId="0" xfId="0" applyNumberFormat="1" applyFont="1" applyAlignment="1">
      <alignment horizontal="center" vertical="center"/>
    </xf>
    <xf numFmtId="1" fontId="8" fillId="0" borderId="0" xfId="0" applyNumberFormat="1" applyFont="1" applyAlignment="1">
      <alignment vertical="center"/>
    </xf>
    <xf numFmtId="1" fontId="6" fillId="0" borderId="0" xfId="0" applyNumberFormat="1" applyFont="1" applyAlignment="1">
      <alignment vertical="center"/>
    </xf>
    <xf numFmtId="0" fontId="15" fillId="0" borderId="0" xfId="0" applyFont="1" applyAlignment="1">
      <alignment vertical="center"/>
    </xf>
    <xf numFmtId="0" fontId="16" fillId="0" borderId="0" xfId="0" applyFont="1" applyAlignment="1">
      <alignment horizontal="left" vertical="center"/>
    </xf>
    <xf numFmtId="0" fontId="15" fillId="0" borderId="0" xfId="0" applyFont="1" applyAlignment="1">
      <alignment horizontal="left" vertical="center"/>
    </xf>
    <xf numFmtId="0" fontId="15" fillId="0" borderId="1" xfId="0" applyFont="1" applyBorder="1" applyAlignment="1">
      <alignment horizontal="center" vertical="center"/>
    </xf>
    <xf numFmtId="0" fontId="15" fillId="0" borderId="0" xfId="0" applyFont="1" applyAlignment="1">
      <alignment horizontal="center" vertical="center"/>
    </xf>
    <xf numFmtId="1" fontId="15" fillId="0" borderId="0" xfId="0" applyNumberFormat="1" applyFont="1" applyAlignment="1">
      <alignment horizontal="center" vertical="center"/>
    </xf>
    <xf numFmtId="0" fontId="16" fillId="0" borderId="0" xfId="0" applyFont="1" applyAlignment="1">
      <alignment vertical="center" wrapText="1"/>
    </xf>
    <xf numFmtId="0" fontId="16" fillId="0" borderId="0" xfId="0" applyFont="1" applyAlignment="1">
      <alignment vertical="center"/>
    </xf>
    <xf numFmtId="0" fontId="15" fillId="0" borderId="1" xfId="0" applyFont="1" applyBorder="1" applyAlignment="1">
      <alignment horizontal="center" vertical="center" wrapText="1"/>
    </xf>
    <xf numFmtId="0" fontId="20" fillId="0" borderId="1" xfId="0" applyFont="1" applyBorder="1" applyAlignment="1">
      <alignment horizontal="center" vertical="center" wrapText="1"/>
    </xf>
    <xf numFmtId="1" fontId="20" fillId="0" borderId="1" xfId="0" applyNumberFormat="1" applyFont="1" applyBorder="1" applyAlignment="1">
      <alignment horizontal="center" vertical="center" wrapText="1"/>
    </xf>
    <xf numFmtId="0" fontId="13" fillId="0" borderId="0" xfId="0" applyFont="1" applyAlignment="1">
      <alignment vertical="center"/>
    </xf>
    <xf numFmtId="0" fontId="17" fillId="3"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7" fillId="2" borderId="1" xfId="0" applyFont="1" applyFill="1" applyBorder="1" applyAlignment="1">
      <alignment horizontal="center" vertical="center"/>
    </xf>
    <xf numFmtId="0" fontId="17" fillId="2" borderId="2" xfId="0" applyFont="1" applyFill="1" applyBorder="1" applyAlignment="1">
      <alignment horizontal="center" vertical="center"/>
    </xf>
    <xf numFmtId="0" fontId="8" fillId="6" borderId="6" xfId="0" applyFont="1" applyFill="1" applyBorder="1" applyAlignment="1">
      <alignment horizontal="center" vertical="center"/>
    </xf>
    <xf numFmtId="0" fontId="8" fillId="0" borderId="6" xfId="0" applyFont="1" applyBorder="1" applyAlignment="1">
      <alignment horizontal="left" vertical="center"/>
    </xf>
    <xf numFmtId="0" fontId="7" fillId="0" borderId="1" xfId="0" applyFont="1" applyBorder="1" applyAlignment="1">
      <alignment vertical="center" wrapText="1"/>
    </xf>
    <xf numFmtId="0" fontId="20" fillId="0" borderId="2" xfId="0" applyFont="1" applyBorder="1" applyAlignment="1">
      <alignment vertical="center" wrapText="1"/>
    </xf>
    <xf numFmtId="2" fontId="8"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xf>
    <xf numFmtId="0" fontId="23" fillId="0" borderId="0" xfId="0" applyFont="1" applyAlignment="1">
      <alignment horizontal="center"/>
    </xf>
    <xf numFmtId="0" fontId="0" fillId="0" borderId="0" xfId="0" applyAlignment="1">
      <alignment wrapText="1"/>
    </xf>
    <xf numFmtId="0" fontId="7" fillId="3" borderId="1" xfId="0" applyFont="1" applyFill="1" applyBorder="1" applyAlignment="1">
      <alignment horizontal="center" vertical="center"/>
    </xf>
    <xf numFmtId="0" fontId="7" fillId="4" borderId="16" xfId="0" applyFont="1" applyFill="1" applyBorder="1" applyAlignment="1">
      <alignment horizontal="center" vertical="center"/>
    </xf>
    <xf numFmtId="0" fontId="7" fillId="4" borderId="30" xfId="0" applyFont="1" applyFill="1" applyBorder="1" applyAlignment="1">
      <alignment horizontal="center" vertical="center" wrapText="1"/>
    </xf>
    <xf numFmtId="0" fontId="7" fillId="0" borderId="21" xfId="0" applyFont="1" applyBorder="1" applyAlignment="1">
      <alignment horizontal="center" vertical="center" wrapText="1"/>
    </xf>
    <xf numFmtId="0" fontId="8" fillId="0" borderId="26" xfId="0" applyFont="1" applyBorder="1" applyAlignment="1">
      <alignment horizontal="center" vertical="center" wrapText="1"/>
    </xf>
    <xf numFmtId="0" fontId="7" fillId="0" borderId="23" xfId="0" applyFont="1" applyBorder="1" applyAlignment="1">
      <alignment horizontal="center" vertical="center" wrapText="1"/>
    </xf>
    <xf numFmtId="0" fontId="8" fillId="0" borderId="36" xfId="0" applyFont="1" applyBorder="1" applyAlignment="1">
      <alignment horizontal="center" vertical="center" wrapText="1"/>
    </xf>
    <xf numFmtId="2" fontId="8" fillId="0" borderId="0" xfId="0" applyNumberFormat="1" applyFont="1" applyAlignment="1">
      <alignment vertical="center"/>
    </xf>
    <xf numFmtId="1" fontId="8" fillId="3"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0" fontId="7" fillId="0" borderId="0" xfId="0" applyFont="1" applyAlignment="1">
      <alignment horizontal="center" vertical="center" wrapText="1"/>
    </xf>
    <xf numFmtId="0" fontId="17" fillId="3" borderId="1" xfId="0" applyFont="1" applyFill="1" applyBorder="1" applyAlignment="1">
      <alignment horizontal="center" vertical="center" textRotation="90" wrapText="1"/>
    </xf>
    <xf numFmtId="1" fontId="13" fillId="0" borderId="1" xfId="0" applyNumberFormat="1" applyFont="1" applyBorder="1" applyAlignment="1">
      <alignment horizontal="center" vertical="center"/>
    </xf>
    <xf numFmtId="0" fontId="5" fillId="0" borderId="0" xfId="0" applyFont="1" applyAlignment="1">
      <alignment horizontal="center" vertical="center"/>
    </xf>
    <xf numFmtId="0" fontId="8" fillId="0" borderId="1" xfId="0" applyFont="1" applyBorder="1" applyAlignment="1">
      <alignment horizontal="center" vertical="center" wrapText="1"/>
    </xf>
    <xf numFmtId="0" fontId="13" fillId="0" borderId="0" xfId="0" applyFont="1" applyAlignment="1">
      <alignment horizontal="center" vertical="center"/>
    </xf>
    <xf numFmtId="1" fontId="13" fillId="0" borderId="0" xfId="0" applyNumberFormat="1" applyFont="1" applyAlignment="1">
      <alignment horizontal="center" vertical="center"/>
    </xf>
    <xf numFmtId="0" fontId="7" fillId="3" borderId="16"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8" fillId="3" borderId="36" xfId="0" applyFont="1" applyFill="1" applyBorder="1" applyAlignment="1">
      <alignment horizontal="center" vertical="center" wrapText="1"/>
    </xf>
    <xf numFmtId="164" fontId="8" fillId="3" borderId="1" xfId="0" applyNumberFormat="1" applyFont="1" applyFill="1" applyBorder="1" applyAlignment="1">
      <alignment horizontal="center" vertical="center"/>
    </xf>
    <xf numFmtId="165" fontId="8" fillId="3" borderId="1" xfId="0" applyNumberFormat="1" applyFont="1" applyFill="1" applyBorder="1" applyAlignment="1">
      <alignment horizontal="center" vertical="center"/>
    </xf>
    <xf numFmtId="167" fontId="8" fillId="3" borderId="1" xfId="0" applyNumberFormat="1" applyFont="1" applyFill="1" applyBorder="1" applyAlignment="1">
      <alignment horizontal="center" vertical="center"/>
    </xf>
    <xf numFmtId="0" fontId="20" fillId="0" borderId="1" xfId="0" applyFont="1" applyBorder="1" applyAlignment="1">
      <alignment horizontal="center" vertical="center"/>
    </xf>
    <xf numFmtId="0" fontId="21" fillId="10" borderId="0" xfId="0" applyFont="1" applyFill="1" applyAlignment="1">
      <alignment horizontal="center" vertical="center"/>
    </xf>
    <xf numFmtId="0" fontId="8" fillId="3" borderId="2" xfId="0" applyFont="1" applyFill="1" applyBorder="1" applyAlignment="1">
      <alignment horizontal="left" vertical="center" wrapText="1"/>
    </xf>
    <xf numFmtId="0" fontId="8" fillId="3" borderId="6" xfId="0" applyFont="1" applyFill="1" applyBorder="1" applyAlignment="1">
      <alignment horizontal="left" vertical="center" wrapText="1"/>
    </xf>
    <xf numFmtId="0" fontId="7" fillId="0" borderId="1" xfId="0" applyFont="1" applyBorder="1" applyAlignment="1">
      <alignment horizontal="left" vertical="center" wrapText="1"/>
    </xf>
    <xf numFmtId="0" fontId="22" fillId="3" borderId="2" xfId="0" applyFont="1" applyFill="1" applyBorder="1" applyAlignment="1">
      <alignment horizontal="left" vertical="center" wrapText="1"/>
    </xf>
    <xf numFmtId="0" fontId="22" fillId="3" borderId="5" xfId="0" applyFont="1" applyFill="1" applyBorder="1" applyAlignment="1">
      <alignment horizontal="left" vertical="center" wrapText="1"/>
    </xf>
    <xf numFmtId="0" fontId="22" fillId="3" borderId="6" xfId="0" applyFont="1" applyFill="1" applyBorder="1" applyAlignment="1">
      <alignment horizontal="left" vertical="center" wrapText="1"/>
    </xf>
    <xf numFmtId="0" fontId="18" fillId="3" borderId="1" xfId="0" applyFont="1" applyFill="1" applyBorder="1" applyAlignment="1">
      <alignment horizontal="center" vertical="center"/>
    </xf>
    <xf numFmtId="0" fontId="7" fillId="4" borderId="17" xfId="0" applyFont="1" applyFill="1" applyBorder="1" applyAlignment="1">
      <alignment horizontal="center" vertical="center"/>
    </xf>
    <xf numFmtId="0" fontId="7" fillId="0" borderId="10" xfId="0" applyFont="1" applyBorder="1" applyAlignment="1">
      <alignment horizontal="left" vertical="center"/>
    </xf>
    <xf numFmtId="0" fontId="8" fillId="0" borderId="0" xfId="0" applyFont="1" applyAlignment="1">
      <alignment horizontal="left" vertical="center"/>
    </xf>
    <xf numFmtId="0" fontId="8" fillId="0" borderId="2" xfId="0" applyFont="1" applyBorder="1" applyAlignment="1">
      <alignment horizontal="left"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22" fillId="3" borderId="1" xfId="0" applyFont="1" applyFill="1" applyBorder="1" applyAlignment="1">
      <alignment vertical="center" wrapText="1"/>
    </xf>
    <xf numFmtId="0" fontId="8" fillId="0" borderId="35" xfId="0" applyFont="1" applyBorder="1" applyAlignment="1">
      <alignment horizontal="left" vertical="center" wrapText="1"/>
    </xf>
    <xf numFmtId="0" fontId="8" fillId="0" borderId="25" xfId="0" applyFont="1" applyBorder="1" applyAlignment="1">
      <alignment horizontal="left" vertical="center" wrapText="1"/>
    </xf>
    <xf numFmtId="0" fontId="8" fillId="0" borderId="34" xfId="0" applyFont="1" applyBorder="1" applyAlignment="1">
      <alignment horizontal="left" vertical="center" wrapText="1"/>
    </xf>
    <xf numFmtId="0" fontId="8" fillId="0" borderId="1" xfId="0" applyFont="1" applyBorder="1" applyAlignment="1">
      <alignment horizontal="center" vertic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0" xfId="0" applyFont="1" applyAlignment="1">
      <alignment horizontal="center" vertical="center"/>
    </xf>
    <xf numFmtId="0" fontId="11" fillId="3" borderId="1" xfId="0" applyFont="1" applyFill="1" applyBorder="1" applyAlignment="1">
      <alignment horizontal="center" vertical="center" wrapText="1"/>
    </xf>
    <xf numFmtId="0" fontId="7" fillId="0" borderId="1" xfId="0" applyFont="1" applyBorder="1" applyAlignment="1">
      <alignment horizontal="left" vertical="center"/>
    </xf>
    <xf numFmtId="0" fontId="8" fillId="3" borderId="1" xfId="0" applyFont="1" applyFill="1" applyBorder="1" applyAlignment="1">
      <alignment horizontal="left" vertical="center" wrapText="1"/>
    </xf>
    <xf numFmtId="0" fontId="7" fillId="0" borderId="7" xfId="0" applyFont="1" applyBorder="1" applyAlignment="1">
      <alignment horizontal="center" vertical="center"/>
    </xf>
    <xf numFmtId="0" fontId="10" fillId="2" borderId="1" xfId="0" applyFont="1" applyFill="1" applyBorder="1" applyAlignment="1">
      <alignment horizontal="center" vertical="center"/>
    </xf>
    <xf numFmtId="0" fontId="7" fillId="0" borderId="1" xfId="0" applyFont="1" applyBorder="1" applyAlignment="1">
      <alignment horizontal="center" vertical="center"/>
    </xf>
    <xf numFmtId="0" fontId="13" fillId="0" borderId="0" xfId="0" applyFont="1" applyAlignment="1">
      <alignment horizontal="center" vertical="center"/>
    </xf>
    <xf numFmtId="0" fontId="17" fillId="0" borderId="2" xfId="0" applyFont="1" applyBorder="1" applyAlignment="1">
      <alignment horizontal="left" vertical="center"/>
    </xf>
    <xf numFmtId="0" fontId="17" fillId="0" borderId="5" xfId="0" applyFont="1" applyBorder="1" applyAlignment="1">
      <alignment horizontal="left" vertical="center"/>
    </xf>
    <xf numFmtId="0" fontId="17" fillId="0" borderId="6" xfId="0" applyFont="1" applyBorder="1" applyAlignment="1">
      <alignment horizontal="left" vertical="center"/>
    </xf>
    <xf numFmtId="0" fontId="13" fillId="0" borderId="2" xfId="0" applyFont="1" applyBorder="1" applyAlignment="1">
      <alignment horizontal="left" vertical="center"/>
    </xf>
    <xf numFmtId="0" fontId="13" fillId="0" borderId="5" xfId="0" applyFont="1" applyBorder="1" applyAlignment="1">
      <alignment horizontal="left" vertical="center"/>
    </xf>
    <xf numFmtId="0" fontId="13" fillId="0" borderId="6" xfId="0" applyFont="1" applyBorder="1" applyAlignment="1">
      <alignment horizontal="left" vertical="center"/>
    </xf>
    <xf numFmtId="0" fontId="7" fillId="0" borderId="0" xfId="0" applyFont="1" applyAlignment="1">
      <alignment horizontal="center" vertical="center" wrapText="1"/>
    </xf>
    <xf numFmtId="0" fontId="17" fillId="3" borderId="1" xfId="0" applyFont="1" applyFill="1" applyBorder="1" applyAlignment="1">
      <alignment horizontal="center" vertical="center"/>
    </xf>
    <xf numFmtId="0" fontId="8" fillId="0" borderId="0" xfId="0" applyFont="1" applyAlignment="1">
      <alignment horizontal="center" vertical="center"/>
    </xf>
    <xf numFmtId="0" fontId="17" fillId="3" borderId="1" xfId="0" applyFont="1" applyFill="1" applyBorder="1" applyAlignment="1">
      <alignment horizontal="center" vertical="center" textRotation="90" wrapText="1"/>
    </xf>
    <xf numFmtId="1" fontId="17" fillId="3" borderId="1" xfId="0" applyNumberFormat="1" applyFont="1" applyFill="1" applyBorder="1" applyAlignment="1">
      <alignment horizontal="center" vertical="center" wrapText="1"/>
    </xf>
    <xf numFmtId="1" fontId="13" fillId="0" borderId="0" xfId="0" applyNumberFormat="1" applyFont="1" applyAlignment="1">
      <alignment horizontal="center" vertical="center"/>
    </xf>
    <xf numFmtId="0" fontId="7" fillId="0" borderId="2" xfId="0" applyFont="1" applyBorder="1" applyAlignment="1">
      <alignment horizontal="center" vertical="center" wrapText="1"/>
    </xf>
    <xf numFmtId="0" fontId="7" fillId="0" borderId="6" xfId="0" applyFont="1" applyBorder="1" applyAlignment="1">
      <alignment horizontal="center" vertical="center" wrapText="1"/>
    </xf>
    <xf numFmtId="0" fontId="8" fillId="0" borderId="1" xfId="0" applyFont="1" applyBorder="1" applyAlignment="1">
      <alignment horizontal="center" vertical="center" wrapText="1"/>
    </xf>
    <xf numFmtId="0" fontId="7" fillId="6" borderId="1" xfId="0" applyFont="1" applyFill="1" applyBorder="1" applyAlignment="1">
      <alignment horizontal="center" vertical="center"/>
    </xf>
    <xf numFmtId="0" fontId="8" fillId="0" borderId="2" xfId="0" applyFont="1" applyBorder="1" applyAlignment="1">
      <alignment horizontal="center" vertical="center" wrapText="1"/>
    </xf>
    <xf numFmtId="0" fontId="8" fillId="0" borderId="5" xfId="0" applyFont="1" applyBorder="1" applyAlignment="1">
      <alignment horizontal="center" vertical="center" wrapText="1"/>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1" fontId="8" fillId="3" borderId="11" xfId="0" applyNumberFormat="1" applyFont="1" applyFill="1" applyBorder="1" applyAlignment="1">
      <alignment horizontal="center" vertical="center"/>
    </xf>
    <xf numFmtId="1" fontId="8" fillId="3" borderId="15" xfId="0" applyNumberFormat="1" applyFont="1" applyFill="1" applyBorder="1" applyAlignment="1">
      <alignment horizontal="center" vertical="center"/>
    </xf>
    <xf numFmtId="1" fontId="8" fillId="3" borderId="12" xfId="0" applyNumberFormat="1" applyFont="1" applyFill="1" applyBorder="1" applyAlignment="1">
      <alignment horizontal="center" vertical="center"/>
    </xf>
    <xf numFmtId="0" fontId="17" fillId="0" borderId="0" xfId="0" applyFont="1" applyAlignment="1">
      <alignment horizontal="left" vertical="center"/>
    </xf>
    <xf numFmtId="0" fontId="19" fillId="0" borderId="0" xfId="0" applyFont="1" applyAlignment="1">
      <alignment horizontal="center" vertical="center"/>
    </xf>
    <xf numFmtId="0" fontId="17" fillId="2" borderId="1" xfId="0" applyFont="1" applyFill="1" applyBorder="1" applyAlignment="1">
      <alignment horizontal="center" vertical="center" wrapText="1"/>
    </xf>
    <xf numFmtId="0" fontId="5" fillId="0" borderId="0" xfId="0" applyFont="1" applyAlignment="1">
      <alignment horizontal="center" vertical="center"/>
    </xf>
    <xf numFmtId="0" fontId="17" fillId="3" borderId="1"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17" fillId="3"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 fillId="0" borderId="0" xfId="0" applyFont="1" applyAlignment="1">
      <alignment horizont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8" fillId="0" borderId="1" xfId="0" applyFont="1" applyBorder="1" applyAlignment="1">
      <alignment horizontal="left" vertical="center"/>
    </xf>
    <xf numFmtId="0" fontId="7" fillId="2" borderId="29"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23" xfId="0" applyFont="1" applyFill="1" applyBorder="1" applyAlignment="1">
      <alignment horizontal="right" vertical="center" wrapText="1"/>
    </xf>
    <xf numFmtId="0" fontId="7" fillId="2" borderId="24" xfId="0" applyFont="1" applyFill="1" applyBorder="1" applyAlignment="1">
      <alignment horizontal="right" vertical="center" wrapText="1"/>
    </xf>
    <xf numFmtId="0" fontId="7" fillId="2" borderId="32" xfId="0" applyFont="1" applyFill="1" applyBorder="1" applyAlignment="1">
      <alignment horizontal="right" vertical="center"/>
    </xf>
    <xf numFmtId="0" fontId="7" fillId="2" borderId="5" xfId="0" applyFont="1" applyFill="1" applyBorder="1" applyAlignment="1">
      <alignment horizontal="right" vertical="center"/>
    </xf>
    <xf numFmtId="0" fontId="7" fillId="2" borderId="6" xfId="0" applyFont="1" applyFill="1" applyBorder="1" applyAlignment="1">
      <alignment horizontal="right" vertical="center"/>
    </xf>
    <xf numFmtId="0" fontId="7" fillId="2" borderId="32" xfId="0" applyFont="1" applyFill="1" applyBorder="1" applyAlignment="1">
      <alignment horizontal="right" vertical="center" wrapText="1"/>
    </xf>
    <xf numFmtId="0" fontId="7" fillId="2" borderId="5" xfId="0" applyFont="1" applyFill="1" applyBorder="1" applyAlignment="1">
      <alignment horizontal="right" vertical="center" wrapText="1"/>
    </xf>
    <xf numFmtId="0" fontId="7" fillId="2" borderId="6" xfId="0" applyFont="1" applyFill="1" applyBorder="1" applyAlignment="1">
      <alignment horizontal="right" vertical="center" wrapText="1"/>
    </xf>
    <xf numFmtId="0" fontId="18" fillId="0" borderId="0" xfId="0" applyFont="1" applyAlignment="1">
      <alignment horizontal="center" vertical="center"/>
    </xf>
    <xf numFmtId="0" fontId="7" fillId="2" borderId="27" xfId="0" applyFont="1" applyFill="1" applyBorder="1" applyAlignment="1">
      <alignment horizontal="right" vertical="center"/>
    </xf>
    <xf numFmtId="0" fontId="7" fillId="2" borderId="28" xfId="0" applyFont="1" applyFill="1" applyBorder="1" applyAlignment="1">
      <alignment horizontal="right" vertical="center"/>
    </xf>
    <xf numFmtId="0" fontId="7" fillId="2" borderId="29" xfId="0" applyFont="1" applyFill="1" applyBorder="1" applyAlignment="1">
      <alignment horizontal="right" vertical="center"/>
    </xf>
    <xf numFmtId="0" fontId="7" fillId="2" borderId="31" xfId="0" applyFont="1" applyFill="1" applyBorder="1" applyAlignment="1">
      <alignment horizontal="right" vertical="center"/>
    </xf>
    <xf numFmtId="0" fontId="7" fillId="2" borderId="7" xfId="0" applyFont="1" applyFill="1" applyBorder="1" applyAlignment="1">
      <alignment horizontal="right" vertical="center"/>
    </xf>
    <xf numFmtId="0" fontId="7" fillId="2" borderId="12" xfId="0" applyFont="1" applyFill="1" applyBorder="1" applyAlignment="1">
      <alignment horizontal="right" vertical="center"/>
    </xf>
    <xf numFmtId="0" fontId="7" fillId="2" borderId="17"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17"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7" fillId="2" borderId="30" xfId="0" applyFont="1" applyFill="1" applyBorder="1" applyAlignment="1">
      <alignment horizontal="center" vertical="center"/>
    </xf>
    <xf numFmtId="0" fontId="7" fillId="2" borderId="26" xfId="0" applyFont="1" applyFill="1" applyBorder="1" applyAlignment="1">
      <alignment horizontal="center" vertical="center"/>
    </xf>
    <xf numFmtId="0" fontId="7" fillId="0" borderId="0" xfId="0" applyFont="1" applyAlignment="1">
      <alignment horizontal="left" vertical="center"/>
    </xf>
    <xf numFmtId="0" fontId="7" fillId="2" borderId="22" xfId="0" applyFont="1" applyFill="1" applyBorder="1" applyAlignment="1">
      <alignment horizontal="center" vertical="center" wrapText="1"/>
    </xf>
    <xf numFmtId="0" fontId="16" fillId="0" borderId="0" xfId="0" applyFont="1" applyAlignment="1">
      <alignment horizontal="center" vertical="center" wrapText="1"/>
    </xf>
    <xf numFmtId="0" fontId="15" fillId="0" borderId="1" xfId="0" applyFont="1" applyBorder="1" applyAlignment="1">
      <alignment horizontal="left" vertical="center"/>
    </xf>
    <xf numFmtId="0" fontId="16" fillId="0" borderId="1" xfId="0" applyFont="1" applyBorder="1" applyAlignment="1">
      <alignment horizontal="left" vertical="center"/>
    </xf>
    <xf numFmtId="0" fontId="16" fillId="2" borderId="1" xfId="0" applyFont="1" applyFill="1" applyBorder="1" applyAlignment="1">
      <alignment horizontal="center" vertical="center" wrapText="1"/>
    </xf>
    <xf numFmtId="0" fontId="16" fillId="2" borderId="32" xfId="0" applyFont="1" applyFill="1" applyBorder="1" applyAlignment="1">
      <alignment horizontal="right" vertical="center"/>
    </xf>
    <xf numFmtId="0" fontId="16" fillId="2" borderId="5" xfId="0" applyFont="1" applyFill="1" applyBorder="1" applyAlignment="1">
      <alignment horizontal="right" vertical="center"/>
    </xf>
    <xf numFmtId="0" fontId="16" fillId="2" borderId="6" xfId="0" applyFont="1" applyFill="1" applyBorder="1" applyAlignment="1">
      <alignment horizontal="right" vertical="center"/>
    </xf>
    <xf numFmtId="0" fontId="16" fillId="2" borderId="30" xfId="0" applyFont="1" applyFill="1" applyBorder="1" applyAlignment="1">
      <alignment horizontal="center" vertical="center"/>
    </xf>
    <xf numFmtId="0" fontId="16" fillId="2" borderId="26"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17" xfId="0" applyFont="1" applyFill="1" applyBorder="1" applyAlignment="1">
      <alignment horizontal="center" vertical="center"/>
    </xf>
    <xf numFmtId="0" fontId="16" fillId="2" borderId="33" xfId="0" applyFont="1" applyFill="1" applyBorder="1" applyAlignment="1">
      <alignment horizontal="right" vertical="center" wrapText="1"/>
    </xf>
    <xf numFmtId="0" fontId="16" fillId="2" borderId="25" xfId="0" applyFont="1" applyFill="1" applyBorder="1" applyAlignment="1">
      <alignment horizontal="right" vertical="center" wrapText="1"/>
    </xf>
    <xf numFmtId="0" fontId="16" fillId="2" borderId="34" xfId="0" applyFont="1" applyFill="1" applyBorder="1" applyAlignment="1">
      <alignment horizontal="right" vertical="center" wrapText="1"/>
    </xf>
    <xf numFmtId="0" fontId="16" fillId="2" borderId="32" xfId="0" applyFont="1" applyFill="1" applyBorder="1" applyAlignment="1">
      <alignment horizontal="right" vertical="center" wrapText="1"/>
    </xf>
    <xf numFmtId="0" fontId="16" fillId="2" borderId="5" xfId="0" applyFont="1" applyFill="1" applyBorder="1" applyAlignment="1">
      <alignment horizontal="right" vertical="center" wrapText="1"/>
    </xf>
    <xf numFmtId="0" fontId="16" fillId="2" borderId="6" xfId="0" applyFont="1" applyFill="1" applyBorder="1" applyAlignment="1">
      <alignment horizontal="right" vertical="center" wrapText="1"/>
    </xf>
    <xf numFmtId="0" fontId="16" fillId="2" borderId="27" xfId="0" applyFont="1" applyFill="1" applyBorder="1" applyAlignment="1">
      <alignment horizontal="right" vertical="center"/>
    </xf>
    <xf numFmtId="0" fontId="16" fillId="2" borderId="28" xfId="0" applyFont="1" applyFill="1" applyBorder="1" applyAlignment="1">
      <alignment horizontal="right" vertical="center"/>
    </xf>
    <xf numFmtId="0" fontId="16" fillId="2" borderId="29" xfId="0" applyFont="1" applyFill="1" applyBorder="1" applyAlignment="1">
      <alignment horizontal="right" vertical="center"/>
    </xf>
    <xf numFmtId="0" fontId="16" fillId="2" borderId="31" xfId="0" applyFont="1" applyFill="1" applyBorder="1" applyAlignment="1">
      <alignment horizontal="right" vertical="center"/>
    </xf>
    <xf numFmtId="0" fontId="16" fillId="2" borderId="7" xfId="0" applyFont="1" applyFill="1" applyBorder="1" applyAlignment="1">
      <alignment horizontal="right" vertical="center"/>
    </xf>
    <xf numFmtId="0" fontId="16" fillId="2" borderId="12" xfId="0" applyFont="1" applyFill="1" applyBorder="1" applyAlignment="1">
      <alignment horizontal="right" vertical="center"/>
    </xf>
    <xf numFmtId="1" fontId="8" fillId="8" borderId="1" xfId="0" applyNumberFormat="1" applyFont="1" applyFill="1" applyBorder="1" applyAlignment="1">
      <alignment horizontal="center" vertical="center"/>
    </xf>
    <xf numFmtId="1" fontId="7" fillId="2" borderId="1" xfId="0" applyNumberFormat="1" applyFont="1" applyFill="1" applyBorder="1" applyAlignment="1">
      <alignment horizontal="center" vertical="center"/>
    </xf>
    <xf numFmtId="2" fontId="8" fillId="0" borderId="1" xfId="0" applyNumberFormat="1" applyFont="1" applyBorder="1" applyAlignment="1">
      <alignment horizontal="center" vertical="center"/>
    </xf>
    <xf numFmtId="2" fontId="8" fillId="9" borderId="1" xfId="0" applyNumberFormat="1" applyFont="1" applyFill="1" applyBorder="1" applyAlignment="1">
      <alignment horizontal="center" vertical="center"/>
    </xf>
    <xf numFmtId="1" fontId="8" fillId="6" borderId="1" xfId="0" applyNumberFormat="1" applyFont="1" applyFill="1" applyBorder="1" applyAlignment="1">
      <alignment horizontal="center" vertical="center" wrapText="1"/>
    </xf>
    <xf numFmtId="0" fontId="7" fillId="0" borderId="5" xfId="0" applyFont="1" applyBorder="1" applyAlignment="1">
      <alignment horizontal="center" vertical="center" wrapText="1"/>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8" fillId="9"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6" xfId="0" applyFont="1" applyFill="1" applyBorder="1" applyAlignment="1">
      <alignment horizontal="center" vertical="center"/>
    </xf>
    <xf numFmtId="2" fontId="8" fillId="6" borderId="3" xfId="0" applyNumberFormat="1" applyFont="1" applyFill="1" applyBorder="1" applyAlignment="1">
      <alignment horizontal="center" vertical="center"/>
    </xf>
    <xf numFmtId="0" fontId="8" fillId="6" borderId="14" xfId="0" applyFont="1" applyFill="1" applyBorder="1" applyAlignment="1">
      <alignment horizontal="center" vertical="center"/>
    </xf>
    <xf numFmtId="0" fontId="8" fillId="6" borderId="4" xfId="0" applyFont="1" applyFill="1" applyBorder="1" applyAlignment="1">
      <alignment horizontal="center" vertical="center"/>
    </xf>
    <xf numFmtId="0" fontId="7" fillId="0" borderId="10" xfId="0" applyFont="1" applyBorder="1" applyAlignment="1">
      <alignment horizontal="center" vertical="center" wrapText="1"/>
    </xf>
    <xf numFmtId="0" fontId="1" fillId="0" borderId="1" xfId="0" applyFont="1" applyBorder="1" applyAlignment="1">
      <alignment horizontal="left"/>
    </xf>
    <xf numFmtId="0" fontId="0" fillId="0" borderId="1" xfId="0" applyBorder="1" applyAlignment="1">
      <alignment horizontal="left"/>
    </xf>
    <xf numFmtId="0" fontId="1" fillId="2" borderId="1"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Users\USER.PREM-PC\Downloads\U19EE201_FT_2021-25-II%20EEE%20-%20III%20SEM%20-%20Theor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CMR\CO%20ATTAINMENT\12%20PSO%20END%20SEM%20MARK\11PO_CO_PO_MAPPING_ATTAINMENT_Theory_30.4.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_AND_PSO"/>
      <sheetName val="CO_PO MAPPING_PRINT"/>
      <sheetName val="CO_ATT_INPUTS"/>
      <sheetName val="CO_ATT_INT_MARKS"/>
      <sheetName val="DO NOT CHANGE"/>
      <sheetName val="CO DIRECT ATT"/>
      <sheetName val="CO INDIRECT ATT"/>
      <sheetName val="CO ATT"/>
      <sheetName val="FOR SESSION PURPOSE"/>
    </sheetNames>
    <sheetDataSet>
      <sheetData sheetId="0">
        <row r="24">
          <cell r="I24">
            <v>4</v>
          </cell>
        </row>
        <row r="25">
          <cell r="I25">
            <v>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_AND_PSO"/>
      <sheetName val="CO_PO MAPPING_PRINT"/>
      <sheetName val="CO_ATT_INPUTS"/>
      <sheetName val="CO_ATT_INT_MARKS"/>
      <sheetName val="DO NOT CHANGE"/>
      <sheetName val="CO DIRECT ATT"/>
      <sheetName val="CO INDIRECT ATT"/>
      <sheetName val="CO ATT"/>
      <sheetName val="FOR SESSION PURPOSE"/>
    </sheetNames>
    <sheetDataSet>
      <sheetData sheetId="0">
        <row r="3">
          <cell r="A3" t="str">
            <v>Regulation</v>
          </cell>
          <cell r="D3" t="str">
            <v>Course handling Faculty</v>
          </cell>
        </row>
        <row r="4">
          <cell r="A4" t="str">
            <v>Program</v>
          </cell>
          <cell r="D4" t="str">
            <v>Course Coordinator</v>
          </cell>
        </row>
        <row r="5">
          <cell r="A5" t="str">
            <v>Year/Semester</v>
          </cell>
          <cell r="D5" t="str">
            <v>Academic Year</v>
          </cell>
        </row>
        <row r="6">
          <cell r="A6" t="str">
            <v>Course Code</v>
          </cell>
          <cell r="D6" t="str">
            <v>Batch</v>
          </cell>
        </row>
        <row r="7">
          <cell r="A7" t="str">
            <v>Course Name</v>
          </cell>
          <cell r="D7" t="str">
            <v>Total Number of Students</v>
          </cell>
        </row>
      </sheetData>
      <sheetData sheetId="1"/>
      <sheetData sheetId="2">
        <row r="5">
          <cell r="A5" t="str">
            <v>Regulation</v>
          </cell>
        </row>
        <row r="6">
          <cell r="A6" t="str">
            <v>Program</v>
          </cell>
        </row>
        <row r="7">
          <cell r="A7" t="str">
            <v>Year/Semester</v>
          </cell>
        </row>
        <row r="8">
          <cell r="A8" t="str">
            <v>Course Code</v>
          </cell>
        </row>
        <row r="9">
          <cell r="A9" t="str">
            <v>Course Name</v>
          </cell>
        </row>
        <row r="10">
          <cell r="A10" t="str">
            <v>Course handling Faculty</v>
          </cell>
        </row>
        <row r="11">
          <cell r="A11" t="str">
            <v>Course Coordinator</v>
          </cell>
        </row>
        <row r="12">
          <cell r="A12" t="str">
            <v>Academic Year</v>
          </cell>
        </row>
        <row r="13">
          <cell r="A13" t="str">
            <v>Batch</v>
          </cell>
        </row>
        <row r="14">
          <cell r="A14" t="str">
            <v>Total Number of Students</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A1:I24"/>
  <sheetViews>
    <sheetView view="pageBreakPreview" topLeftCell="A22" zoomScaleSheetLayoutView="100" workbookViewId="0">
      <selection activeCell="B23" sqref="B23:E23"/>
    </sheetView>
  </sheetViews>
  <sheetFormatPr defaultRowHeight="23.25" x14ac:dyDescent="0.25"/>
  <cols>
    <col min="1" max="1" width="30.7109375" style="51" customWidth="1"/>
    <col min="2" max="2" width="29.5703125" style="51" customWidth="1"/>
    <col min="3" max="3" width="30.7109375" style="51" customWidth="1"/>
    <col min="4" max="4" width="12" style="51" customWidth="1"/>
    <col min="5" max="5" width="5.140625" style="51" customWidth="1"/>
    <col min="6" max="6" width="20" style="51" customWidth="1"/>
    <col min="7" max="7" width="11.42578125" style="51" customWidth="1"/>
    <col min="8" max="8" width="22.42578125" style="51" customWidth="1"/>
    <col min="9" max="9" width="18.28515625" style="51" customWidth="1"/>
    <col min="10" max="16384" width="9.140625" style="51"/>
  </cols>
  <sheetData>
    <row r="1" spans="1:9" ht="43.5" customHeight="1" x14ac:dyDescent="0.25">
      <c r="A1" s="123" t="s">
        <v>71</v>
      </c>
      <c r="B1" s="123"/>
      <c r="C1" s="123"/>
      <c r="D1" s="123"/>
      <c r="E1" s="123"/>
      <c r="F1" s="123"/>
      <c r="G1" s="123"/>
      <c r="H1" s="123"/>
      <c r="I1" s="123"/>
    </row>
    <row r="2" spans="1:9" ht="42.75" customHeight="1" x14ac:dyDescent="0.25">
      <c r="A2" s="130" t="s">
        <v>225</v>
      </c>
      <c r="B2" s="130"/>
      <c r="C2" s="130"/>
      <c r="D2" s="130"/>
      <c r="E2" s="130"/>
      <c r="F2" s="130"/>
      <c r="G2" s="130"/>
      <c r="H2" s="130"/>
      <c r="I2" s="130"/>
    </row>
    <row r="3" spans="1:9" ht="71.25" customHeight="1" x14ac:dyDescent="0.25">
      <c r="A3" s="92" t="s">
        <v>141</v>
      </c>
      <c r="B3" s="124" t="s">
        <v>72</v>
      </c>
      <c r="C3" s="125"/>
      <c r="D3" s="126" t="s">
        <v>144</v>
      </c>
      <c r="E3" s="126"/>
      <c r="F3" s="126"/>
      <c r="G3" s="127" t="s">
        <v>230</v>
      </c>
      <c r="H3" s="128"/>
      <c r="I3" s="129"/>
    </row>
    <row r="4" spans="1:9" ht="31.5" customHeight="1" x14ac:dyDescent="0.25">
      <c r="A4" s="92" t="s">
        <v>11</v>
      </c>
      <c r="B4" s="124" t="s">
        <v>226</v>
      </c>
      <c r="C4" s="125"/>
      <c r="D4" s="126" t="s">
        <v>145</v>
      </c>
      <c r="E4" s="126"/>
      <c r="F4" s="126"/>
      <c r="G4" s="127" t="s">
        <v>231</v>
      </c>
      <c r="H4" s="128"/>
      <c r="I4" s="129"/>
    </row>
    <row r="5" spans="1:9" ht="31.5" customHeight="1" x14ac:dyDescent="0.25">
      <c r="A5" s="92" t="s">
        <v>182</v>
      </c>
      <c r="B5" s="124" t="s">
        <v>227</v>
      </c>
      <c r="C5" s="125"/>
      <c r="D5" s="126" t="s">
        <v>146</v>
      </c>
      <c r="E5" s="126"/>
      <c r="F5" s="126"/>
      <c r="G5" s="127" t="s">
        <v>232</v>
      </c>
      <c r="H5" s="128"/>
      <c r="I5" s="129"/>
    </row>
    <row r="6" spans="1:9" ht="31.5" customHeight="1" x14ac:dyDescent="0.25">
      <c r="A6" s="92" t="s">
        <v>142</v>
      </c>
      <c r="B6" s="124" t="s">
        <v>228</v>
      </c>
      <c r="C6" s="125"/>
      <c r="D6" s="126" t="s">
        <v>147</v>
      </c>
      <c r="E6" s="126"/>
      <c r="F6" s="126"/>
      <c r="G6" s="127" t="s">
        <v>233</v>
      </c>
      <c r="H6" s="128"/>
      <c r="I6" s="129"/>
    </row>
    <row r="7" spans="1:9" ht="57" customHeight="1" x14ac:dyDescent="0.25">
      <c r="A7" s="92" t="s">
        <v>143</v>
      </c>
      <c r="B7" s="124" t="s">
        <v>229</v>
      </c>
      <c r="C7" s="125"/>
      <c r="D7" s="126" t="s">
        <v>148</v>
      </c>
      <c r="E7" s="126"/>
      <c r="F7" s="126"/>
      <c r="G7" s="127">
        <v>65</v>
      </c>
      <c r="H7" s="128"/>
      <c r="I7" s="129"/>
    </row>
    <row r="8" spans="1:9" ht="37.5" customHeight="1" x14ac:dyDescent="0.25">
      <c r="A8" s="22" t="s">
        <v>73</v>
      </c>
      <c r="B8" s="132" t="s">
        <v>222</v>
      </c>
      <c r="C8" s="132"/>
      <c r="D8" s="132"/>
      <c r="E8" s="132"/>
      <c r="F8" s="132"/>
      <c r="G8" s="132"/>
      <c r="H8" s="132"/>
      <c r="I8" s="132"/>
    </row>
    <row r="9" spans="1:9" ht="32.25" customHeight="1" thickBot="1" x14ac:dyDescent="0.3">
      <c r="A9" s="133" t="s">
        <v>220</v>
      </c>
      <c r="B9" s="133"/>
      <c r="C9" s="133"/>
      <c r="D9" s="133"/>
      <c r="E9" s="133"/>
      <c r="F9" s="133"/>
      <c r="G9" s="133"/>
      <c r="H9" s="133"/>
      <c r="I9" s="133"/>
    </row>
    <row r="10" spans="1:9" customFormat="1" ht="99" customHeight="1" x14ac:dyDescent="0.25">
      <c r="A10" s="99" t="s">
        <v>157</v>
      </c>
      <c r="B10" s="131" t="s">
        <v>158</v>
      </c>
      <c r="C10" s="131"/>
      <c r="D10" s="131"/>
      <c r="E10" s="131"/>
      <c r="F10" s="131" t="s">
        <v>159</v>
      </c>
      <c r="G10" s="131"/>
      <c r="H10" s="131"/>
      <c r="I10" s="100" t="s">
        <v>160</v>
      </c>
    </row>
    <row r="11" spans="1:9" s="97" customFormat="1" ht="120.75" customHeight="1" x14ac:dyDescent="0.25">
      <c r="A11" s="101" t="s">
        <v>74</v>
      </c>
      <c r="B11" s="134" t="s">
        <v>189</v>
      </c>
      <c r="C11" s="135"/>
      <c r="D11" s="135"/>
      <c r="E11" s="136"/>
      <c r="F11" s="134" t="s">
        <v>190</v>
      </c>
      <c r="G11" s="135"/>
      <c r="H11" s="136"/>
      <c r="I11" s="102">
        <v>4</v>
      </c>
    </row>
    <row r="12" spans="1:9" s="97" customFormat="1" ht="125.25" customHeight="1" x14ac:dyDescent="0.25">
      <c r="A12" s="101" t="s">
        <v>75</v>
      </c>
      <c r="B12" s="134" t="s">
        <v>191</v>
      </c>
      <c r="C12" s="135"/>
      <c r="D12" s="135"/>
      <c r="E12" s="136"/>
      <c r="F12" s="134" t="s">
        <v>192</v>
      </c>
      <c r="G12" s="135"/>
      <c r="H12" s="136"/>
      <c r="I12" s="102">
        <v>5</v>
      </c>
    </row>
    <row r="13" spans="1:9" s="97" customFormat="1" ht="145.5" customHeight="1" x14ac:dyDescent="0.25">
      <c r="A13" s="101" t="s">
        <v>76</v>
      </c>
      <c r="B13" s="134" t="s">
        <v>193</v>
      </c>
      <c r="C13" s="135"/>
      <c r="D13" s="135"/>
      <c r="E13" s="136"/>
      <c r="F13" s="134" t="s">
        <v>194</v>
      </c>
      <c r="G13" s="135"/>
      <c r="H13" s="136"/>
      <c r="I13" s="102">
        <v>5</v>
      </c>
    </row>
    <row r="14" spans="1:9" s="97" customFormat="1" ht="90" x14ac:dyDescent="0.25">
      <c r="A14" s="101" t="s">
        <v>77</v>
      </c>
      <c r="B14" s="134" t="s">
        <v>195</v>
      </c>
      <c r="C14" s="135"/>
      <c r="D14" s="135"/>
      <c r="E14" s="136"/>
      <c r="F14" s="134" t="s">
        <v>196</v>
      </c>
      <c r="G14" s="135"/>
      <c r="H14" s="136"/>
      <c r="I14" s="102">
        <v>4</v>
      </c>
    </row>
    <row r="15" spans="1:9" s="97" customFormat="1" ht="115.5" customHeight="1" x14ac:dyDescent="0.25">
      <c r="A15" s="101" t="s">
        <v>78</v>
      </c>
      <c r="B15" s="134" t="s">
        <v>197</v>
      </c>
      <c r="C15" s="135"/>
      <c r="D15" s="135"/>
      <c r="E15" s="136"/>
      <c r="F15" s="134" t="s">
        <v>198</v>
      </c>
      <c r="G15" s="135"/>
      <c r="H15" s="136"/>
      <c r="I15" s="102">
        <v>4</v>
      </c>
    </row>
    <row r="16" spans="1:9" s="97" customFormat="1" ht="176.25" customHeight="1" x14ac:dyDescent="0.25">
      <c r="A16" s="101" t="s">
        <v>199</v>
      </c>
      <c r="B16" s="134" t="s">
        <v>200</v>
      </c>
      <c r="C16" s="135"/>
      <c r="D16" s="135"/>
      <c r="E16" s="136"/>
      <c r="F16" s="134" t="s">
        <v>201</v>
      </c>
      <c r="G16" s="135"/>
      <c r="H16" s="136"/>
      <c r="I16" s="102">
        <v>5</v>
      </c>
    </row>
    <row r="17" spans="1:9" s="97" customFormat="1" ht="169.5" customHeight="1" x14ac:dyDescent="0.25">
      <c r="A17" s="101" t="s">
        <v>202</v>
      </c>
      <c r="B17" s="134" t="s">
        <v>203</v>
      </c>
      <c r="C17" s="135"/>
      <c r="D17" s="135"/>
      <c r="E17" s="136"/>
      <c r="F17" s="134" t="s">
        <v>204</v>
      </c>
      <c r="G17" s="135"/>
      <c r="H17" s="136"/>
      <c r="I17" s="102">
        <v>3</v>
      </c>
    </row>
    <row r="18" spans="1:9" s="97" customFormat="1" ht="143.25" customHeight="1" x14ac:dyDescent="0.25">
      <c r="A18" s="101" t="s">
        <v>205</v>
      </c>
      <c r="B18" s="134" t="s">
        <v>206</v>
      </c>
      <c r="C18" s="135"/>
      <c r="D18" s="135"/>
      <c r="E18" s="136"/>
      <c r="F18" s="134" t="s">
        <v>207</v>
      </c>
      <c r="G18" s="135"/>
      <c r="H18" s="136"/>
      <c r="I18" s="102">
        <v>4</v>
      </c>
    </row>
    <row r="19" spans="1:9" s="97" customFormat="1" ht="126.75" customHeight="1" x14ac:dyDescent="0.25">
      <c r="A19" s="101" t="s">
        <v>208</v>
      </c>
      <c r="B19" s="134" t="s">
        <v>209</v>
      </c>
      <c r="C19" s="135"/>
      <c r="D19" s="135"/>
      <c r="E19" s="136"/>
      <c r="F19" s="134" t="s">
        <v>210</v>
      </c>
      <c r="G19" s="135"/>
      <c r="H19" s="136"/>
      <c r="I19" s="102">
        <v>3</v>
      </c>
    </row>
    <row r="20" spans="1:9" s="97" customFormat="1" ht="230.25" customHeight="1" x14ac:dyDescent="0.25">
      <c r="A20" s="101" t="s">
        <v>211</v>
      </c>
      <c r="B20" s="134" t="s">
        <v>212</v>
      </c>
      <c r="C20" s="135"/>
      <c r="D20" s="135"/>
      <c r="E20" s="136"/>
      <c r="F20" s="134" t="s">
        <v>213</v>
      </c>
      <c r="G20" s="135"/>
      <c r="H20" s="136"/>
      <c r="I20" s="102">
        <v>5</v>
      </c>
    </row>
    <row r="21" spans="1:9" s="97" customFormat="1" ht="141" customHeight="1" x14ac:dyDescent="0.25">
      <c r="A21" s="101" t="s">
        <v>214</v>
      </c>
      <c r="B21" s="134" t="s">
        <v>215</v>
      </c>
      <c r="C21" s="135"/>
      <c r="D21" s="135"/>
      <c r="E21" s="136"/>
      <c r="F21" s="134" t="s">
        <v>216</v>
      </c>
      <c r="G21" s="135"/>
      <c r="H21" s="136"/>
      <c r="I21" s="102">
        <v>6</v>
      </c>
    </row>
    <row r="22" spans="1:9" s="97" customFormat="1" ht="93.75" customHeight="1" thickBot="1" x14ac:dyDescent="0.3">
      <c r="A22" s="103" t="s">
        <v>217</v>
      </c>
      <c r="B22" s="138" t="s">
        <v>218</v>
      </c>
      <c r="C22" s="139"/>
      <c r="D22" s="139"/>
      <c r="E22" s="140"/>
      <c r="F22" s="138" t="s">
        <v>219</v>
      </c>
      <c r="G22" s="139"/>
      <c r="H22" s="140"/>
      <c r="I22" s="104">
        <v>3</v>
      </c>
    </row>
    <row r="23" spans="1:9" customFormat="1" ht="158.25" customHeight="1" x14ac:dyDescent="0.25">
      <c r="A23" s="115" t="s">
        <v>28</v>
      </c>
      <c r="B23" s="137" t="s">
        <v>234</v>
      </c>
      <c r="C23" s="137"/>
      <c r="D23" s="137"/>
      <c r="E23" s="137"/>
      <c r="F23" s="137" t="s">
        <v>79</v>
      </c>
      <c r="G23" s="137"/>
      <c r="H23" s="137"/>
      <c r="I23" s="116">
        <v>4</v>
      </c>
    </row>
    <row r="24" spans="1:9" customFormat="1" ht="162" customHeight="1" thickBot="1" x14ac:dyDescent="0.3">
      <c r="A24" s="117" t="s">
        <v>29</v>
      </c>
      <c r="B24" s="137" t="s">
        <v>235</v>
      </c>
      <c r="C24" s="137"/>
      <c r="D24" s="137"/>
      <c r="E24" s="137"/>
      <c r="F24" s="137" t="s">
        <v>79</v>
      </c>
      <c r="G24" s="137"/>
      <c r="H24" s="137"/>
      <c r="I24" s="118">
        <v>4</v>
      </c>
    </row>
  </sheetData>
  <sheetProtection sheet="1" formatRows="0"/>
  <protectedRanges>
    <protectedRange sqref="G3:I7 B3:C7" name="Range1"/>
    <protectedRange sqref="A2:I2" name="Range2"/>
    <protectedRange sqref="A23:I24" name="Range1_1"/>
  </protectedRanges>
  <mergeCells count="49">
    <mergeCell ref="F24:H24"/>
    <mergeCell ref="B23:E23"/>
    <mergeCell ref="B24:E24"/>
    <mergeCell ref="B20:E20"/>
    <mergeCell ref="F20:H20"/>
    <mergeCell ref="B22:E22"/>
    <mergeCell ref="F22:H22"/>
    <mergeCell ref="F23:H23"/>
    <mergeCell ref="B21:E21"/>
    <mergeCell ref="F21:H21"/>
    <mergeCell ref="B17:E17"/>
    <mergeCell ref="F17:H17"/>
    <mergeCell ref="B18:E18"/>
    <mergeCell ref="F18:H18"/>
    <mergeCell ref="B19:E19"/>
    <mergeCell ref="F19:H19"/>
    <mergeCell ref="B14:E14"/>
    <mergeCell ref="F14:H14"/>
    <mergeCell ref="B15:E15"/>
    <mergeCell ref="F15:H15"/>
    <mergeCell ref="B16:E16"/>
    <mergeCell ref="F16:H16"/>
    <mergeCell ref="B11:E11"/>
    <mergeCell ref="F11:H11"/>
    <mergeCell ref="B12:E12"/>
    <mergeCell ref="F12:H12"/>
    <mergeCell ref="B13:E13"/>
    <mergeCell ref="F13:H13"/>
    <mergeCell ref="B10:E10"/>
    <mergeCell ref="F10:H10"/>
    <mergeCell ref="B5:C5"/>
    <mergeCell ref="D5:F5"/>
    <mergeCell ref="G5:I5"/>
    <mergeCell ref="D6:F6"/>
    <mergeCell ref="G6:I6"/>
    <mergeCell ref="D7:F7"/>
    <mergeCell ref="G7:I7"/>
    <mergeCell ref="B8:I8"/>
    <mergeCell ref="A9:I9"/>
    <mergeCell ref="B7:C7"/>
    <mergeCell ref="B6:C6"/>
    <mergeCell ref="A1:I1"/>
    <mergeCell ref="B3:C3"/>
    <mergeCell ref="D3:F3"/>
    <mergeCell ref="G3:I3"/>
    <mergeCell ref="B4:C4"/>
    <mergeCell ref="D4:F4"/>
    <mergeCell ref="G4:I4"/>
    <mergeCell ref="A2:I2"/>
  </mergeCells>
  <pageMargins left="0.39370078740157483" right="0.27559055118110237" top="0.31496062992125984" bottom="0.15748031496062992" header="0.43307086614173229" footer="0.15748031496062992"/>
  <pageSetup paperSize="9" scale="53" fitToHeight="0" orientation="portrait" horizontalDpi="300" verticalDpi="300" r:id="rId1"/>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O132"/>
  <sheetViews>
    <sheetView view="pageBreakPreview" zoomScale="85" zoomScaleSheetLayoutView="85" workbookViewId="0">
      <selection activeCell="A5" sqref="A5"/>
    </sheetView>
  </sheetViews>
  <sheetFormatPr defaultRowHeight="14.25" x14ac:dyDescent="0.25"/>
  <cols>
    <col min="1" max="1" width="17" style="33" customWidth="1"/>
    <col min="2" max="15" width="12.7109375" style="33" customWidth="1"/>
    <col min="16" max="16384" width="9.140625" style="33"/>
  </cols>
  <sheetData>
    <row r="1" spans="1:15" s="21" customFormat="1" ht="35.25" customHeight="1" x14ac:dyDescent="0.25">
      <c r="A1" s="123" t="s">
        <v>87</v>
      </c>
      <c r="B1" s="123"/>
      <c r="C1" s="123"/>
      <c r="D1" s="123"/>
      <c r="E1" s="123"/>
      <c r="F1" s="123"/>
      <c r="G1" s="123"/>
      <c r="H1" s="123"/>
      <c r="I1" s="123"/>
      <c r="J1" s="123"/>
      <c r="K1" s="123"/>
      <c r="L1" s="123"/>
      <c r="M1" s="123"/>
      <c r="N1" s="123"/>
      <c r="O1" s="123"/>
    </row>
    <row r="2" spans="1:15" s="22" customFormat="1" ht="30.75" customHeight="1" x14ac:dyDescent="0.25">
      <c r="A2" s="147" t="s">
        <v>178</v>
      </c>
      <c r="B2" s="147"/>
      <c r="C2" s="147"/>
      <c r="D2" s="147"/>
      <c r="E2" s="147"/>
      <c r="F2" s="147"/>
      <c r="G2" s="147"/>
      <c r="H2" s="147"/>
      <c r="I2" s="147"/>
      <c r="J2" s="147"/>
      <c r="K2" s="147"/>
      <c r="L2" s="147"/>
      <c r="M2" s="147"/>
      <c r="N2" s="147"/>
      <c r="O2" s="147"/>
    </row>
    <row r="3" spans="1:15" s="21" customFormat="1" ht="114.75" customHeight="1" x14ac:dyDescent="0.25">
      <c r="A3" s="14" t="s">
        <v>4</v>
      </c>
      <c r="B3" s="148" t="s">
        <v>236</v>
      </c>
      <c r="C3" s="148"/>
      <c r="D3" s="148"/>
      <c r="E3" s="148"/>
      <c r="F3" s="148"/>
      <c r="G3" s="148"/>
      <c r="H3" s="148"/>
      <c r="I3" s="148"/>
      <c r="J3" s="148"/>
      <c r="K3" s="148"/>
      <c r="L3" s="148"/>
      <c r="M3" s="148"/>
      <c r="N3" s="148"/>
      <c r="O3" s="148"/>
    </row>
    <row r="4" spans="1:15" s="21" customFormat="1" ht="114.75" customHeight="1" x14ac:dyDescent="0.25">
      <c r="A4" s="14" t="s">
        <v>5</v>
      </c>
      <c r="B4" s="148" t="s">
        <v>237</v>
      </c>
      <c r="C4" s="148"/>
      <c r="D4" s="148"/>
      <c r="E4" s="148"/>
      <c r="F4" s="148"/>
      <c r="G4" s="148"/>
      <c r="H4" s="148"/>
      <c r="I4" s="148"/>
      <c r="J4" s="148"/>
      <c r="K4" s="148"/>
      <c r="L4" s="148"/>
      <c r="M4" s="148"/>
      <c r="N4" s="148"/>
      <c r="O4" s="148"/>
    </row>
    <row r="5" spans="1:15" s="21" customFormat="1" ht="114.75" customHeight="1" x14ac:dyDescent="0.25">
      <c r="A5" s="14" t="s">
        <v>6</v>
      </c>
      <c r="B5" s="148" t="s">
        <v>238</v>
      </c>
      <c r="C5" s="148"/>
      <c r="D5" s="148"/>
      <c r="E5" s="148"/>
      <c r="F5" s="148"/>
      <c r="G5" s="148"/>
      <c r="H5" s="148"/>
      <c r="I5" s="148"/>
      <c r="J5" s="148"/>
      <c r="K5" s="148"/>
      <c r="L5" s="148"/>
      <c r="M5" s="148"/>
      <c r="N5" s="148"/>
      <c r="O5" s="148"/>
    </row>
    <row r="6" spans="1:15" s="21" customFormat="1" ht="114.75" customHeight="1" x14ac:dyDescent="0.25">
      <c r="A6" s="14" t="s">
        <v>7</v>
      </c>
      <c r="B6" s="148" t="s">
        <v>239</v>
      </c>
      <c r="C6" s="148"/>
      <c r="D6" s="148"/>
      <c r="E6" s="148"/>
      <c r="F6" s="148"/>
      <c r="G6" s="148"/>
      <c r="H6" s="148"/>
      <c r="I6" s="148"/>
      <c r="J6" s="148"/>
      <c r="K6" s="148"/>
      <c r="L6" s="148"/>
      <c r="M6" s="148"/>
      <c r="N6" s="148"/>
      <c r="O6" s="148"/>
    </row>
    <row r="7" spans="1:15" s="21" customFormat="1" ht="114.75" customHeight="1" x14ac:dyDescent="0.25">
      <c r="A7" s="14" t="s">
        <v>8</v>
      </c>
      <c r="B7" s="148" t="s">
        <v>240</v>
      </c>
      <c r="C7" s="148"/>
      <c r="D7" s="148"/>
      <c r="E7" s="148"/>
      <c r="F7" s="148"/>
      <c r="G7" s="148"/>
      <c r="H7" s="148"/>
      <c r="I7" s="148"/>
      <c r="J7" s="148"/>
      <c r="K7" s="148"/>
      <c r="L7" s="148"/>
      <c r="M7" s="148"/>
      <c r="N7" s="148"/>
      <c r="O7" s="148"/>
    </row>
    <row r="8" spans="1:15" s="21" customFormat="1" ht="23.25" customHeight="1" x14ac:dyDescent="0.25">
      <c r="A8" s="15"/>
      <c r="B8" s="16"/>
      <c r="C8" s="16"/>
      <c r="D8" s="16"/>
      <c r="E8" s="16"/>
      <c r="F8" s="16"/>
      <c r="G8" s="16"/>
      <c r="H8" s="16"/>
      <c r="I8" s="16"/>
      <c r="J8" s="16"/>
      <c r="K8" s="16"/>
      <c r="L8" s="16"/>
      <c r="M8" s="16"/>
      <c r="N8" s="16"/>
      <c r="O8" s="16"/>
    </row>
    <row r="9" spans="1:15" s="21" customFormat="1" ht="34.5" customHeight="1" x14ac:dyDescent="0.25">
      <c r="A9" s="17" t="s">
        <v>221</v>
      </c>
      <c r="B9" s="17">
        <v>4</v>
      </c>
      <c r="C9" s="17">
        <v>5</v>
      </c>
      <c r="D9" s="17">
        <v>5</v>
      </c>
      <c r="E9" s="17">
        <v>4</v>
      </c>
      <c r="F9" s="17">
        <v>4</v>
      </c>
      <c r="G9" s="17">
        <v>5</v>
      </c>
      <c r="H9" s="17">
        <v>3</v>
      </c>
      <c r="I9" s="17">
        <v>4</v>
      </c>
      <c r="J9" s="17">
        <v>3</v>
      </c>
      <c r="K9" s="17">
        <v>5</v>
      </c>
      <c r="L9" s="17">
        <v>6</v>
      </c>
      <c r="M9" s="17">
        <v>3</v>
      </c>
      <c r="N9" s="98">
        <f>[1]PO_AND_PSO!I24</f>
        <v>4</v>
      </c>
      <c r="O9" s="98">
        <f>[1]PO_AND_PSO!I25</f>
        <v>4</v>
      </c>
    </row>
    <row r="10" spans="1:15" s="21" customFormat="1" ht="34.5" customHeight="1" x14ac:dyDescent="0.25">
      <c r="A10" s="151" t="s">
        <v>15</v>
      </c>
      <c r="B10" s="151" t="s">
        <v>111</v>
      </c>
      <c r="C10" s="151"/>
      <c r="D10" s="151"/>
      <c r="E10" s="151"/>
      <c r="F10" s="151"/>
      <c r="G10" s="151"/>
      <c r="H10" s="151"/>
      <c r="I10" s="151"/>
      <c r="J10" s="151"/>
      <c r="K10" s="151"/>
      <c r="L10" s="151"/>
      <c r="M10" s="151"/>
      <c r="N10" s="151"/>
      <c r="O10" s="151"/>
    </row>
    <row r="11" spans="1:15" s="21" customFormat="1" ht="34.5" customHeight="1" x14ac:dyDescent="0.25">
      <c r="A11" s="151"/>
      <c r="B11" s="151" t="s">
        <v>80</v>
      </c>
      <c r="C11" s="151"/>
      <c r="D11" s="151"/>
      <c r="E11" s="151"/>
      <c r="F11" s="151"/>
      <c r="G11" s="151"/>
      <c r="H11" s="151"/>
      <c r="I11" s="151"/>
      <c r="J11" s="151"/>
      <c r="K11" s="151"/>
      <c r="L11" s="151"/>
      <c r="M11" s="14"/>
      <c r="N11" s="151" t="s">
        <v>81</v>
      </c>
      <c r="O11" s="151"/>
    </row>
    <row r="12" spans="1:15" s="21" customFormat="1" ht="34.5" customHeight="1" x14ac:dyDescent="0.25">
      <c r="A12" s="151"/>
      <c r="B12" s="14" t="s">
        <v>16</v>
      </c>
      <c r="C12" s="14" t="s">
        <v>17</v>
      </c>
      <c r="D12" s="14" t="s">
        <v>18</v>
      </c>
      <c r="E12" s="14" t="s">
        <v>19</v>
      </c>
      <c r="F12" s="14" t="s">
        <v>20</v>
      </c>
      <c r="G12" s="14" t="s">
        <v>21</v>
      </c>
      <c r="H12" s="14" t="s">
        <v>22</v>
      </c>
      <c r="I12" s="14" t="s">
        <v>23</v>
      </c>
      <c r="J12" s="14" t="s">
        <v>24</v>
      </c>
      <c r="K12" s="14" t="s">
        <v>25</v>
      </c>
      <c r="L12" s="14" t="s">
        <v>26</v>
      </c>
      <c r="M12" s="14" t="s">
        <v>27</v>
      </c>
      <c r="N12" s="14" t="s">
        <v>28</v>
      </c>
      <c r="O12" s="14" t="s">
        <v>29</v>
      </c>
    </row>
    <row r="13" spans="1:15" s="21" customFormat="1" ht="34.5" customHeight="1" x14ac:dyDescent="0.25">
      <c r="A13" s="23" t="s">
        <v>82</v>
      </c>
      <c r="B13" s="119">
        <v>111</v>
      </c>
      <c r="C13" s="119">
        <v>1101</v>
      </c>
      <c r="D13" s="119">
        <v>0</v>
      </c>
      <c r="E13" s="119">
        <v>0</v>
      </c>
      <c r="F13" s="119">
        <v>0</v>
      </c>
      <c r="G13" s="120">
        <v>0</v>
      </c>
      <c r="H13" s="119">
        <v>0</v>
      </c>
      <c r="I13" s="119">
        <v>0</v>
      </c>
      <c r="J13" s="119">
        <v>0</v>
      </c>
      <c r="K13" s="119">
        <v>0</v>
      </c>
      <c r="L13" s="119">
        <v>0</v>
      </c>
      <c r="M13" s="121">
        <v>0</v>
      </c>
      <c r="N13" s="119">
        <v>0</v>
      </c>
      <c r="O13" s="119">
        <v>1000</v>
      </c>
    </row>
    <row r="14" spans="1:15" s="21" customFormat="1" ht="34.5" customHeight="1" x14ac:dyDescent="0.25">
      <c r="A14" s="24" t="s">
        <v>165</v>
      </c>
      <c r="B14" s="18">
        <f ca="1">SUMPRODUCT(1*MID(B13,ROW(INDIRECT("1:"&amp;LEN(B13))),1))</f>
        <v>3</v>
      </c>
      <c r="C14" s="18">
        <f t="shared" ref="C14:O14" ca="1" si="0">SUMPRODUCT(1*MID(C13,ROW(INDIRECT("1:"&amp;LEN(C13))),1))</f>
        <v>3</v>
      </c>
      <c r="D14" s="18">
        <f t="shared" ca="1" si="0"/>
        <v>0</v>
      </c>
      <c r="E14" s="18">
        <f t="shared" ca="1" si="0"/>
        <v>0</v>
      </c>
      <c r="F14" s="18">
        <f t="shared" ca="1" si="0"/>
        <v>0</v>
      </c>
      <c r="G14" s="18">
        <f t="shared" ca="1" si="0"/>
        <v>0</v>
      </c>
      <c r="H14" s="18">
        <f t="shared" ca="1" si="0"/>
        <v>0</v>
      </c>
      <c r="I14" s="18">
        <f t="shared" ca="1" si="0"/>
        <v>0</v>
      </c>
      <c r="J14" s="18">
        <f t="shared" ca="1" si="0"/>
        <v>0</v>
      </c>
      <c r="K14" s="18">
        <f t="shared" ca="1" si="0"/>
        <v>0</v>
      </c>
      <c r="L14" s="18">
        <f t="shared" ca="1" si="0"/>
        <v>0</v>
      </c>
      <c r="M14" s="18">
        <f t="shared" ca="1" si="0"/>
        <v>0</v>
      </c>
      <c r="N14" s="18">
        <f t="shared" ca="1" si="0"/>
        <v>0</v>
      </c>
      <c r="O14" s="18">
        <f t="shared" ca="1" si="0"/>
        <v>1</v>
      </c>
    </row>
    <row r="15" spans="1:15" s="21" customFormat="1" ht="34.5" customHeight="1" x14ac:dyDescent="0.25">
      <c r="A15" s="24" t="s">
        <v>172</v>
      </c>
      <c r="B15" s="19">
        <f ca="1">(B14/B9)*100</f>
        <v>75</v>
      </c>
      <c r="C15" s="19">
        <f t="shared" ref="C15:O15" ca="1" si="1">(C14/C9)*100</f>
        <v>60</v>
      </c>
      <c r="D15" s="19">
        <f t="shared" ca="1" si="1"/>
        <v>0</v>
      </c>
      <c r="E15" s="19">
        <f t="shared" ca="1" si="1"/>
        <v>0</v>
      </c>
      <c r="F15" s="19">
        <f t="shared" ca="1" si="1"/>
        <v>0</v>
      </c>
      <c r="G15" s="19">
        <f t="shared" ca="1" si="1"/>
        <v>0</v>
      </c>
      <c r="H15" s="19">
        <f t="shared" ca="1" si="1"/>
        <v>0</v>
      </c>
      <c r="I15" s="19">
        <f t="shared" ca="1" si="1"/>
        <v>0</v>
      </c>
      <c r="J15" s="19">
        <f t="shared" ca="1" si="1"/>
        <v>0</v>
      </c>
      <c r="K15" s="19">
        <f t="shared" ca="1" si="1"/>
        <v>0</v>
      </c>
      <c r="L15" s="19">
        <f t="shared" ca="1" si="1"/>
        <v>0</v>
      </c>
      <c r="M15" s="19">
        <f t="shared" ca="1" si="1"/>
        <v>0</v>
      </c>
      <c r="N15" s="19">
        <f t="shared" ca="1" si="1"/>
        <v>0</v>
      </c>
      <c r="O15" s="19">
        <f t="shared" ca="1" si="1"/>
        <v>25</v>
      </c>
    </row>
    <row r="16" spans="1:15" s="21" customFormat="1" ht="34.5" customHeight="1" x14ac:dyDescent="0.25">
      <c r="A16" s="23" t="s">
        <v>83</v>
      </c>
      <c r="B16" s="119">
        <v>111</v>
      </c>
      <c r="C16" s="119">
        <v>111</v>
      </c>
      <c r="D16" s="119">
        <v>110</v>
      </c>
      <c r="E16" s="119">
        <v>0</v>
      </c>
      <c r="F16" s="119">
        <v>0</v>
      </c>
      <c r="G16" s="120">
        <v>0</v>
      </c>
      <c r="H16" s="119">
        <v>0</v>
      </c>
      <c r="I16" s="119">
        <v>0</v>
      </c>
      <c r="J16" s="119">
        <v>0</v>
      </c>
      <c r="K16" s="119">
        <v>0</v>
      </c>
      <c r="L16" s="119">
        <v>0</v>
      </c>
      <c r="M16" s="121">
        <v>0</v>
      </c>
      <c r="N16" s="119">
        <v>0</v>
      </c>
      <c r="O16" s="119">
        <v>1000</v>
      </c>
    </row>
    <row r="17" spans="1:15" s="21" customFormat="1" ht="34.5" customHeight="1" x14ac:dyDescent="0.25">
      <c r="A17" s="24" t="s">
        <v>166</v>
      </c>
      <c r="B17" s="18">
        <f ca="1">SUMPRODUCT(1*MID(B16,ROW(INDIRECT("1:"&amp;LEN(B16))),1))</f>
        <v>3</v>
      </c>
      <c r="C17" s="18">
        <f t="shared" ref="C17:O17" ca="1" si="2">SUMPRODUCT(1*MID(C16,ROW(INDIRECT("1:"&amp;LEN(C16))),1))</f>
        <v>3</v>
      </c>
      <c r="D17" s="18">
        <f t="shared" ca="1" si="2"/>
        <v>2</v>
      </c>
      <c r="E17" s="18">
        <f t="shared" ca="1" si="2"/>
        <v>0</v>
      </c>
      <c r="F17" s="18">
        <f t="shared" ca="1" si="2"/>
        <v>0</v>
      </c>
      <c r="G17" s="18">
        <f t="shared" ca="1" si="2"/>
        <v>0</v>
      </c>
      <c r="H17" s="18">
        <f t="shared" ca="1" si="2"/>
        <v>0</v>
      </c>
      <c r="I17" s="18">
        <f t="shared" ca="1" si="2"/>
        <v>0</v>
      </c>
      <c r="J17" s="18">
        <f t="shared" ca="1" si="2"/>
        <v>0</v>
      </c>
      <c r="K17" s="18">
        <f t="shared" ca="1" si="2"/>
        <v>0</v>
      </c>
      <c r="L17" s="18">
        <f t="shared" ca="1" si="2"/>
        <v>0</v>
      </c>
      <c r="M17" s="18">
        <f t="shared" ca="1" si="2"/>
        <v>0</v>
      </c>
      <c r="N17" s="18">
        <f t="shared" ca="1" si="2"/>
        <v>0</v>
      </c>
      <c r="O17" s="18">
        <f t="shared" ca="1" si="2"/>
        <v>1</v>
      </c>
    </row>
    <row r="18" spans="1:15" s="21" customFormat="1" ht="34.5" customHeight="1" x14ac:dyDescent="0.25">
      <c r="A18" s="24" t="s">
        <v>171</v>
      </c>
      <c r="B18" s="19">
        <f ca="1">(B17/B9)*100</f>
        <v>75</v>
      </c>
      <c r="C18" s="19">
        <f t="shared" ref="C18:O18" ca="1" si="3">(C17/C9)*100</f>
        <v>60</v>
      </c>
      <c r="D18" s="19">
        <f t="shared" ca="1" si="3"/>
        <v>40</v>
      </c>
      <c r="E18" s="19">
        <f t="shared" ca="1" si="3"/>
        <v>0</v>
      </c>
      <c r="F18" s="19">
        <f t="shared" ca="1" si="3"/>
        <v>0</v>
      </c>
      <c r="G18" s="19">
        <f t="shared" ca="1" si="3"/>
        <v>0</v>
      </c>
      <c r="H18" s="19">
        <f t="shared" ca="1" si="3"/>
        <v>0</v>
      </c>
      <c r="I18" s="19">
        <f t="shared" ca="1" si="3"/>
        <v>0</v>
      </c>
      <c r="J18" s="19">
        <f t="shared" ca="1" si="3"/>
        <v>0</v>
      </c>
      <c r="K18" s="19">
        <f t="shared" ca="1" si="3"/>
        <v>0</v>
      </c>
      <c r="L18" s="19">
        <f t="shared" ca="1" si="3"/>
        <v>0</v>
      </c>
      <c r="M18" s="19">
        <f t="shared" ca="1" si="3"/>
        <v>0</v>
      </c>
      <c r="N18" s="19">
        <f t="shared" ca="1" si="3"/>
        <v>0</v>
      </c>
      <c r="O18" s="19">
        <f t="shared" ca="1" si="3"/>
        <v>25</v>
      </c>
    </row>
    <row r="19" spans="1:15" s="21" customFormat="1" ht="34.5" customHeight="1" x14ac:dyDescent="0.25">
      <c r="A19" s="23" t="s">
        <v>84</v>
      </c>
      <c r="B19" s="119">
        <v>111</v>
      </c>
      <c r="C19" s="119">
        <v>0</v>
      </c>
      <c r="D19" s="119">
        <v>111</v>
      </c>
      <c r="E19" s="119">
        <v>0</v>
      </c>
      <c r="F19" s="119">
        <v>0</v>
      </c>
      <c r="G19" s="120">
        <v>0</v>
      </c>
      <c r="H19" s="119">
        <v>0</v>
      </c>
      <c r="I19" s="119">
        <v>0</v>
      </c>
      <c r="J19" s="119">
        <v>0</v>
      </c>
      <c r="K19" s="119">
        <v>0</v>
      </c>
      <c r="L19" s="119">
        <v>0</v>
      </c>
      <c r="M19" s="121">
        <v>100</v>
      </c>
      <c r="N19" s="119">
        <v>0</v>
      </c>
      <c r="O19" s="119">
        <v>1000</v>
      </c>
    </row>
    <row r="20" spans="1:15" s="21" customFormat="1" ht="34.5" customHeight="1" x14ac:dyDescent="0.25">
      <c r="A20" s="24" t="s">
        <v>167</v>
      </c>
      <c r="B20" s="18">
        <f ca="1">SUMPRODUCT(1*MID(B19,ROW(INDIRECT("1:"&amp;LEN(B19))),1))</f>
        <v>3</v>
      </c>
      <c r="C20" s="18">
        <f t="shared" ref="C20:O20" ca="1" si="4">SUMPRODUCT(1*MID(C19,ROW(INDIRECT("1:"&amp;LEN(C19))),1))</f>
        <v>0</v>
      </c>
      <c r="D20" s="18">
        <f t="shared" ca="1" si="4"/>
        <v>3</v>
      </c>
      <c r="E20" s="18">
        <f t="shared" ca="1" si="4"/>
        <v>0</v>
      </c>
      <c r="F20" s="18">
        <f t="shared" ca="1" si="4"/>
        <v>0</v>
      </c>
      <c r="G20" s="18">
        <f t="shared" ca="1" si="4"/>
        <v>0</v>
      </c>
      <c r="H20" s="18">
        <f t="shared" ca="1" si="4"/>
        <v>0</v>
      </c>
      <c r="I20" s="18">
        <f t="shared" ca="1" si="4"/>
        <v>0</v>
      </c>
      <c r="J20" s="18">
        <f t="shared" ca="1" si="4"/>
        <v>0</v>
      </c>
      <c r="K20" s="18">
        <f t="shared" ca="1" si="4"/>
        <v>0</v>
      </c>
      <c r="L20" s="18">
        <f t="shared" ca="1" si="4"/>
        <v>0</v>
      </c>
      <c r="M20" s="18">
        <f t="shared" ca="1" si="4"/>
        <v>1</v>
      </c>
      <c r="N20" s="18">
        <f t="shared" ca="1" si="4"/>
        <v>0</v>
      </c>
      <c r="O20" s="18">
        <f t="shared" ca="1" si="4"/>
        <v>1</v>
      </c>
    </row>
    <row r="21" spans="1:15" s="21" customFormat="1" ht="34.5" customHeight="1" x14ac:dyDescent="0.25">
      <c r="A21" s="24" t="s">
        <v>117</v>
      </c>
      <c r="B21" s="19">
        <f ca="1">(B20/B9)*100</f>
        <v>75</v>
      </c>
      <c r="C21" s="19">
        <f t="shared" ref="C21:O21" ca="1" si="5">(C20/C9)*100</f>
        <v>0</v>
      </c>
      <c r="D21" s="19">
        <f t="shared" ca="1" si="5"/>
        <v>60</v>
      </c>
      <c r="E21" s="19">
        <f t="shared" ca="1" si="5"/>
        <v>0</v>
      </c>
      <c r="F21" s="19">
        <f t="shared" ca="1" si="5"/>
        <v>0</v>
      </c>
      <c r="G21" s="19">
        <f t="shared" ca="1" si="5"/>
        <v>0</v>
      </c>
      <c r="H21" s="19">
        <f t="shared" ca="1" si="5"/>
        <v>0</v>
      </c>
      <c r="I21" s="19">
        <f t="shared" ca="1" si="5"/>
        <v>0</v>
      </c>
      <c r="J21" s="19">
        <f t="shared" ca="1" si="5"/>
        <v>0</v>
      </c>
      <c r="K21" s="19">
        <f t="shared" ca="1" si="5"/>
        <v>0</v>
      </c>
      <c r="L21" s="19">
        <f t="shared" ca="1" si="5"/>
        <v>0</v>
      </c>
      <c r="M21" s="19">
        <f t="shared" ca="1" si="5"/>
        <v>33.333333333333329</v>
      </c>
      <c r="N21" s="19">
        <f t="shared" ca="1" si="5"/>
        <v>0</v>
      </c>
      <c r="O21" s="19">
        <f t="shared" ca="1" si="5"/>
        <v>25</v>
      </c>
    </row>
    <row r="22" spans="1:15" s="21" customFormat="1" ht="34.5" customHeight="1" x14ac:dyDescent="0.25">
      <c r="A22" s="23" t="s">
        <v>85</v>
      </c>
      <c r="B22" s="119">
        <v>0</v>
      </c>
      <c r="C22" s="119">
        <v>1111</v>
      </c>
      <c r="D22" s="119">
        <v>0</v>
      </c>
      <c r="E22" s="119">
        <v>1000</v>
      </c>
      <c r="F22" s="119">
        <v>0</v>
      </c>
      <c r="G22" s="120">
        <v>0</v>
      </c>
      <c r="H22" s="119">
        <v>0</v>
      </c>
      <c r="I22" s="119">
        <v>0</v>
      </c>
      <c r="J22" s="119">
        <v>0</v>
      </c>
      <c r="K22" s="119">
        <v>0</v>
      </c>
      <c r="L22" s="119">
        <v>0</v>
      </c>
      <c r="M22" s="121">
        <v>100</v>
      </c>
      <c r="N22" s="119">
        <v>1000</v>
      </c>
      <c r="O22" s="119">
        <v>0</v>
      </c>
    </row>
    <row r="23" spans="1:15" s="21" customFormat="1" ht="34.5" customHeight="1" x14ac:dyDescent="0.25">
      <c r="A23" s="24" t="s">
        <v>168</v>
      </c>
      <c r="B23" s="18">
        <f ca="1">SUMPRODUCT(1*MID(B22,ROW(INDIRECT("1:"&amp;LEN(B22))),1))</f>
        <v>0</v>
      </c>
      <c r="C23" s="18">
        <f t="shared" ref="C23:O23" ca="1" si="6">SUMPRODUCT(1*MID(C22,ROW(INDIRECT("1:"&amp;LEN(C22))),1))</f>
        <v>4</v>
      </c>
      <c r="D23" s="18">
        <f t="shared" ca="1" si="6"/>
        <v>0</v>
      </c>
      <c r="E23" s="18">
        <f t="shared" ca="1" si="6"/>
        <v>1</v>
      </c>
      <c r="F23" s="18">
        <f t="shared" ca="1" si="6"/>
        <v>0</v>
      </c>
      <c r="G23" s="18">
        <f t="shared" ca="1" si="6"/>
        <v>0</v>
      </c>
      <c r="H23" s="18">
        <f t="shared" ca="1" si="6"/>
        <v>0</v>
      </c>
      <c r="I23" s="18">
        <f t="shared" ca="1" si="6"/>
        <v>0</v>
      </c>
      <c r="J23" s="18">
        <f t="shared" ca="1" si="6"/>
        <v>0</v>
      </c>
      <c r="K23" s="18">
        <f t="shared" ca="1" si="6"/>
        <v>0</v>
      </c>
      <c r="L23" s="18">
        <f t="shared" ca="1" si="6"/>
        <v>0</v>
      </c>
      <c r="M23" s="18">
        <f t="shared" ca="1" si="6"/>
        <v>1</v>
      </c>
      <c r="N23" s="18">
        <f t="shared" ca="1" si="6"/>
        <v>1</v>
      </c>
      <c r="O23" s="18">
        <f t="shared" ca="1" si="6"/>
        <v>0</v>
      </c>
    </row>
    <row r="24" spans="1:15" s="21" customFormat="1" ht="34.5" customHeight="1" x14ac:dyDescent="0.25">
      <c r="A24" s="24" t="s">
        <v>118</v>
      </c>
      <c r="B24" s="19">
        <f ca="1">(B23/B9)*100</f>
        <v>0</v>
      </c>
      <c r="C24" s="19">
        <f t="shared" ref="C24:O24" ca="1" si="7">(C23/C9)*100</f>
        <v>80</v>
      </c>
      <c r="D24" s="19">
        <f t="shared" ca="1" si="7"/>
        <v>0</v>
      </c>
      <c r="E24" s="19">
        <f t="shared" ca="1" si="7"/>
        <v>25</v>
      </c>
      <c r="F24" s="19">
        <f t="shared" ca="1" si="7"/>
        <v>0</v>
      </c>
      <c r="G24" s="19">
        <f t="shared" ca="1" si="7"/>
        <v>0</v>
      </c>
      <c r="H24" s="19">
        <f t="shared" ca="1" si="7"/>
        <v>0</v>
      </c>
      <c r="I24" s="19">
        <f t="shared" ca="1" si="7"/>
        <v>0</v>
      </c>
      <c r="J24" s="19">
        <f t="shared" ca="1" si="7"/>
        <v>0</v>
      </c>
      <c r="K24" s="19">
        <f t="shared" ca="1" si="7"/>
        <v>0</v>
      </c>
      <c r="L24" s="19">
        <f t="shared" ca="1" si="7"/>
        <v>0</v>
      </c>
      <c r="M24" s="19">
        <f t="shared" ca="1" si="7"/>
        <v>33.333333333333329</v>
      </c>
      <c r="N24" s="19">
        <f t="shared" ca="1" si="7"/>
        <v>25</v>
      </c>
      <c r="O24" s="19">
        <f t="shared" ca="1" si="7"/>
        <v>0</v>
      </c>
    </row>
    <row r="25" spans="1:15" s="21" customFormat="1" ht="34.5" customHeight="1" x14ac:dyDescent="0.25">
      <c r="A25" s="23" t="s">
        <v>86</v>
      </c>
      <c r="B25" s="119">
        <v>0</v>
      </c>
      <c r="C25" s="119">
        <v>1111</v>
      </c>
      <c r="D25" s="119">
        <v>1010</v>
      </c>
      <c r="E25" s="119">
        <v>1</v>
      </c>
      <c r="F25" s="119">
        <v>0</v>
      </c>
      <c r="G25" s="120">
        <v>0</v>
      </c>
      <c r="H25" s="119">
        <v>0</v>
      </c>
      <c r="I25" s="119">
        <v>0</v>
      </c>
      <c r="J25" s="119">
        <v>0</v>
      </c>
      <c r="K25" s="119">
        <v>0</v>
      </c>
      <c r="L25" s="119">
        <v>0</v>
      </c>
      <c r="M25" s="121">
        <v>100</v>
      </c>
      <c r="N25" s="119">
        <v>1000</v>
      </c>
      <c r="O25" s="119">
        <v>0</v>
      </c>
    </row>
    <row r="26" spans="1:15" s="21" customFormat="1" ht="34.5" customHeight="1" x14ac:dyDescent="0.25">
      <c r="A26" s="24" t="s">
        <v>169</v>
      </c>
      <c r="B26" s="18">
        <f ca="1">SUMPRODUCT(1*MID(B25,ROW(INDIRECT("1:"&amp;LEN(B25))),1))</f>
        <v>0</v>
      </c>
      <c r="C26" s="18">
        <f t="shared" ref="C26:O26" ca="1" si="8">SUMPRODUCT(1*MID(C25,ROW(INDIRECT("1:"&amp;LEN(C25))),1))</f>
        <v>4</v>
      </c>
      <c r="D26" s="18">
        <f t="shared" ca="1" si="8"/>
        <v>2</v>
      </c>
      <c r="E26" s="18">
        <f t="shared" ca="1" si="8"/>
        <v>1</v>
      </c>
      <c r="F26" s="18">
        <f t="shared" ca="1" si="8"/>
        <v>0</v>
      </c>
      <c r="G26" s="18">
        <f t="shared" ca="1" si="8"/>
        <v>0</v>
      </c>
      <c r="H26" s="18">
        <f t="shared" ca="1" si="8"/>
        <v>0</v>
      </c>
      <c r="I26" s="18">
        <f t="shared" ca="1" si="8"/>
        <v>0</v>
      </c>
      <c r="J26" s="18">
        <f t="shared" ca="1" si="8"/>
        <v>0</v>
      </c>
      <c r="K26" s="18">
        <f t="shared" ca="1" si="8"/>
        <v>0</v>
      </c>
      <c r="L26" s="18">
        <f t="shared" ca="1" si="8"/>
        <v>0</v>
      </c>
      <c r="M26" s="18">
        <f t="shared" ca="1" si="8"/>
        <v>1</v>
      </c>
      <c r="N26" s="18">
        <f t="shared" ca="1" si="8"/>
        <v>1</v>
      </c>
      <c r="O26" s="18">
        <f t="shared" ca="1" si="8"/>
        <v>0</v>
      </c>
    </row>
    <row r="27" spans="1:15" s="21" customFormat="1" ht="34.5" customHeight="1" x14ac:dyDescent="0.25">
      <c r="A27" s="24" t="s">
        <v>170</v>
      </c>
      <c r="B27" s="19">
        <f ca="1">(B26/B9)*100</f>
        <v>0</v>
      </c>
      <c r="C27" s="19">
        <f t="shared" ref="C27:O27" ca="1" si="9">(C26/C9)*100</f>
        <v>80</v>
      </c>
      <c r="D27" s="19">
        <f t="shared" ca="1" si="9"/>
        <v>40</v>
      </c>
      <c r="E27" s="19">
        <f t="shared" ca="1" si="9"/>
        <v>25</v>
      </c>
      <c r="F27" s="19">
        <f t="shared" ca="1" si="9"/>
        <v>0</v>
      </c>
      <c r="G27" s="19">
        <f t="shared" ca="1" si="9"/>
        <v>0</v>
      </c>
      <c r="H27" s="19">
        <f t="shared" ca="1" si="9"/>
        <v>0</v>
      </c>
      <c r="I27" s="19">
        <f t="shared" ca="1" si="9"/>
        <v>0</v>
      </c>
      <c r="J27" s="19">
        <f t="shared" ca="1" si="9"/>
        <v>0</v>
      </c>
      <c r="K27" s="19">
        <f t="shared" ca="1" si="9"/>
        <v>0</v>
      </c>
      <c r="L27" s="19">
        <f t="shared" ca="1" si="9"/>
        <v>0</v>
      </c>
      <c r="M27" s="19">
        <f t="shared" ca="1" si="9"/>
        <v>33.333333333333329</v>
      </c>
      <c r="N27" s="19">
        <f t="shared" ca="1" si="9"/>
        <v>25</v>
      </c>
      <c r="O27" s="19">
        <f t="shared" ca="1" si="9"/>
        <v>0</v>
      </c>
    </row>
    <row r="28" spans="1:15" s="21" customFormat="1" ht="17.25" customHeight="1" x14ac:dyDescent="0.25">
      <c r="A28" s="15"/>
      <c r="B28" s="16"/>
      <c r="C28" s="16"/>
      <c r="D28" s="16"/>
      <c r="E28" s="16"/>
      <c r="F28" s="16"/>
      <c r="G28" s="16"/>
      <c r="H28" s="16"/>
      <c r="I28" s="16"/>
      <c r="J28" s="16"/>
      <c r="K28" s="16"/>
      <c r="L28" s="16"/>
      <c r="M28" s="16"/>
      <c r="N28" s="16"/>
      <c r="O28" s="16"/>
    </row>
    <row r="29" spans="1:15" s="21" customFormat="1" ht="28.5" customHeight="1" x14ac:dyDescent="0.25">
      <c r="A29" s="149" t="s">
        <v>88</v>
      </c>
      <c r="B29" s="149"/>
      <c r="C29" s="149"/>
      <c r="D29" s="149"/>
      <c r="E29" s="149"/>
      <c r="F29" s="149"/>
      <c r="G29" s="149"/>
      <c r="H29" s="149"/>
      <c r="I29" s="149"/>
      <c r="J29" s="149"/>
      <c r="K29" s="149"/>
      <c r="L29" s="149"/>
      <c r="M29" s="149"/>
      <c r="N29" s="149"/>
      <c r="O29" s="149"/>
    </row>
    <row r="30" spans="1:15" s="21" customFormat="1" ht="38.25" customHeight="1" x14ac:dyDescent="0.25">
      <c r="A30" s="143" t="s">
        <v>89</v>
      </c>
      <c r="B30" s="143"/>
      <c r="C30" s="143"/>
      <c r="D30" s="143" t="s">
        <v>90</v>
      </c>
      <c r="E30" s="143"/>
      <c r="F30" s="143"/>
      <c r="G30" s="142" t="s">
        <v>91</v>
      </c>
      <c r="H30" s="142"/>
      <c r="I30" s="142"/>
      <c r="J30" s="142"/>
      <c r="K30" s="142"/>
      <c r="L30" s="142"/>
      <c r="M30" s="142"/>
      <c r="N30" s="142"/>
      <c r="O30" s="142"/>
    </row>
    <row r="31" spans="1:15" s="21" customFormat="1" ht="38.25" customHeight="1" x14ac:dyDescent="0.25">
      <c r="A31" s="143"/>
      <c r="B31" s="143"/>
      <c r="C31" s="143"/>
      <c r="D31" s="143"/>
      <c r="E31" s="143"/>
      <c r="F31" s="143"/>
      <c r="G31" s="142" t="s">
        <v>92</v>
      </c>
      <c r="H31" s="142"/>
      <c r="I31" s="142"/>
      <c r="J31" s="142"/>
      <c r="K31" s="142" t="s">
        <v>93</v>
      </c>
      <c r="L31" s="142"/>
      <c r="M31" s="142"/>
      <c r="N31" s="142"/>
      <c r="O31" s="142"/>
    </row>
    <row r="32" spans="1:15" s="21" customFormat="1" ht="42.75" customHeight="1" x14ac:dyDescent="0.25">
      <c r="A32" s="144" t="s">
        <v>94</v>
      </c>
      <c r="B32" s="144"/>
      <c r="C32" s="144"/>
      <c r="D32" s="141" t="s">
        <v>95</v>
      </c>
      <c r="E32" s="141"/>
      <c r="F32" s="141"/>
      <c r="G32" s="141" t="s">
        <v>96</v>
      </c>
      <c r="H32" s="141"/>
      <c r="I32" s="141"/>
      <c r="J32" s="141"/>
      <c r="K32" s="141" t="s">
        <v>96</v>
      </c>
      <c r="L32" s="141"/>
      <c r="M32" s="141"/>
      <c r="N32" s="141"/>
      <c r="O32" s="141"/>
    </row>
    <row r="33" spans="1:15" s="21" customFormat="1" ht="42.75" customHeight="1" x14ac:dyDescent="0.25">
      <c r="A33" s="144" t="s">
        <v>97</v>
      </c>
      <c r="B33" s="144"/>
      <c r="C33" s="144"/>
      <c r="D33" s="141" t="s">
        <v>98</v>
      </c>
      <c r="E33" s="141"/>
      <c r="F33" s="141"/>
      <c r="G33" s="141">
        <v>1</v>
      </c>
      <c r="H33" s="141"/>
      <c r="I33" s="141"/>
      <c r="J33" s="141"/>
      <c r="K33" s="141" t="s">
        <v>99</v>
      </c>
      <c r="L33" s="141"/>
      <c r="M33" s="141"/>
      <c r="N33" s="141"/>
      <c r="O33" s="141"/>
    </row>
    <row r="34" spans="1:15" s="21" customFormat="1" ht="42.75" customHeight="1" x14ac:dyDescent="0.25">
      <c r="A34" s="144" t="s">
        <v>100</v>
      </c>
      <c r="B34" s="144"/>
      <c r="C34" s="144"/>
      <c r="D34" s="141" t="s">
        <v>101</v>
      </c>
      <c r="E34" s="141"/>
      <c r="F34" s="141"/>
      <c r="G34" s="141">
        <v>2</v>
      </c>
      <c r="H34" s="141"/>
      <c r="I34" s="141"/>
      <c r="J34" s="141"/>
      <c r="K34" s="141" t="s">
        <v>102</v>
      </c>
      <c r="L34" s="141"/>
      <c r="M34" s="141"/>
      <c r="N34" s="141"/>
      <c r="O34" s="141"/>
    </row>
    <row r="35" spans="1:15" s="21" customFormat="1" ht="42.75" customHeight="1" x14ac:dyDescent="0.25">
      <c r="A35" s="144" t="s">
        <v>103</v>
      </c>
      <c r="B35" s="144"/>
      <c r="C35" s="144"/>
      <c r="D35" s="141" t="s">
        <v>104</v>
      </c>
      <c r="E35" s="141"/>
      <c r="F35" s="141"/>
      <c r="G35" s="141">
        <v>3</v>
      </c>
      <c r="H35" s="141"/>
      <c r="I35" s="141"/>
      <c r="J35" s="141"/>
      <c r="K35" s="141" t="s">
        <v>105</v>
      </c>
      <c r="L35" s="141"/>
      <c r="M35" s="141"/>
      <c r="N35" s="141"/>
      <c r="O35" s="141"/>
    </row>
    <row r="36" spans="1:15" s="21" customFormat="1" ht="22.5" x14ac:dyDescent="0.25">
      <c r="D36" s="25"/>
    </row>
    <row r="37" spans="1:15" s="21" customFormat="1" ht="37.5" customHeight="1" x14ac:dyDescent="0.25">
      <c r="A37" s="145" t="s">
        <v>106</v>
      </c>
      <c r="B37" s="145"/>
      <c r="C37" s="145"/>
      <c r="D37" s="145"/>
      <c r="E37" s="145"/>
      <c r="F37" s="145"/>
      <c r="G37" s="145"/>
      <c r="H37" s="145"/>
      <c r="I37" s="145"/>
      <c r="J37" s="145"/>
      <c r="K37" s="145"/>
      <c r="L37" s="145"/>
      <c r="M37" s="145"/>
      <c r="N37" s="145"/>
      <c r="O37" s="145"/>
    </row>
    <row r="38" spans="1:15" s="21" customFormat="1" ht="22.5" x14ac:dyDescent="0.25">
      <c r="A38" s="142" t="s">
        <v>107</v>
      </c>
      <c r="B38" s="142"/>
      <c r="C38" s="142"/>
      <c r="D38" s="142"/>
      <c r="E38" s="142"/>
      <c r="F38" s="142"/>
      <c r="G38" s="142"/>
      <c r="H38" s="142"/>
      <c r="I38" s="142"/>
      <c r="J38" s="142"/>
      <c r="K38" s="142"/>
      <c r="L38" s="142"/>
      <c r="M38" s="142"/>
      <c r="N38" s="142"/>
      <c r="O38" s="142"/>
    </row>
    <row r="39" spans="1:15" s="21" customFormat="1" ht="51.75" customHeight="1" x14ac:dyDescent="0.25">
      <c r="A39" s="143" t="s">
        <v>175</v>
      </c>
      <c r="B39" s="142"/>
      <c r="C39" s="142"/>
      <c r="D39" s="142"/>
      <c r="E39" s="142"/>
      <c r="F39" s="142"/>
      <c r="G39" s="142"/>
      <c r="H39" s="142"/>
      <c r="I39" s="142"/>
      <c r="J39" s="142"/>
      <c r="K39" s="142"/>
      <c r="L39" s="142"/>
      <c r="M39" s="142"/>
      <c r="N39" s="142"/>
      <c r="O39" s="142"/>
    </row>
    <row r="40" spans="1:15" s="21" customFormat="1" ht="33" customHeight="1" x14ac:dyDescent="0.25">
      <c r="A40" s="142" t="s">
        <v>15</v>
      </c>
      <c r="B40" s="142" t="s">
        <v>108</v>
      </c>
      <c r="C40" s="142"/>
      <c r="D40" s="142"/>
      <c r="E40" s="142"/>
      <c r="F40" s="142"/>
      <c r="G40" s="142"/>
      <c r="H40" s="142"/>
      <c r="I40" s="142"/>
      <c r="J40" s="142"/>
      <c r="K40" s="142"/>
      <c r="L40" s="142"/>
      <c r="M40" s="20"/>
      <c r="N40" s="142" t="s">
        <v>81</v>
      </c>
      <c r="O40" s="142"/>
    </row>
    <row r="41" spans="1:15" s="21" customFormat="1" ht="33" customHeight="1" x14ac:dyDescent="0.25">
      <c r="A41" s="142"/>
      <c r="B41" s="20" t="s">
        <v>16</v>
      </c>
      <c r="C41" s="20" t="s">
        <v>17</v>
      </c>
      <c r="D41" s="20" t="s">
        <v>18</v>
      </c>
      <c r="E41" s="20" t="s">
        <v>19</v>
      </c>
      <c r="F41" s="20" t="s">
        <v>20</v>
      </c>
      <c r="G41" s="20" t="s">
        <v>21</v>
      </c>
      <c r="H41" s="20" t="s">
        <v>22</v>
      </c>
      <c r="I41" s="20" t="s">
        <v>23</v>
      </c>
      <c r="J41" s="20" t="s">
        <v>24</v>
      </c>
      <c r="K41" s="20" t="s">
        <v>25</v>
      </c>
      <c r="L41" s="20" t="s">
        <v>26</v>
      </c>
      <c r="M41" s="20" t="s">
        <v>27</v>
      </c>
      <c r="N41" s="20" t="s">
        <v>28</v>
      </c>
      <c r="O41" s="20" t="s">
        <v>29</v>
      </c>
    </row>
    <row r="42" spans="1:15" s="21" customFormat="1" ht="33" customHeight="1" x14ac:dyDescent="0.25">
      <c r="A42" s="14" t="s">
        <v>4</v>
      </c>
      <c r="B42" s="18" t="str">
        <f t="shared" ref="B42:O42" ca="1" si="10">IF(B15&lt;25,"-",IF(AND(B15&gt;=25,B15&lt;50),"1",IF(AND(B15&gt;=50,B15&lt;75),"2",IF(B15&gt;=75,"3"))))</f>
        <v>3</v>
      </c>
      <c r="C42" s="18" t="str">
        <f t="shared" ca="1" si="10"/>
        <v>2</v>
      </c>
      <c r="D42" s="18" t="str">
        <f t="shared" ca="1" si="10"/>
        <v>-</v>
      </c>
      <c r="E42" s="18" t="str">
        <f t="shared" ca="1" si="10"/>
        <v>-</v>
      </c>
      <c r="F42" s="18" t="str">
        <f t="shared" ca="1" si="10"/>
        <v>-</v>
      </c>
      <c r="G42" s="18" t="str">
        <f t="shared" ca="1" si="10"/>
        <v>-</v>
      </c>
      <c r="H42" s="18" t="str">
        <f t="shared" ca="1" si="10"/>
        <v>-</v>
      </c>
      <c r="I42" s="18" t="str">
        <f t="shared" ca="1" si="10"/>
        <v>-</v>
      </c>
      <c r="J42" s="18" t="str">
        <f t="shared" ca="1" si="10"/>
        <v>-</v>
      </c>
      <c r="K42" s="18" t="str">
        <f t="shared" ca="1" si="10"/>
        <v>-</v>
      </c>
      <c r="L42" s="18" t="str">
        <f t="shared" ca="1" si="10"/>
        <v>-</v>
      </c>
      <c r="M42" s="18" t="str">
        <f t="shared" ca="1" si="10"/>
        <v>-</v>
      </c>
      <c r="N42" s="18" t="str">
        <f t="shared" ca="1" si="10"/>
        <v>-</v>
      </c>
      <c r="O42" s="18" t="str">
        <f t="shared" ca="1" si="10"/>
        <v>1</v>
      </c>
    </row>
    <row r="43" spans="1:15" s="21" customFormat="1" ht="33" customHeight="1" x14ac:dyDescent="0.25">
      <c r="A43" s="14" t="s">
        <v>5</v>
      </c>
      <c r="B43" s="18" t="str">
        <f t="shared" ref="B43:O43" ca="1" si="11">IF(B18&lt;25,"-",IF(AND(B18&gt;=25,B18&lt;50),"1",IF(AND(B18&gt;=50,B18&lt;75),"2",IF(B18&gt;=75,"3"))))</f>
        <v>3</v>
      </c>
      <c r="C43" s="18" t="str">
        <f t="shared" ca="1" si="11"/>
        <v>2</v>
      </c>
      <c r="D43" s="18" t="str">
        <f t="shared" ca="1" si="11"/>
        <v>1</v>
      </c>
      <c r="E43" s="18" t="str">
        <f t="shared" ca="1" si="11"/>
        <v>-</v>
      </c>
      <c r="F43" s="18" t="str">
        <f t="shared" ca="1" si="11"/>
        <v>-</v>
      </c>
      <c r="G43" s="18" t="str">
        <f t="shared" ca="1" si="11"/>
        <v>-</v>
      </c>
      <c r="H43" s="18" t="str">
        <f t="shared" ca="1" si="11"/>
        <v>-</v>
      </c>
      <c r="I43" s="18" t="str">
        <f t="shared" ca="1" si="11"/>
        <v>-</v>
      </c>
      <c r="J43" s="18" t="str">
        <f t="shared" ca="1" si="11"/>
        <v>-</v>
      </c>
      <c r="K43" s="18" t="str">
        <f t="shared" ca="1" si="11"/>
        <v>-</v>
      </c>
      <c r="L43" s="18" t="str">
        <f t="shared" ca="1" si="11"/>
        <v>-</v>
      </c>
      <c r="M43" s="18" t="str">
        <f t="shared" ca="1" si="11"/>
        <v>-</v>
      </c>
      <c r="N43" s="18" t="str">
        <f t="shared" ca="1" si="11"/>
        <v>-</v>
      </c>
      <c r="O43" s="18" t="str">
        <f t="shared" ca="1" si="11"/>
        <v>1</v>
      </c>
    </row>
    <row r="44" spans="1:15" s="21" customFormat="1" ht="33" customHeight="1" x14ac:dyDescent="0.25">
      <c r="A44" s="14" t="s">
        <v>6</v>
      </c>
      <c r="B44" s="18" t="str">
        <f t="shared" ref="B44:O44" ca="1" si="12">IF(B21&lt;25,"-",IF(AND(B21&gt;=25,B21&lt;50),"1",IF(AND(B21&gt;=50,B21&lt;75),"2",IF(B21&gt;=75,"3"))))</f>
        <v>3</v>
      </c>
      <c r="C44" s="18" t="str">
        <f t="shared" ca="1" si="12"/>
        <v>-</v>
      </c>
      <c r="D44" s="18" t="str">
        <f t="shared" ca="1" si="12"/>
        <v>2</v>
      </c>
      <c r="E44" s="18" t="str">
        <f t="shared" ca="1" si="12"/>
        <v>-</v>
      </c>
      <c r="F44" s="18" t="str">
        <f t="shared" ca="1" si="12"/>
        <v>-</v>
      </c>
      <c r="G44" s="18" t="str">
        <f t="shared" ca="1" si="12"/>
        <v>-</v>
      </c>
      <c r="H44" s="18" t="str">
        <f t="shared" ca="1" si="12"/>
        <v>-</v>
      </c>
      <c r="I44" s="18" t="str">
        <f t="shared" ca="1" si="12"/>
        <v>-</v>
      </c>
      <c r="J44" s="18" t="str">
        <f t="shared" ca="1" si="12"/>
        <v>-</v>
      </c>
      <c r="K44" s="18" t="str">
        <f t="shared" ca="1" si="12"/>
        <v>-</v>
      </c>
      <c r="L44" s="18" t="str">
        <f t="shared" ca="1" si="12"/>
        <v>-</v>
      </c>
      <c r="M44" s="18" t="str">
        <f t="shared" ca="1" si="12"/>
        <v>1</v>
      </c>
      <c r="N44" s="18" t="str">
        <f t="shared" ca="1" si="12"/>
        <v>-</v>
      </c>
      <c r="O44" s="18" t="str">
        <f t="shared" ca="1" si="12"/>
        <v>1</v>
      </c>
    </row>
    <row r="45" spans="1:15" s="21" customFormat="1" ht="33" customHeight="1" x14ac:dyDescent="0.25">
      <c r="A45" s="14" t="s">
        <v>7</v>
      </c>
      <c r="B45" s="18" t="str">
        <f t="shared" ref="B45:O45" ca="1" si="13">IF(B24&lt;25,"-",IF(AND(B24&gt;=25,B24&lt;50),"1",IF(AND(B24&gt;=50,B24&lt;75),"2",IF(B24&gt;=75,"3"))))</f>
        <v>-</v>
      </c>
      <c r="C45" s="18" t="str">
        <f t="shared" ca="1" si="13"/>
        <v>3</v>
      </c>
      <c r="D45" s="18" t="str">
        <f t="shared" ca="1" si="13"/>
        <v>-</v>
      </c>
      <c r="E45" s="18" t="str">
        <f t="shared" ca="1" si="13"/>
        <v>1</v>
      </c>
      <c r="F45" s="18" t="str">
        <f t="shared" ca="1" si="13"/>
        <v>-</v>
      </c>
      <c r="G45" s="18" t="str">
        <f t="shared" ca="1" si="13"/>
        <v>-</v>
      </c>
      <c r="H45" s="18" t="str">
        <f t="shared" ca="1" si="13"/>
        <v>-</v>
      </c>
      <c r="I45" s="18" t="str">
        <f t="shared" ca="1" si="13"/>
        <v>-</v>
      </c>
      <c r="J45" s="18" t="str">
        <f t="shared" ca="1" si="13"/>
        <v>-</v>
      </c>
      <c r="K45" s="18" t="str">
        <f t="shared" ca="1" si="13"/>
        <v>-</v>
      </c>
      <c r="L45" s="18" t="str">
        <f t="shared" ca="1" si="13"/>
        <v>-</v>
      </c>
      <c r="M45" s="18" t="str">
        <f t="shared" ca="1" si="13"/>
        <v>1</v>
      </c>
      <c r="N45" s="18" t="str">
        <f t="shared" ca="1" si="13"/>
        <v>1</v>
      </c>
      <c r="O45" s="18" t="str">
        <f t="shared" ca="1" si="13"/>
        <v>-</v>
      </c>
    </row>
    <row r="46" spans="1:15" s="21" customFormat="1" ht="33" customHeight="1" x14ac:dyDescent="0.25">
      <c r="A46" s="14" t="s">
        <v>8</v>
      </c>
      <c r="B46" s="18" t="str">
        <f t="shared" ref="B46:O46" ca="1" si="14">IF(B27&lt;25,"-",IF(AND(B27&gt;=25,B27&lt;50),"1",IF(AND(B27&gt;=50,B27&lt;75),"2",IF(B27&gt;=75,"3"))))</f>
        <v>-</v>
      </c>
      <c r="C46" s="18" t="str">
        <f t="shared" ca="1" si="14"/>
        <v>3</v>
      </c>
      <c r="D46" s="18" t="str">
        <f t="shared" ca="1" si="14"/>
        <v>1</v>
      </c>
      <c r="E46" s="18" t="str">
        <f t="shared" ca="1" si="14"/>
        <v>1</v>
      </c>
      <c r="F46" s="18" t="str">
        <f t="shared" ca="1" si="14"/>
        <v>-</v>
      </c>
      <c r="G46" s="18" t="str">
        <f t="shared" ca="1" si="14"/>
        <v>-</v>
      </c>
      <c r="H46" s="18" t="str">
        <f t="shared" ca="1" si="14"/>
        <v>-</v>
      </c>
      <c r="I46" s="18" t="str">
        <f t="shared" ca="1" si="14"/>
        <v>-</v>
      </c>
      <c r="J46" s="18" t="str">
        <f t="shared" ca="1" si="14"/>
        <v>-</v>
      </c>
      <c r="K46" s="18" t="str">
        <f t="shared" ca="1" si="14"/>
        <v>-</v>
      </c>
      <c r="L46" s="18" t="str">
        <f t="shared" ca="1" si="14"/>
        <v>-</v>
      </c>
      <c r="M46" s="18" t="str">
        <f t="shared" ca="1" si="14"/>
        <v>1</v>
      </c>
      <c r="N46" s="18" t="str">
        <f t="shared" ca="1" si="14"/>
        <v>1</v>
      </c>
      <c r="O46" s="18" t="str">
        <f t="shared" ca="1" si="14"/>
        <v>-</v>
      </c>
    </row>
    <row r="47" spans="1:15" s="21" customFormat="1" ht="33" customHeight="1" x14ac:dyDescent="0.25">
      <c r="A47" s="14" t="s">
        <v>119</v>
      </c>
      <c r="B47" s="95">
        <f ca="1">IF(B55&lt;0.5,"-",B55)</f>
        <v>3</v>
      </c>
      <c r="C47" s="95">
        <f t="shared" ref="C47:O47" ca="1" si="15">IF(C55&lt;0.5,"-",C55)</f>
        <v>2.5</v>
      </c>
      <c r="D47" s="95">
        <f t="shared" ca="1" si="15"/>
        <v>1.3333333333333333</v>
      </c>
      <c r="E47" s="95">
        <f t="shared" ca="1" si="15"/>
        <v>1</v>
      </c>
      <c r="F47" s="95" t="str">
        <f t="shared" ca="1" si="15"/>
        <v>-</v>
      </c>
      <c r="G47" s="95" t="str">
        <f t="shared" ca="1" si="15"/>
        <v>-</v>
      </c>
      <c r="H47" s="95" t="str">
        <f t="shared" ca="1" si="15"/>
        <v>-</v>
      </c>
      <c r="I47" s="95" t="str">
        <f t="shared" ca="1" si="15"/>
        <v>-</v>
      </c>
      <c r="J47" s="95" t="str">
        <f t="shared" ca="1" si="15"/>
        <v>-</v>
      </c>
      <c r="K47" s="95" t="str">
        <f t="shared" ca="1" si="15"/>
        <v>-</v>
      </c>
      <c r="L47" s="95" t="str">
        <f t="shared" ca="1" si="15"/>
        <v>-</v>
      </c>
      <c r="M47" s="95">
        <f t="shared" ca="1" si="15"/>
        <v>1</v>
      </c>
      <c r="N47" s="95">
        <f t="shared" ca="1" si="15"/>
        <v>1</v>
      </c>
      <c r="O47" s="95">
        <f t="shared" ca="1" si="15"/>
        <v>1</v>
      </c>
    </row>
    <row r="48" spans="1:15" s="21" customFormat="1" ht="33" hidden="1" customHeight="1" x14ac:dyDescent="0.25">
      <c r="A48" s="15"/>
      <c r="B48" s="26">
        <f ca="1">IF(B42="-",0,B42*1)</f>
        <v>3</v>
      </c>
      <c r="C48" s="26">
        <f t="shared" ref="C48:O48" ca="1" si="16">IF(C42="-",0,C42*1)</f>
        <v>2</v>
      </c>
      <c r="D48" s="26">
        <f t="shared" ca="1" si="16"/>
        <v>0</v>
      </c>
      <c r="E48" s="26">
        <f t="shared" ca="1" si="16"/>
        <v>0</v>
      </c>
      <c r="F48" s="26">
        <f t="shared" ca="1" si="16"/>
        <v>0</v>
      </c>
      <c r="G48" s="26">
        <f t="shared" ca="1" si="16"/>
        <v>0</v>
      </c>
      <c r="H48" s="26">
        <f t="shared" ca="1" si="16"/>
        <v>0</v>
      </c>
      <c r="I48" s="26">
        <f t="shared" ca="1" si="16"/>
        <v>0</v>
      </c>
      <c r="J48" s="26">
        <f t="shared" ca="1" si="16"/>
        <v>0</v>
      </c>
      <c r="K48" s="26">
        <f t="shared" ca="1" si="16"/>
        <v>0</v>
      </c>
      <c r="L48" s="26">
        <f t="shared" ca="1" si="16"/>
        <v>0</v>
      </c>
      <c r="M48" s="26">
        <f t="shared" ca="1" si="16"/>
        <v>0</v>
      </c>
      <c r="N48" s="26">
        <f t="shared" ca="1" si="16"/>
        <v>0</v>
      </c>
      <c r="O48" s="26">
        <f t="shared" ca="1" si="16"/>
        <v>1</v>
      </c>
    </row>
    <row r="49" spans="1:15" s="21" customFormat="1" ht="33" hidden="1" customHeight="1" x14ac:dyDescent="0.25">
      <c r="A49" s="15"/>
      <c r="B49" s="26">
        <f t="shared" ref="B49:O52" ca="1" si="17">IF(B43="-",0,B43*1)</f>
        <v>3</v>
      </c>
      <c r="C49" s="26">
        <f t="shared" ca="1" si="17"/>
        <v>2</v>
      </c>
      <c r="D49" s="26">
        <f t="shared" ca="1" si="17"/>
        <v>1</v>
      </c>
      <c r="E49" s="26">
        <f t="shared" ca="1" si="17"/>
        <v>0</v>
      </c>
      <c r="F49" s="26">
        <f t="shared" ca="1" si="17"/>
        <v>0</v>
      </c>
      <c r="G49" s="26">
        <f t="shared" ca="1" si="17"/>
        <v>0</v>
      </c>
      <c r="H49" s="26">
        <f t="shared" ca="1" si="17"/>
        <v>0</v>
      </c>
      <c r="I49" s="26">
        <f t="shared" ca="1" si="17"/>
        <v>0</v>
      </c>
      <c r="J49" s="26">
        <f t="shared" ca="1" si="17"/>
        <v>0</v>
      </c>
      <c r="K49" s="26">
        <f t="shared" ca="1" si="17"/>
        <v>0</v>
      </c>
      <c r="L49" s="26">
        <f t="shared" ca="1" si="17"/>
        <v>0</v>
      </c>
      <c r="M49" s="26">
        <f t="shared" ca="1" si="17"/>
        <v>0</v>
      </c>
      <c r="N49" s="26">
        <f t="shared" ca="1" si="17"/>
        <v>0</v>
      </c>
      <c r="O49" s="26">
        <f t="shared" ca="1" si="17"/>
        <v>1</v>
      </c>
    </row>
    <row r="50" spans="1:15" s="21" customFormat="1" ht="33" hidden="1" customHeight="1" x14ac:dyDescent="0.25">
      <c r="A50" s="15"/>
      <c r="B50" s="26">
        <f t="shared" ca="1" si="17"/>
        <v>3</v>
      </c>
      <c r="C50" s="26">
        <f t="shared" ca="1" si="17"/>
        <v>0</v>
      </c>
      <c r="D50" s="26">
        <f t="shared" ca="1" si="17"/>
        <v>2</v>
      </c>
      <c r="E50" s="26">
        <f t="shared" ca="1" si="17"/>
        <v>0</v>
      </c>
      <c r="F50" s="26">
        <f t="shared" ca="1" si="17"/>
        <v>0</v>
      </c>
      <c r="G50" s="26">
        <f t="shared" ca="1" si="17"/>
        <v>0</v>
      </c>
      <c r="H50" s="26">
        <f t="shared" ca="1" si="17"/>
        <v>0</v>
      </c>
      <c r="I50" s="26">
        <f t="shared" ca="1" si="17"/>
        <v>0</v>
      </c>
      <c r="J50" s="26">
        <f t="shared" ca="1" si="17"/>
        <v>0</v>
      </c>
      <c r="K50" s="26">
        <f t="shared" ca="1" si="17"/>
        <v>0</v>
      </c>
      <c r="L50" s="26">
        <f t="shared" ca="1" si="17"/>
        <v>0</v>
      </c>
      <c r="M50" s="26">
        <f t="shared" ca="1" si="17"/>
        <v>1</v>
      </c>
      <c r="N50" s="26">
        <f t="shared" ca="1" si="17"/>
        <v>0</v>
      </c>
      <c r="O50" s="26">
        <f t="shared" ca="1" si="17"/>
        <v>1</v>
      </c>
    </row>
    <row r="51" spans="1:15" s="21" customFormat="1" ht="33" hidden="1" customHeight="1" x14ac:dyDescent="0.25">
      <c r="A51" s="15"/>
      <c r="B51" s="26">
        <f t="shared" ca="1" si="17"/>
        <v>0</v>
      </c>
      <c r="C51" s="26">
        <f t="shared" ca="1" si="17"/>
        <v>3</v>
      </c>
      <c r="D51" s="26">
        <f t="shared" ca="1" si="17"/>
        <v>0</v>
      </c>
      <c r="E51" s="26">
        <f t="shared" ca="1" si="17"/>
        <v>1</v>
      </c>
      <c r="F51" s="26">
        <f t="shared" ca="1" si="17"/>
        <v>0</v>
      </c>
      <c r="G51" s="26">
        <f t="shared" ca="1" si="17"/>
        <v>0</v>
      </c>
      <c r="H51" s="26">
        <f t="shared" ca="1" si="17"/>
        <v>0</v>
      </c>
      <c r="I51" s="26">
        <f t="shared" ca="1" si="17"/>
        <v>0</v>
      </c>
      <c r="J51" s="26">
        <f t="shared" ca="1" si="17"/>
        <v>0</v>
      </c>
      <c r="K51" s="26">
        <f t="shared" ca="1" si="17"/>
        <v>0</v>
      </c>
      <c r="L51" s="26">
        <f t="shared" ca="1" si="17"/>
        <v>0</v>
      </c>
      <c r="M51" s="26">
        <f t="shared" ca="1" si="17"/>
        <v>1</v>
      </c>
      <c r="N51" s="26">
        <f t="shared" ca="1" si="17"/>
        <v>1</v>
      </c>
      <c r="O51" s="26">
        <f t="shared" ca="1" si="17"/>
        <v>0</v>
      </c>
    </row>
    <row r="52" spans="1:15" s="21" customFormat="1" ht="33" hidden="1" customHeight="1" x14ac:dyDescent="0.25">
      <c r="A52" s="15"/>
      <c r="B52" s="26">
        <f t="shared" ca="1" si="17"/>
        <v>0</v>
      </c>
      <c r="C52" s="26">
        <f t="shared" ca="1" si="17"/>
        <v>3</v>
      </c>
      <c r="D52" s="26">
        <f t="shared" ca="1" si="17"/>
        <v>1</v>
      </c>
      <c r="E52" s="26">
        <f t="shared" ca="1" si="17"/>
        <v>1</v>
      </c>
      <c r="F52" s="26">
        <f t="shared" ca="1" si="17"/>
        <v>0</v>
      </c>
      <c r="G52" s="26">
        <f t="shared" ca="1" si="17"/>
        <v>0</v>
      </c>
      <c r="H52" s="26">
        <f t="shared" ca="1" si="17"/>
        <v>0</v>
      </c>
      <c r="I52" s="26">
        <f t="shared" ca="1" si="17"/>
        <v>0</v>
      </c>
      <c r="J52" s="26">
        <f t="shared" ca="1" si="17"/>
        <v>0</v>
      </c>
      <c r="K52" s="26">
        <f t="shared" ca="1" si="17"/>
        <v>0</v>
      </c>
      <c r="L52" s="26">
        <f t="shared" ca="1" si="17"/>
        <v>0</v>
      </c>
      <c r="M52" s="26">
        <f t="shared" ca="1" si="17"/>
        <v>1</v>
      </c>
      <c r="N52" s="26">
        <f t="shared" ca="1" si="17"/>
        <v>1</v>
      </c>
      <c r="O52" s="26">
        <f t="shared" ca="1" si="17"/>
        <v>0</v>
      </c>
    </row>
    <row r="53" spans="1:15" s="21" customFormat="1" ht="33" hidden="1" customHeight="1" x14ac:dyDescent="0.15">
      <c r="A53" s="96" t="s">
        <v>186</v>
      </c>
      <c r="B53" s="26">
        <f ca="1">COUNTIF(B48:B52,"&gt;=0.5")</f>
        <v>3</v>
      </c>
      <c r="C53" s="26">
        <f t="shared" ref="C53:O53" ca="1" si="18">COUNTIF(C48:C52,"&gt;=0.5")</f>
        <v>4</v>
      </c>
      <c r="D53" s="26">
        <f t="shared" ca="1" si="18"/>
        <v>3</v>
      </c>
      <c r="E53" s="26">
        <f t="shared" ca="1" si="18"/>
        <v>2</v>
      </c>
      <c r="F53" s="26">
        <f t="shared" ca="1" si="18"/>
        <v>0</v>
      </c>
      <c r="G53" s="26">
        <f t="shared" ca="1" si="18"/>
        <v>0</v>
      </c>
      <c r="H53" s="26">
        <f t="shared" ca="1" si="18"/>
        <v>0</v>
      </c>
      <c r="I53" s="26">
        <f t="shared" ca="1" si="18"/>
        <v>0</v>
      </c>
      <c r="J53" s="26">
        <f t="shared" ca="1" si="18"/>
        <v>0</v>
      </c>
      <c r="K53" s="26">
        <f t="shared" ca="1" si="18"/>
        <v>0</v>
      </c>
      <c r="L53" s="26">
        <f t="shared" ca="1" si="18"/>
        <v>0</v>
      </c>
      <c r="M53" s="26">
        <f t="shared" ca="1" si="18"/>
        <v>3</v>
      </c>
      <c r="N53" s="26">
        <f t="shared" ca="1" si="18"/>
        <v>2</v>
      </c>
      <c r="O53" s="26">
        <f t="shared" ca="1" si="18"/>
        <v>3</v>
      </c>
    </row>
    <row r="54" spans="1:15" s="21" customFormat="1" ht="33" hidden="1" customHeight="1" x14ac:dyDescent="0.15">
      <c r="A54" s="96" t="s">
        <v>187</v>
      </c>
      <c r="B54" s="26">
        <f ca="1">SUM(B48:B52)</f>
        <v>9</v>
      </c>
      <c r="C54" s="26">
        <f t="shared" ref="C54:O54" ca="1" si="19">SUM(C48:C52)</f>
        <v>10</v>
      </c>
      <c r="D54" s="26">
        <f t="shared" ca="1" si="19"/>
        <v>4</v>
      </c>
      <c r="E54" s="26">
        <f t="shared" ca="1" si="19"/>
        <v>2</v>
      </c>
      <c r="F54" s="26">
        <f t="shared" ca="1" si="19"/>
        <v>0</v>
      </c>
      <c r="G54" s="26">
        <f t="shared" ca="1" si="19"/>
        <v>0</v>
      </c>
      <c r="H54" s="26">
        <f t="shared" ca="1" si="19"/>
        <v>0</v>
      </c>
      <c r="I54" s="26">
        <f t="shared" ca="1" si="19"/>
        <v>0</v>
      </c>
      <c r="J54" s="26">
        <f t="shared" ca="1" si="19"/>
        <v>0</v>
      </c>
      <c r="K54" s="26">
        <f t="shared" ca="1" si="19"/>
        <v>0</v>
      </c>
      <c r="L54" s="26">
        <f t="shared" ca="1" si="19"/>
        <v>0</v>
      </c>
      <c r="M54" s="26">
        <f t="shared" ca="1" si="19"/>
        <v>3</v>
      </c>
      <c r="N54" s="26">
        <f t="shared" ca="1" si="19"/>
        <v>2</v>
      </c>
      <c r="O54" s="26">
        <f t="shared" ca="1" si="19"/>
        <v>3</v>
      </c>
    </row>
    <row r="55" spans="1:15" s="21" customFormat="1" ht="33" hidden="1" customHeight="1" x14ac:dyDescent="0.15">
      <c r="A55" s="96" t="s">
        <v>188</v>
      </c>
      <c r="B55" s="56">
        <f ca="1">IF(B54=0,0,B54/B53)</f>
        <v>3</v>
      </c>
      <c r="C55" s="56">
        <f t="shared" ref="C55:O55" ca="1" si="20">IF(C54=0,0,C54/C53)</f>
        <v>2.5</v>
      </c>
      <c r="D55" s="56">
        <f t="shared" ca="1" si="20"/>
        <v>1.3333333333333333</v>
      </c>
      <c r="E55" s="56">
        <f t="shared" ca="1" si="20"/>
        <v>1</v>
      </c>
      <c r="F55" s="56">
        <f t="shared" ca="1" si="20"/>
        <v>0</v>
      </c>
      <c r="G55" s="56">
        <f t="shared" ca="1" si="20"/>
        <v>0</v>
      </c>
      <c r="H55" s="56">
        <f t="shared" ca="1" si="20"/>
        <v>0</v>
      </c>
      <c r="I55" s="56">
        <f t="shared" ca="1" si="20"/>
        <v>0</v>
      </c>
      <c r="J55" s="56">
        <f t="shared" ca="1" si="20"/>
        <v>0</v>
      </c>
      <c r="K55" s="56">
        <f t="shared" ca="1" si="20"/>
        <v>0</v>
      </c>
      <c r="L55" s="56">
        <f t="shared" ca="1" si="20"/>
        <v>0</v>
      </c>
      <c r="M55" s="56">
        <f t="shared" ca="1" si="20"/>
        <v>1</v>
      </c>
      <c r="N55" s="56">
        <f t="shared" ca="1" si="20"/>
        <v>1</v>
      </c>
      <c r="O55" s="56">
        <f t="shared" ca="1" si="20"/>
        <v>1</v>
      </c>
    </row>
    <row r="56" spans="1:15" s="21" customFormat="1" ht="22.5" x14ac:dyDescent="0.25"/>
    <row r="57" spans="1:15" s="21" customFormat="1" ht="32.25" customHeight="1" x14ac:dyDescent="0.25">
      <c r="A57" s="150" t="s">
        <v>179</v>
      </c>
      <c r="B57" s="150"/>
      <c r="C57" s="150"/>
      <c r="D57" s="150"/>
      <c r="E57" s="150"/>
      <c r="F57" s="150"/>
      <c r="G57" s="150"/>
      <c r="H57" s="150"/>
      <c r="I57" s="150"/>
      <c r="J57" s="150"/>
      <c r="K57" s="150"/>
      <c r="L57" s="150"/>
      <c r="M57" s="150"/>
      <c r="N57" s="150"/>
      <c r="O57" s="150"/>
    </row>
    <row r="58" spans="1:15" s="21" customFormat="1" ht="22.5" x14ac:dyDescent="0.25">
      <c r="A58" s="27" t="s">
        <v>109</v>
      </c>
      <c r="B58" s="21" t="s">
        <v>115</v>
      </c>
      <c r="O58" s="28"/>
    </row>
    <row r="59" spans="1:15" s="21" customFormat="1" ht="22.5" x14ac:dyDescent="0.25">
      <c r="A59" s="29"/>
      <c r="B59" s="21" t="s">
        <v>116</v>
      </c>
      <c r="O59" s="28"/>
    </row>
    <row r="60" spans="1:15" s="21" customFormat="1" ht="22.5" x14ac:dyDescent="0.25">
      <c r="A60" s="30"/>
      <c r="B60" s="31"/>
      <c r="C60" s="31"/>
      <c r="D60" s="31"/>
      <c r="E60" s="31"/>
      <c r="F60" s="31"/>
      <c r="G60" s="31"/>
      <c r="H60" s="31"/>
      <c r="I60" s="31"/>
      <c r="J60" s="31"/>
      <c r="K60" s="31"/>
      <c r="L60" s="31"/>
      <c r="M60" s="31"/>
      <c r="N60" s="31"/>
      <c r="O60" s="32"/>
    </row>
    <row r="61" spans="1:15" s="21" customFormat="1" ht="36" customHeight="1" x14ac:dyDescent="0.25">
      <c r="A61" s="142" t="s">
        <v>110</v>
      </c>
      <c r="B61" s="142"/>
      <c r="C61" s="142"/>
      <c r="D61" s="142"/>
      <c r="E61" s="142"/>
      <c r="F61" s="142"/>
      <c r="G61" s="142"/>
      <c r="H61" s="142"/>
      <c r="I61" s="142"/>
      <c r="J61" s="142"/>
      <c r="K61" s="142"/>
      <c r="L61" s="142"/>
      <c r="M61" s="142"/>
      <c r="N61" s="142"/>
      <c r="O61" s="142"/>
    </row>
    <row r="62" spans="1:15" s="21" customFormat="1" ht="116.25" customHeight="1" x14ac:dyDescent="0.25">
      <c r="A62" s="20" t="s">
        <v>3</v>
      </c>
      <c r="B62" s="20" t="s">
        <v>15</v>
      </c>
      <c r="C62" s="70" t="s">
        <v>181</v>
      </c>
      <c r="D62" s="143" t="s">
        <v>180</v>
      </c>
      <c r="E62" s="143"/>
      <c r="F62" s="142" t="s">
        <v>112</v>
      </c>
      <c r="G62" s="142"/>
      <c r="H62" s="142"/>
      <c r="I62" s="142"/>
      <c r="J62" s="142"/>
      <c r="K62" s="142"/>
      <c r="L62" s="142"/>
      <c r="M62" s="142"/>
      <c r="N62" s="142"/>
      <c r="O62" s="142"/>
    </row>
    <row r="63" spans="1:15" s="21" customFormat="1" ht="84.75" customHeight="1" x14ac:dyDescent="0.25">
      <c r="A63" s="18">
        <v>1</v>
      </c>
      <c r="B63" s="18" t="s">
        <v>4</v>
      </c>
      <c r="C63" s="18" t="s">
        <v>16</v>
      </c>
      <c r="D63" s="141" t="str">
        <f ca="1">B42</f>
        <v>3</v>
      </c>
      <c r="E63" s="141"/>
      <c r="F63" s="146" t="s">
        <v>436</v>
      </c>
      <c r="G63" s="146"/>
      <c r="H63" s="146"/>
      <c r="I63" s="146"/>
      <c r="J63" s="146"/>
      <c r="K63" s="146"/>
      <c r="L63" s="146"/>
      <c r="M63" s="146"/>
      <c r="N63" s="146"/>
      <c r="O63" s="146"/>
    </row>
    <row r="64" spans="1:15" s="21" customFormat="1" ht="85.5" customHeight="1" x14ac:dyDescent="0.25">
      <c r="A64" s="18">
        <v>2</v>
      </c>
      <c r="B64" s="18" t="s">
        <v>4</v>
      </c>
      <c r="C64" s="18" t="s">
        <v>17</v>
      </c>
      <c r="D64" s="141" t="str">
        <f ca="1">C42</f>
        <v>2</v>
      </c>
      <c r="E64" s="141"/>
      <c r="F64" s="146" t="s">
        <v>437</v>
      </c>
      <c r="G64" s="146"/>
      <c r="H64" s="146"/>
      <c r="I64" s="146"/>
      <c r="J64" s="146"/>
      <c r="K64" s="146"/>
      <c r="L64" s="146"/>
      <c r="M64" s="146"/>
      <c r="N64" s="146"/>
      <c r="O64" s="146"/>
    </row>
    <row r="65" spans="1:15" s="21" customFormat="1" ht="50.1" customHeight="1" x14ac:dyDescent="0.25">
      <c r="A65" s="18">
        <v>3</v>
      </c>
      <c r="B65" s="18" t="s">
        <v>4</v>
      </c>
      <c r="C65" s="18" t="s">
        <v>18</v>
      </c>
      <c r="D65" s="141" t="str">
        <f ca="1">D42</f>
        <v>-</v>
      </c>
      <c r="E65" s="141"/>
      <c r="F65" s="146" t="str">
        <f t="shared" ref="F65:F127" ca="1" si="21">IF(D65="-","No correlation","")</f>
        <v>No correlation</v>
      </c>
      <c r="G65" s="146"/>
      <c r="H65" s="146"/>
      <c r="I65" s="146"/>
      <c r="J65" s="146"/>
      <c r="K65" s="146"/>
      <c r="L65" s="146"/>
      <c r="M65" s="146"/>
      <c r="N65" s="146"/>
      <c r="O65" s="146"/>
    </row>
    <row r="66" spans="1:15" s="21" customFormat="1" ht="50.1" customHeight="1" x14ac:dyDescent="0.25">
      <c r="A66" s="18">
        <v>4</v>
      </c>
      <c r="B66" s="18" t="s">
        <v>4</v>
      </c>
      <c r="C66" s="18" t="s">
        <v>19</v>
      </c>
      <c r="D66" s="141" t="str">
        <f ca="1">E42</f>
        <v>-</v>
      </c>
      <c r="E66" s="141"/>
      <c r="F66" s="146" t="str">
        <f t="shared" ca="1" si="21"/>
        <v>No correlation</v>
      </c>
      <c r="G66" s="146"/>
      <c r="H66" s="146"/>
      <c r="I66" s="146"/>
      <c r="J66" s="146"/>
      <c r="K66" s="146"/>
      <c r="L66" s="146"/>
      <c r="M66" s="146"/>
      <c r="N66" s="146"/>
      <c r="O66" s="146"/>
    </row>
    <row r="67" spans="1:15" s="21" customFormat="1" ht="50.1" customHeight="1" x14ac:dyDescent="0.25">
      <c r="A67" s="18">
        <v>5</v>
      </c>
      <c r="B67" s="18" t="s">
        <v>4</v>
      </c>
      <c r="C67" s="18" t="s">
        <v>20</v>
      </c>
      <c r="D67" s="141" t="str">
        <f ca="1">F42</f>
        <v>-</v>
      </c>
      <c r="E67" s="141"/>
      <c r="F67" s="146" t="str">
        <f t="shared" ca="1" si="21"/>
        <v>No correlation</v>
      </c>
      <c r="G67" s="146"/>
      <c r="H67" s="146"/>
      <c r="I67" s="146"/>
      <c r="J67" s="146"/>
      <c r="K67" s="146"/>
      <c r="L67" s="146"/>
      <c r="M67" s="146"/>
      <c r="N67" s="146"/>
      <c r="O67" s="146"/>
    </row>
    <row r="68" spans="1:15" s="21" customFormat="1" ht="50.1" customHeight="1" x14ac:dyDescent="0.25">
      <c r="A68" s="18">
        <v>6</v>
      </c>
      <c r="B68" s="18" t="s">
        <v>4</v>
      </c>
      <c r="C68" s="18" t="s">
        <v>21</v>
      </c>
      <c r="D68" s="141" t="str">
        <f ca="1">G42</f>
        <v>-</v>
      </c>
      <c r="E68" s="141"/>
      <c r="F68" s="146" t="str">
        <f t="shared" ca="1" si="21"/>
        <v>No correlation</v>
      </c>
      <c r="G68" s="146"/>
      <c r="H68" s="146"/>
      <c r="I68" s="146"/>
      <c r="J68" s="146"/>
      <c r="K68" s="146"/>
      <c r="L68" s="146"/>
      <c r="M68" s="146"/>
      <c r="N68" s="146"/>
      <c r="O68" s="146"/>
    </row>
    <row r="69" spans="1:15" s="21" customFormat="1" ht="50.1" customHeight="1" x14ac:dyDescent="0.25">
      <c r="A69" s="18">
        <v>7</v>
      </c>
      <c r="B69" s="18" t="s">
        <v>4</v>
      </c>
      <c r="C69" s="18" t="s">
        <v>22</v>
      </c>
      <c r="D69" s="141" t="str">
        <f ca="1">H42</f>
        <v>-</v>
      </c>
      <c r="E69" s="141"/>
      <c r="F69" s="146" t="str">
        <f t="shared" ca="1" si="21"/>
        <v>No correlation</v>
      </c>
      <c r="G69" s="146"/>
      <c r="H69" s="146"/>
      <c r="I69" s="146"/>
      <c r="J69" s="146"/>
      <c r="K69" s="146"/>
      <c r="L69" s="146"/>
      <c r="M69" s="146"/>
      <c r="N69" s="146"/>
      <c r="O69" s="146"/>
    </row>
    <row r="70" spans="1:15" s="21" customFormat="1" ht="50.1" customHeight="1" x14ac:dyDescent="0.25">
      <c r="A70" s="18">
        <v>8</v>
      </c>
      <c r="B70" s="18" t="s">
        <v>4</v>
      </c>
      <c r="C70" s="18" t="s">
        <v>23</v>
      </c>
      <c r="D70" s="141" t="str">
        <f ca="1">I42</f>
        <v>-</v>
      </c>
      <c r="E70" s="141"/>
      <c r="F70" s="146" t="str">
        <f t="shared" ca="1" si="21"/>
        <v>No correlation</v>
      </c>
      <c r="G70" s="146"/>
      <c r="H70" s="146"/>
      <c r="I70" s="146"/>
      <c r="J70" s="146"/>
      <c r="K70" s="146"/>
      <c r="L70" s="146"/>
      <c r="M70" s="146"/>
      <c r="N70" s="146"/>
      <c r="O70" s="146"/>
    </row>
    <row r="71" spans="1:15" s="21" customFormat="1" ht="50.1" customHeight="1" x14ac:dyDescent="0.25">
      <c r="A71" s="18">
        <v>9</v>
      </c>
      <c r="B71" s="18" t="s">
        <v>4</v>
      </c>
      <c r="C71" s="18" t="s">
        <v>24</v>
      </c>
      <c r="D71" s="141" t="str">
        <f ca="1">J42</f>
        <v>-</v>
      </c>
      <c r="E71" s="141"/>
      <c r="F71" s="146" t="str">
        <f t="shared" ca="1" si="21"/>
        <v>No correlation</v>
      </c>
      <c r="G71" s="146"/>
      <c r="H71" s="146"/>
      <c r="I71" s="146"/>
      <c r="J71" s="146"/>
      <c r="K71" s="146"/>
      <c r="L71" s="146"/>
      <c r="M71" s="146"/>
      <c r="N71" s="146"/>
      <c r="O71" s="146"/>
    </row>
    <row r="72" spans="1:15" s="21" customFormat="1" ht="50.1" customHeight="1" x14ac:dyDescent="0.25">
      <c r="A72" s="18">
        <v>10</v>
      </c>
      <c r="B72" s="18" t="s">
        <v>4</v>
      </c>
      <c r="C72" s="18" t="s">
        <v>25</v>
      </c>
      <c r="D72" s="141" t="str">
        <f ca="1">K42</f>
        <v>-</v>
      </c>
      <c r="E72" s="141"/>
      <c r="F72" s="146" t="str">
        <f t="shared" ca="1" si="21"/>
        <v>No correlation</v>
      </c>
      <c r="G72" s="146"/>
      <c r="H72" s="146"/>
      <c r="I72" s="146"/>
      <c r="J72" s="146"/>
      <c r="K72" s="146"/>
      <c r="L72" s="146"/>
      <c r="M72" s="146"/>
      <c r="N72" s="146"/>
      <c r="O72" s="146"/>
    </row>
    <row r="73" spans="1:15" s="21" customFormat="1" ht="50.1" customHeight="1" x14ac:dyDescent="0.25">
      <c r="A73" s="18">
        <v>11</v>
      </c>
      <c r="B73" s="18" t="s">
        <v>4</v>
      </c>
      <c r="C73" s="18" t="s">
        <v>26</v>
      </c>
      <c r="D73" s="141" t="str">
        <f ca="1">L42</f>
        <v>-</v>
      </c>
      <c r="E73" s="141"/>
      <c r="F73" s="146" t="str">
        <f t="shared" ca="1" si="21"/>
        <v>No correlation</v>
      </c>
      <c r="G73" s="146"/>
      <c r="H73" s="146"/>
      <c r="I73" s="146"/>
      <c r="J73" s="146"/>
      <c r="K73" s="146"/>
      <c r="L73" s="146"/>
      <c r="M73" s="146"/>
      <c r="N73" s="146"/>
      <c r="O73" s="146"/>
    </row>
    <row r="74" spans="1:15" s="21" customFormat="1" ht="50.1" customHeight="1" x14ac:dyDescent="0.25">
      <c r="A74" s="18">
        <v>12</v>
      </c>
      <c r="B74" s="18" t="s">
        <v>4</v>
      </c>
      <c r="C74" s="18" t="s">
        <v>27</v>
      </c>
      <c r="D74" s="141" t="str">
        <f ca="1">M42</f>
        <v>-</v>
      </c>
      <c r="E74" s="141"/>
      <c r="F74" s="146" t="str">
        <f t="shared" ca="1" si="21"/>
        <v>No correlation</v>
      </c>
      <c r="G74" s="146"/>
      <c r="H74" s="146"/>
      <c r="I74" s="146"/>
      <c r="J74" s="146"/>
      <c r="K74" s="146"/>
      <c r="L74" s="146"/>
      <c r="M74" s="146"/>
      <c r="N74" s="146"/>
      <c r="O74" s="146"/>
    </row>
    <row r="75" spans="1:15" s="21" customFormat="1" ht="50.1" customHeight="1" x14ac:dyDescent="0.25">
      <c r="A75" s="18">
        <v>13</v>
      </c>
      <c r="B75" s="18" t="s">
        <v>4</v>
      </c>
      <c r="C75" s="18" t="s">
        <v>28</v>
      </c>
      <c r="D75" s="141" t="str">
        <f ca="1">N42</f>
        <v>-</v>
      </c>
      <c r="E75" s="141"/>
      <c r="F75" s="146" t="str">
        <f t="shared" ca="1" si="21"/>
        <v>No correlation</v>
      </c>
      <c r="G75" s="146"/>
      <c r="H75" s="146"/>
      <c r="I75" s="146"/>
      <c r="J75" s="146"/>
      <c r="K75" s="146"/>
      <c r="L75" s="146"/>
      <c r="M75" s="146"/>
      <c r="N75" s="146"/>
      <c r="O75" s="146"/>
    </row>
    <row r="76" spans="1:15" s="21" customFormat="1" ht="84" customHeight="1" x14ac:dyDescent="0.25">
      <c r="A76" s="18">
        <v>14</v>
      </c>
      <c r="B76" s="18" t="s">
        <v>4</v>
      </c>
      <c r="C76" s="18" t="s">
        <v>29</v>
      </c>
      <c r="D76" s="141" t="str">
        <f ca="1">O42</f>
        <v>1</v>
      </c>
      <c r="E76" s="141"/>
      <c r="F76" s="146" t="s">
        <v>438</v>
      </c>
      <c r="G76" s="146"/>
      <c r="H76" s="146"/>
      <c r="I76" s="146"/>
      <c r="J76" s="146"/>
      <c r="K76" s="146"/>
      <c r="L76" s="146"/>
      <c r="M76" s="146"/>
      <c r="N76" s="146"/>
      <c r="O76" s="146"/>
    </row>
    <row r="77" spans="1:15" s="21" customFormat="1" ht="67.5" customHeight="1" x14ac:dyDescent="0.25">
      <c r="A77" s="18">
        <v>15</v>
      </c>
      <c r="B77" s="18" t="s">
        <v>5</v>
      </c>
      <c r="C77" s="18" t="s">
        <v>16</v>
      </c>
      <c r="D77" s="141" t="str">
        <f ca="1">B43</f>
        <v>3</v>
      </c>
      <c r="E77" s="141"/>
      <c r="F77" s="146" t="s">
        <v>439</v>
      </c>
      <c r="G77" s="146"/>
      <c r="H77" s="146"/>
      <c r="I77" s="146"/>
      <c r="J77" s="146"/>
      <c r="K77" s="146"/>
      <c r="L77" s="146"/>
      <c r="M77" s="146"/>
      <c r="N77" s="146"/>
      <c r="O77" s="146"/>
    </row>
    <row r="78" spans="1:15" s="21" customFormat="1" ht="89.25" customHeight="1" x14ac:dyDescent="0.25">
      <c r="A78" s="18">
        <v>16</v>
      </c>
      <c r="B78" s="18" t="s">
        <v>5</v>
      </c>
      <c r="C78" s="18" t="s">
        <v>17</v>
      </c>
      <c r="D78" s="141" t="str">
        <f ca="1">C43</f>
        <v>2</v>
      </c>
      <c r="E78" s="141"/>
      <c r="F78" s="146" t="s">
        <v>440</v>
      </c>
      <c r="G78" s="146"/>
      <c r="H78" s="146"/>
      <c r="I78" s="146"/>
      <c r="J78" s="146"/>
      <c r="K78" s="146"/>
      <c r="L78" s="146"/>
      <c r="M78" s="146"/>
      <c r="N78" s="146"/>
      <c r="O78" s="146"/>
    </row>
    <row r="79" spans="1:15" s="21" customFormat="1" ht="70.5" customHeight="1" x14ac:dyDescent="0.25">
      <c r="A79" s="18">
        <v>17</v>
      </c>
      <c r="B79" s="18" t="s">
        <v>5</v>
      </c>
      <c r="C79" s="18" t="s">
        <v>18</v>
      </c>
      <c r="D79" s="141" t="str">
        <f ca="1">D43</f>
        <v>1</v>
      </c>
      <c r="E79" s="141"/>
      <c r="F79" s="146" t="s">
        <v>441</v>
      </c>
      <c r="G79" s="146"/>
      <c r="H79" s="146"/>
      <c r="I79" s="146"/>
      <c r="J79" s="146"/>
      <c r="K79" s="146"/>
      <c r="L79" s="146"/>
      <c r="M79" s="146"/>
      <c r="N79" s="146"/>
      <c r="O79" s="146"/>
    </row>
    <row r="80" spans="1:15" s="21" customFormat="1" ht="50.1" customHeight="1" x14ac:dyDescent="0.25">
      <c r="A80" s="18">
        <v>18</v>
      </c>
      <c r="B80" s="18" t="s">
        <v>5</v>
      </c>
      <c r="C80" s="18" t="s">
        <v>19</v>
      </c>
      <c r="D80" s="141" t="str">
        <f ca="1">E43</f>
        <v>-</v>
      </c>
      <c r="E80" s="141"/>
      <c r="F80" s="146" t="str">
        <f t="shared" ca="1" si="21"/>
        <v>No correlation</v>
      </c>
      <c r="G80" s="146"/>
      <c r="H80" s="146"/>
      <c r="I80" s="146"/>
      <c r="J80" s="146"/>
      <c r="K80" s="146"/>
      <c r="L80" s="146"/>
      <c r="M80" s="146"/>
      <c r="N80" s="146"/>
      <c r="O80" s="146"/>
    </row>
    <row r="81" spans="1:15" s="21" customFormat="1" ht="50.1" customHeight="1" x14ac:dyDescent="0.25">
      <c r="A81" s="18">
        <v>19</v>
      </c>
      <c r="B81" s="18" t="s">
        <v>5</v>
      </c>
      <c r="C81" s="18" t="s">
        <v>20</v>
      </c>
      <c r="D81" s="141" t="str">
        <f ca="1">F43</f>
        <v>-</v>
      </c>
      <c r="E81" s="141"/>
      <c r="F81" s="146" t="str">
        <f t="shared" ca="1" si="21"/>
        <v>No correlation</v>
      </c>
      <c r="G81" s="146"/>
      <c r="H81" s="146"/>
      <c r="I81" s="146"/>
      <c r="J81" s="146"/>
      <c r="K81" s="146"/>
      <c r="L81" s="146"/>
      <c r="M81" s="146"/>
      <c r="N81" s="146"/>
      <c r="O81" s="146"/>
    </row>
    <row r="82" spans="1:15" s="21" customFormat="1" ht="50.1" customHeight="1" x14ac:dyDescent="0.25">
      <c r="A82" s="18">
        <v>20</v>
      </c>
      <c r="B82" s="18" t="s">
        <v>5</v>
      </c>
      <c r="C82" s="18" t="s">
        <v>21</v>
      </c>
      <c r="D82" s="141" t="str">
        <f ca="1">G43</f>
        <v>-</v>
      </c>
      <c r="E82" s="141"/>
      <c r="F82" s="146" t="str">
        <f t="shared" ca="1" si="21"/>
        <v>No correlation</v>
      </c>
      <c r="G82" s="146"/>
      <c r="H82" s="146"/>
      <c r="I82" s="146"/>
      <c r="J82" s="146"/>
      <c r="K82" s="146"/>
      <c r="L82" s="146"/>
      <c r="M82" s="146"/>
      <c r="N82" s="146"/>
      <c r="O82" s="146"/>
    </row>
    <row r="83" spans="1:15" s="21" customFormat="1" ht="50.1" customHeight="1" x14ac:dyDescent="0.25">
      <c r="A83" s="18">
        <v>21</v>
      </c>
      <c r="B83" s="18" t="s">
        <v>5</v>
      </c>
      <c r="C83" s="18" t="s">
        <v>22</v>
      </c>
      <c r="D83" s="141" t="str">
        <f ca="1">H43</f>
        <v>-</v>
      </c>
      <c r="E83" s="141"/>
      <c r="F83" s="146" t="str">
        <f t="shared" ca="1" si="21"/>
        <v>No correlation</v>
      </c>
      <c r="G83" s="146"/>
      <c r="H83" s="146"/>
      <c r="I83" s="146"/>
      <c r="J83" s="146"/>
      <c r="K83" s="146"/>
      <c r="L83" s="146"/>
      <c r="M83" s="146"/>
      <c r="N83" s="146"/>
      <c r="O83" s="146"/>
    </row>
    <row r="84" spans="1:15" s="21" customFormat="1" ht="50.1" customHeight="1" x14ac:dyDescent="0.25">
      <c r="A84" s="18">
        <v>22</v>
      </c>
      <c r="B84" s="18" t="s">
        <v>5</v>
      </c>
      <c r="C84" s="18" t="s">
        <v>23</v>
      </c>
      <c r="D84" s="141" t="str">
        <f ca="1">I43</f>
        <v>-</v>
      </c>
      <c r="E84" s="141"/>
      <c r="F84" s="146" t="str">
        <f t="shared" ca="1" si="21"/>
        <v>No correlation</v>
      </c>
      <c r="G84" s="146"/>
      <c r="H84" s="146"/>
      <c r="I84" s="146"/>
      <c r="J84" s="146"/>
      <c r="K84" s="146"/>
      <c r="L84" s="146"/>
      <c r="M84" s="146"/>
      <c r="N84" s="146"/>
      <c r="O84" s="146"/>
    </row>
    <row r="85" spans="1:15" s="21" customFormat="1" ht="50.1" customHeight="1" x14ac:dyDescent="0.25">
      <c r="A85" s="18">
        <v>23</v>
      </c>
      <c r="B85" s="18" t="s">
        <v>5</v>
      </c>
      <c r="C85" s="18" t="s">
        <v>24</v>
      </c>
      <c r="D85" s="141" t="str">
        <f ca="1">J43</f>
        <v>-</v>
      </c>
      <c r="E85" s="141"/>
      <c r="F85" s="146" t="str">
        <f t="shared" ca="1" si="21"/>
        <v>No correlation</v>
      </c>
      <c r="G85" s="146"/>
      <c r="H85" s="146"/>
      <c r="I85" s="146"/>
      <c r="J85" s="146"/>
      <c r="K85" s="146"/>
      <c r="L85" s="146"/>
      <c r="M85" s="146"/>
      <c r="N85" s="146"/>
      <c r="O85" s="146"/>
    </row>
    <row r="86" spans="1:15" s="21" customFormat="1" ht="50.1" customHeight="1" x14ac:dyDescent="0.25">
      <c r="A86" s="18">
        <v>24</v>
      </c>
      <c r="B86" s="18" t="s">
        <v>5</v>
      </c>
      <c r="C86" s="18" t="s">
        <v>25</v>
      </c>
      <c r="D86" s="141" t="str">
        <f ca="1">K43</f>
        <v>-</v>
      </c>
      <c r="E86" s="141"/>
      <c r="F86" s="146" t="str">
        <f t="shared" ca="1" si="21"/>
        <v>No correlation</v>
      </c>
      <c r="G86" s="146"/>
      <c r="H86" s="146"/>
      <c r="I86" s="146"/>
      <c r="J86" s="146"/>
      <c r="K86" s="146"/>
      <c r="L86" s="146"/>
      <c r="M86" s="146"/>
      <c r="N86" s="146"/>
      <c r="O86" s="146"/>
    </row>
    <row r="87" spans="1:15" s="21" customFormat="1" ht="50.1" customHeight="1" x14ac:dyDescent="0.25">
      <c r="A87" s="18">
        <v>25</v>
      </c>
      <c r="B87" s="18" t="s">
        <v>5</v>
      </c>
      <c r="C87" s="18" t="s">
        <v>26</v>
      </c>
      <c r="D87" s="141" t="str">
        <f ca="1">L43</f>
        <v>-</v>
      </c>
      <c r="E87" s="141"/>
      <c r="F87" s="146" t="str">
        <f t="shared" ca="1" si="21"/>
        <v>No correlation</v>
      </c>
      <c r="G87" s="146"/>
      <c r="H87" s="146"/>
      <c r="I87" s="146"/>
      <c r="J87" s="146"/>
      <c r="K87" s="146"/>
      <c r="L87" s="146"/>
      <c r="M87" s="146"/>
      <c r="N87" s="146"/>
      <c r="O87" s="146"/>
    </row>
    <row r="88" spans="1:15" s="21" customFormat="1" ht="50.1" customHeight="1" x14ac:dyDescent="0.25">
      <c r="A88" s="18">
        <v>26</v>
      </c>
      <c r="B88" s="18" t="s">
        <v>5</v>
      </c>
      <c r="C88" s="18" t="s">
        <v>27</v>
      </c>
      <c r="D88" s="141" t="str">
        <f ca="1">M43</f>
        <v>-</v>
      </c>
      <c r="E88" s="141"/>
      <c r="F88" s="146" t="str">
        <f t="shared" ca="1" si="21"/>
        <v>No correlation</v>
      </c>
      <c r="G88" s="146"/>
      <c r="H88" s="146"/>
      <c r="I88" s="146"/>
      <c r="J88" s="146"/>
      <c r="K88" s="146"/>
      <c r="L88" s="146"/>
      <c r="M88" s="146"/>
      <c r="N88" s="146"/>
      <c r="O88" s="146"/>
    </row>
    <row r="89" spans="1:15" s="21" customFormat="1" ht="50.1" customHeight="1" x14ac:dyDescent="0.25">
      <c r="A89" s="18">
        <v>27</v>
      </c>
      <c r="B89" s="18" t="s">
        <v>5</v>
      </c>
      <c r="C89" s="18" t="s">
        <v>28</v>
      </c>
      <c r="D89" s="141" t="str">
        <f ca="1">N43</f>
        <v>-</v>
      </c>
      <c r="E89" s="141"/>
      <c r="F89" s="146" t="str">
        <f t="shared" ca="1" si="21"/>
        <v>No correlation</v>
      </c>
      <c r="G89" s="146"/>
      <c r="H89" s="146"/>
      <c r="I89" s="146"/>
      <c r="J89" s="146"/>
      <c r="K89" s="146"/>
      <c r="L89" s="146"/>
      <c r="M89" s="146"/>
      <c r="N89" s="146"/>
      <c r="O89" s="146"/>
    </row>
    <row r="90" spans="1:15" s="21" customFormat="1" ht="67.5" customHeight="1" x14ac:dyDescent="0.25">
      <c r="A90" s="18">
        <v>28</v>
      </c>
      <c r="B90" s="18" t="s">
        <v>5</v>
      </c>
      <c r="C90" s="18" t="s">
        <v>29</v>
      </c>
      <c r="D90" s="141" t="str">
        <f ca="1">O43</f>
        <v>1</v>
      </c>
      <c r="E90" s="141"/>
      <c r="F90" s="146" t="s">
        <v>442</v>
      </c>
      <c r="G90" s="146"/>
      <c r="H90" s="146"/>
      <c r="I90" s="146"/>
      <c r="J90" s="146"/>
      <c r="K90" s="146"/>
      <c r="L90" s="146"/>
      <c r="M90" s="146"/>
      <c r="N90" s="146"/>
      <c r="O90" s="146"/>
    </row>
    <row r="91" spans="1:15" s="21" customFormat="1" ht="104.25" customHeight="1" x14ac:dyDescent="0.25">
      <c r="A91" s="18">
        <v>29</v>
      </c>
      <c r="B91" s="18" t="s">
        <v>6</v>
      </c>
      <c r="C91" s="18" t="s">
        <v>16</v>
      </c>
      <c r="D91" s="141" t="str">
        <f ca="1">B44</f>
        <v>3</v>
      </c>
      <c r="E91" s="141"/>
      <c r="F91" s="146" t="s">
        <v>443</v>
      </c>
      <c r="G91" s="146"/>
      <c r="H91" s="146"/>
      <c r="I91" s="146"/>
      <c r="J91" s="146"/>
      <c r="K91" s="146"/>
      <c r="L91" s="146"/>
      <c r="M91" s="146"/>
      <c r="N91" s="146"/>
      <c r="O91" s="146"/>
    </row>
    <row r="92" spans="1:15" s="21" customFormat="1" ht="50.1" customHeight="1" x14ac:dyDescent="0.25">
      <c r="A92" s="18">
        <v>30</v>
      </c>
      <c r="B92" s="18" t="s">
        <v>6</v>
      </c>
      <c r="C92" s="18" t="s">
        <v>17</v>
      </c>
      <c r="D92" s="141" t="str">
        <f ca="1">C44</f>
        <v>-</v>
      </c>
      <c r="E92" s="141"/>
      <c r="F92" s="146" t="str">
        <f t="shared" ca="1" si="21"/>
        <v>No correlation</v>
      </c>
      <c r="G92" s="146"/>
      <c r="H92" s="146"/>
      <c r="I92" s="146"/>
      <c r="J92" s="146"/>
      <c r="K92" s="146"/>
      <c r="L92" s="146"/>
      <c r="M92" s="146"/>
      <c r="N92" s="146"/>
      <c r="O92" s="146"/>
    </row>
    <row r="93" spans="1:15" s="21" customFormat="1" ht="87" customHeight="1" x14ac:dyDescent="0.25">
      <c r="A93" s="18">
        <v>31</v>
      </c>
      <c r="B93" s="18" t="s">
        <v>6</v>
      </c>
      <c r="C93" s="18" t="s">
        <v>18</v>
      </c>
      <c r="D93" s="141" t="str">
        <f ca="1">D44</f>
        <v>2</v>
      </c>
      <c r="E93" s="141"/>
      <c r="F93" s="146" t="s">
        <v>444</v>
      </c>
      <c r="G93" s="146"/>
      <c r="H93" s="146"/>
      <c r="I93" s="146"/>
      <c r="J93" s="146"/>
      <c r="K93" s="146"/>
      <c r="L93" s="146"/>
      <c r="M93" s="146"/>
      <c r="N93" s="146"/>
      <c r="O93" s="146"/>
    </row>
    <row r="94" spans="1:15" s="21" customFormat="1" ht="50.1" customHeight="1" x14ac:dyDescent="0.25">
      <c r="A94" s="18">
        <v>32</v>
      </c>
      <c r="B94" s="18" t="s">
        <v>6</v>
      </c>
      <c r="C94" s="18" t="s">
        <v>19</v>
      </c>
      <c r="D94" s="141" t="str">
        <f ca="1">E44</f>
        <v>-</v>
      </c>
      <c r="E94" s="141"/>
      <c r="F94" s="146" t="str">
        <f t="shared" ca="1" si="21"/>
        <v>No correlation</v>
      </c>
      <c r="G94" s="146"/>
      <c r="H94" s="146"/>
      <c r="I94" s="146"/>
      <c r="J94" s="146"/>
      <c r="K94" s="146"/>
      <c r="L94" s="146"/>
      <c r="M94" s="146"/>
      <c r="N94" s="146"/>
      <c r="O94" s="146"/>
    </row>
    <row r="95" spans="1:15" s="21" customFormat="1" ht="50.1" customHeight="1" x14ac:dyDescent="0.25">
      <c r="A95" s="18">
        <v>33</v>
      </c>
      <c r="B95" s="18" t="s">
        <v>6</v>
      </c>
      <c r="C95" s="18" t="s">
        <v>20</v>
      </c>
      <c r="D95" s="141" t="str">
        <f ca="1">F44</f>
        <v>-</v>
      </c>
      <c r="E95" s="141"/>
      <c r="F95" s="146" t="str">
        <f t="shared" ca="1" si="21"/>
        <v>No correlation</v>
      </c>
      <c r="G95" s="146"/>
      <c r="H95" s="146"/>
      <c r="I95" s="146"/>
      <c r="J95" s="146"/>
      <c r="K95" s="146"/>
      <c r="L95" s="146"/>
      <c r="M95" s="146"/>
      <c r="N95" s="146"/>
      <c r="O95" s="146"/>
    </row>
    <row r="96" spans="1:15" s="21" customFormat="1" ht="50.1" customHeight="1" x14ac:dyDescent="0.25">
      <c r="A96" s="18">
        <v>34</v>
      </c>
      <c r="B96" s="18" t="s">
        <v>6</v>
      </c>
      <c r="C96" s="18" t="s">
        <v>21</v>
      </c>
      <c r="D96" s="141" t="str">
        <f ca="1">G44</f>
        <v>-</v>
      </c>
      <c r="E96" s="141"/>
      <c r="F96" s="146" t="str">
        <f t="shared" ca="1" si="21"/>
        <v>No correlation</v>
      </c>
      <c r="G96" s="146"/>
      <c r="H96" s="146"/>
      <c r="I96" s="146"/>
      <c r="J96" s="146"/>
      <c r="K96" s="146"/>
      <c r="L96" s="146"/>
      <c r="M96" s="146"/>
      <c r="N96" s="146"/>
      <c r="O96" s="146"/>
    </row>
    <row r="97" spans="1:15" s="21" customFormat="1" ht="50.1" customHeight="1" x14ac:dyDescent="0.25">
      <c r="A97" s="18">
        <v>35</v>
      </c>
      <c r="B97" s="18" t="s">
        <v>6</v>
      </c>
      <c r="C97" s="18" t="s">
        <v>22</v>
      </c>
      <c r="D97" s="141" t="str">
        <f ca="1">H44</f>
        <v>-</v>
      </c>
      <c r="E97" s="141"/>
      <c r="F97" s="146" t="str">
        <f t="shared" ca="1" si="21"/>
        <v>No correlation</v>
      </c>
      <c r="G97" s="146"/>
      <c r="H97" s="146"/>
      <c r="I97" s="146"/>
      <c r="J97" s="146"/>
      <c r="K97" s="146"/>
      <c r="L97" s="146"/>
      <c r="M97" s="146"/>
      <c r="N97" s="146"/>
      <c r="O97" s="146"/>
    </row>
    <row r="98" spans="1:15" s="21" customFormat="1" ht="50.1" customHeight="1" x14ac:dyDescent="0.25">
      <c r="A98" s="18">
        <v>36</v>
      </c>
      <c r="B98" s="18" t="s">
        <v>6</v>
      </c>
      <c r="C98" s="18" t="s">
        <v>23</v>
      </c>
      <c r="D98" s="141" t="str">
        <f ca="1">I44</f>
        <v>-</v>
      </c>
      <c r="E98" s="141"/>
      <c r="F98" s="146" t="str">
        <f t="shared" ca="1" si="21"/>
        <v>No correlation</v>
      </c>
      <c r="G98" s="146"/>
      <c r="H98" s="146"/>
      <c r="I98" s="146"/>
      <c r="J98" s="146"/>
      <c r="K98" s="146"/>
      <c r="L98" s="146"/>
      <c r="M98" s="146"/>
      <c r="N98" s="146"/>
      <c r="O98" s="146"/>
    </row>
    <row r="99" spans="1:15" s="21" customFormat="1" ht="50.1" customHeight="1" x14ac:dyDescent="0.25">
      <c r="A99" s="18">
        <v>37</v>
      </c>
      <c r="B99" s="18" t="s">
        <v>6</v>
      </c>
      <c r="C99" s="18" t="s">
        <v>24</v>
      </c>
      <c r="D99" s="141" t="str">
        <f ca="1">J44</f>
        <v>-</v>
      </c>
      <c r="E99" s="141"/>
      <c r="F99" s="146" t="str">
        <f t="shared" ca="1" si="21"/>
        <v>No correlation</v>
      </c>
      <c r="G99" s="146"/>
      <c r="H99" s="146"/>
      <c r="I99" s="146"/>
      <c r="J99" s="146"/>
      <c r="K99" s="146"/>
      <c r="L99" s="146"/>
      <c r="M99" s="146"/>
      <c r="N99" s="146"/>
      <c r="O99" s="146"/>
    </row>
    <row r="100" spans="1:15" s="21" customFormat="1" ht="50.1" customHeight="1" x14ac:dyDescent="0.25">
      <c r="A100" s="18">
        <v>38</v>
      </c>
      <c r="B100" s="18" t="s">
        <v>6</v>
      </c>
      <c r="C100" s="18" t="s">
        <v>25</v>
      </c>
      <c r="D100" s="141" t="str">
        <f ca="1">K44</f>
        <v>-</v>
      </c>
      <c r="E100" s="141"/>
      <c r="F100" s="146" t="str">
        <f t="shared" ca="1" si="21"/>
        <v>No correlation</v>
      </c>
      <c r="G100" s="146"/>
      <c r="H100" s="146"/>
      <c r="I100" s="146"/>
      <c r="J100" s="146"/>
      <c r="K100" s="146"/>
      <c r="L100" s="146"/>
      <c r="M100" s="146"/>
      <c r="N100" s="146"/>
      <c r="O100" s="146"/>
    </row>
    <row r="101" spans="1:15" s="21" customFormat="1" ht="50.1" customHeight="1" x14ac:dyDescent="0.25">
      <c r="A101" s="18">
        <v>39</v>
      </c>
      <c r="B101" s="18" t="s">
        <v>6</v>
      </c>
      <c r="C101" s="18" t="s">
        <v>26</v>
      </c>
      <c r="D101" s="141" t="str">
        <f ca="1">L44</f>
        <v>-</v>
      </c>
      <c r="E101" s="141"/>
      <c r="F101" s="146" t="str">
        <f t="shared" ca="1" si="21"/>
        <v>No correlation</v>
      </c>
      <c r="G101" s="146"/>
      <c r="H101" s="146"/>
      <c r="I101" s="146"/>
      <c r="J101" s="146"/>
      <c r="K101" s="146"/>
      <c r="L101" s="146"/>
      <c r="M101" s="146"/>
      <c r="N101" s="146"/>
      <c r="O101" s="146"/>
    </row>
    <row r="102" spans="1:15" s="21" customFormat="1" ht="63" customHeight="1" x14ac:dyDescent="0.25">
      <c r="A102" s="18">
        <v>40</v>
      </c>
      <c r="B102" s="18" t="s">
        <v>6</v>
      </c>
      <c r="C102" s="18" t="s">
        <v>27</v>
      </c>
      <c r="D102" s="141" t="str">
        <f ca="1">M44</f>
        <v>1</v>
      </c>
      <c r="E102" s="141"/>
      <c r="F102" s="146" t="s">
        <v>445</v>
      </c>
      <c r="G102" s="146"/>
      <c r="H102" s="146"/>
      <c r="I102" s="146"/>
      <c r="J102" s="146"/>
      <c r="K102" s="146"/>
      <c r="L102" s="146"/>
      <c r="M102" s="146"/>
      <c r="N102" s="146"/>
      <c r="O102" s="146"/>
    </row>
    <row r="103" spans="1:15" s="21" customFormat="1" ht="50.1" customHeight="1" x14ac:dyDescent="0.25">
      <c r="A103" s="18">
        <v>41</v>
      </c>
      <c r="B103" s="18" t="s">
        <v>6</v>
      </c>
      <c r="C103" s="18" t="s">
        <v>28</v>
      </c>
      <c r="D103" s="141" t="str">
        <f ca="1">N44</f>
        <v>-</v>
      </c>
      <c r="E103" s="141"/>
      <c r="F103" s="146" t="str">
        <f t="shared" ca="1" si="21"/>
        <v>No correlation</v>
      </c>
      <c r="G103" s="146"/>
      <c r="H103" s="146"/>
      <c r="I103" s="146"/>
      <c r="J103" s="146"/>
      <c r="K103" s="146"/>
      <c r="L103" s="146"/>
      <c r="M103" s="146"/>
      <c r="N103" s="146"/>
      <c r="O103" s="146"/>
    </row>
    <row r="104" spans="1:15" s="21" customFormat="1" ht="64.5" customHeight="1" x14ac:dyDescent="0.25">
      <c r="A104" s="18">
        <v>42</v>
      </c>
      <c r="B104" s="18" t="s">
        <v>6</v>
      </c>
      <c r="C104" s="18" t="s">
        <v>29</v>
      </c>
      <c r="D104" s="141" t="str">
        <f ca="1">O44</f>
        <v>1</v>
      </c>
      <c r="E104" s="141"/>
      <c r="F104" s="146" t="s">
        <v>446</v>
      </c>
      <c r="G104" s="146"/>
      <c r="H104" s="146"/>
      <c r="I104" s="146"/>
      <c r="J104" s="146"/>
      <c r="K104" s="146"/>
      <c r="L104" s="146"/>
      <c r="M104" s="146"/>
      <c r="N104" s="146"/>
      <c r="O104" s="146"/>
    </row>
    <row r="105" spans="1:15" s="21" customFormat="1" ht="50.1" customHeight="1" x14ac:dyDescent="0.25">
      <c r="A105" s="18">
        <v>43</v>
      </c>
      <c r="B105" s="18" t="s">
        <v>7</v>
      </c>
      <c r="C105" s="18" t="s">
        <v>16</v>
      </c>
      <c r="D105" s="141" t="str">
        <f ca="1">B45</f>
        <v>-</v>
      </c>
      <c r="E105" s="141"/>
      <c r="F105" s="146" t="str">
        <f t="shared" ca="1" si="21"/>
        <v>No correlation</v>
      </c>
      <c r="G105" s="146"/>
      <c r="H105" s="146"/>
      <c r="I105" s="146"/>
      <c r="J105" s="146"/>
      <c r="K105" s="146"/>
      <c r="L105" s="146"/>
      <c r="M105" s="146"/>
      <c r="N105" s="146"/>
      <c r="O105" s="146"/>
    </row>
    <row r="106" spans="1:15" s="21" customFormat="1" ht="60" customHeight="1" x14ac:dyDescent="0.25">
      <c r="A106" s="18">
        <v>44</v>
      </c>
      <c r="B106" s="18" t="s">
        <v>7</v>
      </c>
      <c r="C106" s="18" t="s">
        <v>17</v>
      </c>
      <c r="D106" s="141" t="str">
        <f ca="1">C45</f>
        <v>3</v>
      </c>
      <c r="E106" s="141"/>
      <c r="F106" s="146" t="s">
        <v>447</v>
      </c>
      <c r="G106" s="146"/>
      <c r="H106" s="146"/>
      <c r="I106" s="146"/>
      <c r="J106" s="146"/>
      <c r="K106" s="146"/>
      <c r="L106" s="146"/>
      <c r="M106" s="146"/>
      <c r="N106" s="146"/>
      <c r="O106" s="146"/>
    </row>
    <row r="107" spans="1:15" s="21" customFormat="1" ht="50.1" customHeight="1" x14ac:dyDescent="0.25">
      <c r="A107" s="18">
        <v>45</v>
      </c>
      <c r="B107" s="18" t="s">
        <v>7</v>
      </c>
      <c r="C107" s="18" t="s">
        <v>18</v>
      </c>
      <c r="D107" s="141" t="str">
        <f ca="1">D45</f>
        <v>-</v>
      </c>
      <c r="E107" s="141"/>
      <c r="F107" s="146" t="str">
        <f t="shared" ca="1" si="21"/>
        <v>No correlation</v>
      </c>
      <c r="G107" s="146"/>
      <c r="H107" s="146"/>
      <c r="I107" s="146"/>
      <c r="J107" s="146"/>
      <c r="K107" s="146"/>
      <c r="L107" s="146"/>
      <c r="M107" s="146"/>
      <c r="N107" s="146"/>
      <c r="O107" s="146"/>
    </row>
    <row r="108" spans="1:15" s="21" customFormat="1" ht="56.25" customHeight="1" x14ac:dyDescent="0.25">
      <c r="A108" s="18">
        <v>46</v>
      </c>
      <c r="B108" s="18" t="s">
        <v>7</v>
      </c>
      <c r="C108" s="18" t="s">
        <v>19</v>
      </c>
      <c r="D108" s="141" t="str">
        <f ca="1">E45</f>
        <v>1</v>
      </c>
      <c r="E108" s="141"/>
      <c r="F108" s="146" t="s">
        <v>448</v>
      </c>
      <c r="G108" s="146"/>
      <c r="H108" s="146"/>
      <c r="I108" s="146"/>
      <c r="J108" s="146"/>
      <c r="K108" s="146"/>
      <c r="L108" s="146"/>
      <c r="M108" s="146"/>
      <c r="N108" s="146"/>
      <c r="O108" s="146"/>
    </row>
    <row r="109" spans="1:15" s="21" customFormat="1" ht="50.1" customHeight="1" x14ac:dyDescent="0.25">
      <c r="A109" s="18">
        <v>47</v>
      </c>
      <c r="B109" s="18" t="s">
        <v>7</v>
      </c>
      <c r="C109" s="18" t="s">
        <v>20</v>
      </c>
      <c r="D109" s="141" t="str">
        <f ca="1">F45</f>
        <v>-</v>
      </c>
      <c r="E109" s="141"/>
      <c r="F109" s="146" t="str">
        <f t="shared" ca="1" si="21"/>
        <v>No correlation</v>
      </c>
      <c r="G109" s="146"/>
      <c r="H109" s="146"/>
      <c r="I109" s="146"/>
      <c r="J109" s="146"/>
      <c r="K109" s="146"/>
      <c r="L109" s="146"/>
      <c r="M109" s="146"/>
      <c r="N109" s="146"/>
      <c r="O109" s="146"/>
    </row>
    <row r="110" spans="1:15" s="21" customFormat="1" ht="50.1" customHeight="1" x14ac:dyDescent="0.25">
      <c r="A110" s="18">
        <v>48</v>
      </c>
      <c r="B110" s="18" t="s">
        <v>7</v>
      </c>
      <c r="C110" s="18" t="s">
        <v>21</v>
      </c>
      <c r="D110" s="141" t="str">
        <f ca="1">G45</f>
        <v>-</v>
      </c>
      <c r="E110" s="141"/>
      <c r="F110" s="146" t="str">
        <f t="shared" ca="1" si="21"/>
        <v>No correlation</v>
      </c>
      <c r="G110" s="146"/>
      <c r="H110" s="146"/>
      <c r="I110" s="146"/>
      <c r="J110" s="146"/>
      <c r="K110" s="146"/>
      <c r="L110" s="146"/>
      <c r="M110" s="146"/>
      <c r="N110" s="146"/>
      <c r="O110" s="146"/>
    </row>
    <row r="111" spans="1:15" s="21" customFormat="1" ht="50.1" customHeight="1" x14ac:dyDescent="0.25">
      <c r="A111" s="18">
        <v>49</v>
      </c>
      <c r="B111" s="18" t="s">
        <v>7</v>
      </c>
      <c r="C111" s="18" t="s">
        <v>22</v>
      </c>
      <c r="D111" s="141" t="str">
        <f ca="1">H45</f>
        <v>-</v>
      </c>
      <c r="E111" s="141"/>
      <c r="F111" s="146" t="str">
        <f t="shared" ca="1" si="21"/>
        <v>No correlation</v>
      </c>
      <c r="G111" s="146"/>
      <c r="H111" s="146"/>
      <c r="I111" s="146"/>
      <c r="J111" s="146"/>
      <c r="K111" s="146"/>
      <c r="L111" s="146"/>
      <c r="M111" s="146"/>
      <c r="N111" s="146"/>
      <c r="O111" s="146"/>
    </row>
    <row r="112" spans="1:15" s="21" customFormat="1" ht="50.1" customHeight="1" x14ac:dyDescent="0.25">
      <c r="A112" s="18">
        <v>50</v>
      </c>
      <c r="B112" s="18" t="s">
        <v>7</v>
      </c>
      <c r="C112" s="18" t="s">
        <v>23</v>
      </c>
      <c r="D112" s="141" t="str">
        <f ca="1">I45</f>
        <v>-</v>
      </c>
      <c r="E112" s="141"/>
      <c r="F112" s="146" t="str">
        <f t="shared" ca="1" si="21"/>
        <v>No correlation</v>
      </c>
      <c r="G112" s="146"/>
      <c r="H112" s="146"/>
      <c r="I112" s="146"/>
      <c r="J112" s="146"/>
      <c r="K112" s="146"/>
      <c r="L112" s="146"/>
      <c r="M112" s="146"/>
      <c r="N112" s="146"/>
      <c r="O112" s="146"/>
    </row>
    <row r="113" spans="1:15" s="21" customFormat="1" ht="50.1" customHeight="1" x14ac:dyDescent="0.25">
      <c r="A113" s="18">
        <v>51</v>
      </c>
      <c r="B113" s="18" t="s">
        <v>7</v>
      </c>
      <c r="C113" s="18" t="s">
        <v>24</v>
      </c>
      <c r="D113" s="141" t="str">
        <f ca="1">J45</f>
        <v>-</v>
      </c>
      <c r="E113" s="141"/>
      <c r="F113" s="146" t="str">
        <f t="shared" ca="1" si="21"/>
        <v>No correlation</v>
      </c>
      <c r="G113" s="146"/>
      <c r="H113" s="146"/>
      <c r="I113" s="146"/>
      <c r="J113" s="146"/>
      <c r="K113" s="146"/>
      <c r="L113" s="146"/>
      <c r="M113" s="146"/>
      <c r="N113" s="146"/>
      <c r="O113" s="146"/>
    </row>
    <row r="114" spans="1:15" s="21" customFormat="1" ht="50.1" customHeight="1" x14ac:dyDescent="0.25">
      <c r="A114" s="18">
        <v>52</v>
      </c>
      <c r="B114" s="18" t="s">
        <v>7</v>
      </c>
      <c r="C114" s="18" t="s">
        <v>25</v>
      </c>
      <c r="D114" s="141" t="str">
        <f ca="1">K45</f>
        <v>-</v>
      </c>
      <c r="E114" s="141"/>
      <c r="F114" s="146" t="str">
        <f t="shared" ca="1" si="21"/>
        <v>No correlation</v>
      </c>
      <c r="G114" s="146"/>
      <c r="H114" s="146"/>
      <c r="I114" s="146"/>
      <c r="J114" s="146"/>
      <c r="K114" s="146"/>
      <c r="L114" s="146"/>
      <c r="M114" s="146"/>
      <c r="N114" s="146"/>
      <c r="O114" s="146"/>
    </row>
    <row r="115" spans="1:15" s="21" customFormat="1" ht="50.1" customHeight="1" x14ac:dyDescent="0.25">
      <c r="A115" s="18">
        <v>53</v>
      </c>
      <c r="B115" s="18" t="s">
        <v>7</v>
      </c>
      <c r="C115" s="18" t="s">
        <v>26</v>
      </c>
      <c r="D115" s="141" t="str">
        <f ca="1">L45</f>
        <v>-</v>
      </c>
      <c r="E115" s="141"/>
      <c r="F115" s="146" t="str">
        <f t="shared" ca="1" si="21"/>
        <v>No correlation</v>
      </c>
      <c r="G115" s="146"/>
      <c r="H115" s="146"/>
      <c r="I115" s="146"/>
      <c r="J115" s="146"/>
      <c r="K115" s="146"/>
      <c r="L115" s="146"/>
      <c r="M115" s="146"/>
      <c r="N115" s="146"/>
      <c r="O115" s="146"/>
    </row>
    <row r="116" spans="1:15" s="21" customFormat="1" ht="69" customHeight="1" x14ac:dyDescent="0.25">
      <c r="A116" s="18">
        <v>54</v>
      </c>
      <c r="B116" s="18" t="s">
        <v>7</v>
      </c>
      <c r="C116" s="18" t="s">
        <v>27</v>
      </c>
      <c r="D116" s="141" t="str">
        <f ca="1">M45</f>
        <v>1</v>
      </c>
      <c r="E116" s="141"/>
      <c r="F116" s="146" t="s">
        <v>449</v>
      </c>
      <c r="G116" s="146"/>
      <c r="H116" s="146"/>
      <c r="I116" s="146"/>
      <c r="J116" s="146"/>
      <c r="K116" s="146"/>
      <c r="L116" s="146"/>
      <c r="M116" s="146"/>
      <c r="N116" s="146"/>
      <c r="O116" s="146"/>
    </row>
    <row r="117" spans="1:15" s="21" customFormat="1" ht="68.25" customHeight="1" x14ac:dyDescent="0.25">
      <c r="A117" s="18">
        <v>55</v>
      </c>
      <c r="B117" s="18" t="s">
        <v>7</v>
      </c>
      <c r="C117" s="18" t="s">
        <v>28</v>
      </c>
      <c r="D117" s="141" t="str">
        <f ca="1">N45</f>
        <v>1</v>
      </c>
      <c r="E117" s="141"/>
      <c r="F117" s="146" t="s">
        <v>450</v>
      </c>
      <c r="G117" s="146"/>
      <c r="H117" s="146"/>
      <c r="I117" s="146"/>
      <c r="J117" s="146"/>
      <c r="K117" s="146"/>
      <c r="L117" s="146"/>
      <c r="M117" s="146"/>
      <c r="N117" s="146"/>
      <c r="O117" s="146"/>
    </row>
    <row r="118" spans="1:15" s="21" customFormat="1" ht="50.1" customHeight="1" x14ac:dyDescent="0.25">
      <c r="A118" s="18">
        <v>56</v>
      </c>
      <c r="B118" s="18" t="s">
        <v>7</v>
      </c>
      <c r="C118" s="18" t="s">
        <v>29</v>
      </c>
      <c r="D118" s="141" t="str">
        <f ca="1">O45</f>
        <v>-</v>
      </c>
      <c r="E118" s="141"/>
      <c r="F118" s="146" t="str">
        <f t="shared" ca="1" si="21"/>
        <v>No correlation</v>
      </c>
      <c r="G118" s="146"/>
      <c r="H118" s="146"/>
      <c r="I118" s="146"/>
      <c r="J118" s="146"/>
      <c r="K118" s="146"/>
      <c r="L118" s="146"/>
      <c r="M118" s="146"/>
      <c r="N118" s="146"/>
      <c r="O118" s="146"/>
    </row>
    <row r="119" spans="1:15" s="21" customFormat="1" ht="50.1" customHeight="1" x14ac:dyDescent="0.25">
      <c r="A119" s="18">
        <v>57</v>
      </c>
      <c r="B119" s="18" t="s">
        <v>8</v>
      </c>
      <c r="C119" s="18" t="s">
        <v>16</v>
      </c>
      <c r="D119" s="141" t="str">
        <f ca="1">B46</f>
        <v>-</v>
      </c>
      <c r="E119" s="141"/>
      <c r="F119" s="146" t="str">
        <f t="shared" ca="1" si="21"/>
        <v>No correlation</v>
      </c>
      <c r="G119" s="146"/>
      <c r="H119" s="146"/>
      <c r="I119" s="146"/>
      <c r="J119" s="146"/>
      <c r="K119" s="146"/>
      <c r="L119" s="146"/>
      <c r="M119" s="146"/>
      <c r="N119" s="146"/>
      <c r="O119" s="146"/>
    </row>
    <row r="120" spans="1:15" s="21" customFormat="1" ht="60" customHeight="1" x14ac:dyDescent="0.25">
      <c r="A120" s="18">
        <v>58</v>
      </c>
      <c r="B120" s="18" t="s">
        <v>8</v>
      </c>
      <c r="C120" s="18" t="s">
        <v>17</v>
      </c>
      <c r="D120" s="141" t="str">
        <f ca="1">C46</f>
        <v>3</v>
      </c>
      <c r="E120" s="141"/>
      <c r="F120" s="146" t="s">
        <v>451</v>
      </c>
      <c r="G120" s="146"/>
      <c r="H120" s="146"/>
      <c r="I120" s="146"/>
      <c r="J120" s="146"/>
      <c r="K120" s="146"/>
      <c r="L120" s="146"/>
      <c r="M120" s="146"/>
      <c r="N120" s="146"/>
      <c r="O120" s="146"/>
    </row>
    <row r="121" spans="1:15" s="21" customFormat="1" ht="68.25" customHeight="1" x14ac:dyDescent="0.25">
      <c r="A121" s="18">
        <v>59</v>
      </c>
      <c r="B121" s="18" t="s">
        <v>8</v>
      </c>
      <c r="C121" s="18" t="s">
        <v>18</v>
      </c>
      <c r="D121" s="141" t="str">
        <f ca="1">D46</f>
        <v>1</v>
      </c>
      <c r="E121" s="141"/>
      <c r="F121" s="146" t="s">
        <v>452</v>
      </c>
      <c r="G121" s="146"/>
      <c r="H121" s="146"/>
      <c r="I121" s="146"/>
      <c r="J121" s="146"/>
      <c r="K121" s="146"/>
      <c r="L121" s="146"/>
      <c r="M121" s="146"/>
      <c r="N121" s="146"/>
      <c r="O121" s="146"/>
    </row>
    <row r="122" spans="1:15" s="21" customFormat="1" ht="61.5" customHeight="1" x14ac:dyDescent="0.25">
      <c r="A122" s="18">
        <v>60</v>
      </c>
      <c r="B122" s="18" t="s">
        <v>8</v>
      </c>
      <c r="C122" s="18" t="s">
        <v>19</v>
      </c>
      <c r="D122" s="141" t="str">
        <f ca="1">E46</f>
        <v>1</v>
      </c>
      <c r="E122" s="141"/>
      <c r="F122" s="146" t="s">
        <v>453</v>
      </c>
      <c r="G122" s="146"/>
      <c r="H122" s="146"/>
      <c r="I122" s="146"/>
      <c r="J122" s="146"/>
      <c r="K122" s="146"/>
      <c r="L122" s="146"/>
      <c r="M122" s="146"/>
      <c r="N122" s="146"/>
      <c r="O122" s="146"/>
    </row>
    <row r="123" spans="1:15" s="21" customFormat="1" ht="50.1" customHeight="1" x14ac:dyDescent="0.25">
      <c r="A123" s="18">
        <v>61</v>
      </c>
      <c r="B123" s="18" t="s">
        <v>8</v>
      </c>
      <c r="C123" s="18" t="s">
        <v>20</v>
      </c>
      <c r="D123" s="141" t="str">
        <f ca="1">F46</f>
        <v>-</v>
      </c>
      <c r="E123" s="141"/>
      <c r="F123" s="146" t="str">
        <f t="shared" ca="1" si="21"/>
        <v>No correlation</v>
      </c>
      <c r="G123" s="146"/>
      <c r="H123" s="146"/>
      <c r="I123" s="146"/>
      <c r="J123" s="146"/>
      <c r="K123" s="146"/>
      <c r="L123" s="146"/>
      <c r="M123" s="146"/>
      <c r="N123" s="146"/>
      <c r="O123" s="146"/>
    </row>
    <row r="124" spans="1:15" s="21" customFormat="1" ht="50.1" customHeight="1" x14ac:dyDescent="0.25">
      <c r="A124" s="18">
        <v>62</v>
      </c>
      <c r="B124" s="18" t="s">
        <v>8</v>
      </c>
      <c r="C124" s="18" t="s">
        <v>21</v>
      </c>
      <c r="D124" s="141" t="str">
        <f ca="1">G46</f>
        <v>-</v>
      </c>
      <c r="E124" s="141"/>
      <c r="F124" s="146" t="str">
        <f t="shared" ca="1" si="21"/>
        <v>No correlation</v>
      </c>
      <c r="G124" s="146"/>
      <c r="H124" s="146"/>
      <c r="I124" s="146"/>
      <c r="J124" s="146"/>
      <c r="K124" s="146"/>
      <c r="L124" s="146"/>
      <c r="M124" s="146"/>
      <c r="N124" s="146"/>
      <c r="O124" s="146"/>
    </row>
    <row r="125" spans="1:15" s="21" customFormat="1" ht="50.1" customHeight="1" x14ac:dyDescent="0.25">
      <c r="A125" s="18">
        <v>63</v>
      </c>
      <c r="B125" s="18" t="s">
        <v>8</v>
      </c>
      <c r="C125" s="18" t="s">
        <v>22</v>
      </c>
      <c r="D125" s="141" t="str">
        <f ca="1">H46</f>
        <v>-</v>
      </c>
      <c r="E125" s="141"/>
      <c r="F125" s="146" t="str">
        <f t="shared" ca="1" si="21"/>
        <v>No correlation</v>
      </c>
      <c r="G125" s="146"/>
      <c r="H125" s="146"/>
      <c r="I125" s="146"/>
      <c r="J125" s="146"/>
      <c r="K125" s="146"/>
      <c r="L125" s="146"/>
      <c r="M125" s="146"/>
      <c r="N125" s="146"/>
      <c r="O125" s="146"/>
    </row>
    <row r="126" spans="1:15" s="21" customFormat="1" ht="50.1" customHeight="1" x14ac:dyDescent="0.25">
      <c r="A126" s="18">
        <v>64</v>
      </c>
      <c r="B126" s="18" t="s">
        <v>8</v>
      </c>
      <c r="C126" s="18" t="s">
        <v>23</v>
      </c>
      <c r="D126" s="141" t="str">
        <f ca="1">I46</f>
        <v>-</v>
      </c>
      <c r="E126" s="141"/>
      <c r="F126" s="146" t="str">
        <f t="shared" ca="1" si="21"/>
        <v>No correlation</v>
      </c>
      <c r="G126" s="146"/>
      <c r="H126" s="146"/>
      <c r="I126" s="146"/>
      <c r="J126" s="146"/>
      <c r="K126" s="146"/>
      <c r="L126" s="146"/>
      <c r="M126" s="146"/>
      <c r="N126" s="146"/>
      <c r="O126" s="146"/>
    </row>
    <row r="127" spans="1:15" s="21" customFormat="1" ht="50.1" customHeight="1" x14ac:dyDescent="0.25">
      <c r="A127" s="18">
        <v>65</v>
      </c>
      <c r="B127" s="18" t="s">
        <v>8</v>
      </c>
      <c r="C127" s="18" t="s">
        <v>24</v>
      </c>
      <c r="D127" s="141" t="str">
        <f ca="1">J46</f>
        <v>-</v>
      </c>
      <c r="E127" s="141"/>
      <c r="F127" s="146" t="str">
        <f t="shared" ca="1" si="21"/>
        <v>No correlation</v>
      </c>
      <c r="G127" s="146"/>
      <c r="H127" s="146"/>
      <c r="I127" s="146"/>
      <c r="J127" s="146"/>
      <c r="K127" s="146"/>
      <c r="L127" s="146"/>
      <c r="M127" s="146"/>
      <c r="N127" s="146"/>
      <c r="O127" s="146"/>
    </row>
    <row r="128" spans="1:15" s="21" customFormat="1" ht="50.1" customHeight="1" x14ac:dyDescent="0.25">
      <c r="A128" s="18">
        <v>66</v>
      </c>
      <c r="B128" s="18" t="s">
        <v>8</v>
      </c>
      <c r="C128" s="18" t="s">
        <v>25</v>
      </c>
      <c r="D128" s="141" t="str">
        <f ca="1">K46</f>
        <v>-</v>
      </c>
      <c r="E128" s="141"/>
      <c r="F128" s="146" t="str">
        <f t="shared" ref="F128:F132" ca="1" si="22">IF(D128="-","No correlation","")</f>
        <v>No correlation</v>
      </c>
      <c r="G128" s="146"/>
      <c r="H128" s="146"/>
      <c r="I128" s="146"/>
      <c r="J128" s="146"/>
      <c r="K128" s="146"/>
      <c r="L128" s="146"/>
      <c r="M128" s="146"/>
      <c r="N128" s="146"/>
      <c r="O128" s="146"/>
    </row>
    <row r="129" spans="1:15" s="21" customFormat="1" ht="50.1" customHeight="1" x14ac:dyDescent="0.25">
      <c r="A129" s="18">
        <v>67</v>
      </c>
      <c r="B129" s="18" t="s">
        <v>8</v>
      </c>
      <c r="C129" s="18" t="s">
        <v>26</v>
      </c>
      <c r="D129" s="141" t="str">
        <f ca="1">L46</f>
        <v>-</v>
      </c>
      <c r="E129" s="141"/>
      <c r="F129" s="146" t="str">
        <f t="shared" ca="1" si="22"/>
        <v>No correlation</v>
      </c>
      <c r="G129" s="146"/>
      <c r="H129" s="146"/>
      <c r="I129" s="146"/>
      <c r="J129" s="146"/>
      <c r="K129" s="146"/>
      <c r="L129" s="146"/>
      <c r="M129" s="146"/>
      <c r="N129" s="146"/>
      <c r="O129" s="146"/>
    </row>
    <row r="130" spans="1:15" s="21" customFormat="1" ht="57.75" customHeight="1" x14ac:dyDescent="0.25">
      <c r="A130" s="18">
        <v>68</v>
      </c>
      <c r="B130" s="18" t="s">
        <v>8</v>
      </c>
      <c r="C130" s="18" t="s">
        <v>27</v>
      </c>
      <c r="D130" s="141" t="str">
        <f ca="1">M46</f>
        <v>1</v>
      </c>
      <c r="E130" s="141"/>
      <c r="F130" s="146" t="s">
        <v>454</v>
      </c>
      <c r="G130" s="146"/>
      <c r="H130" s="146"/>
      <c r="I130" s="146"/>
      <c r="J130" s="146"/>
      <c r="K130" s="146"/>
      <c r="L130" s="146"/>
      <c r="M130" s="146"/>
      <c r="N130" s="146"/>
      <c r="O130" s="146"/>
    </row>
    <row r="131" spans="1:15" s="21" customFormat="1" ht="59.25" customHeight="1" x14ac:dyDescent="0.25">
      <c r="A131" s="18">
        <v>69</v>
      </c>
      <c r="B131" s="18" t="s">
        <v>8</v>
      </c>
      <c r="C131" s="18" t="s">
        <v>28</v>
      </c>
      <c r="D131" s="141" t="str">
        <f ca="1">N46</f>
        <v>1</v>
      </c>
      <c r="E131" s="141"/>
      <c r="F131" s="146" t="s">
        <v>455</v>
      </c>
      <c r="G131" s="146"/>
      <c r="H131" s="146"/>
      <c r="I131" s="146"/>
      <c r="J131" s="146"/>
      <c r="K131" s="146"/>
      <c r="L131" s="146"/>
      <c r="M131" s="146"/>
      <c r="N131" s="146"/>
      <c r="O131" s="146"/>
    </row>
    <row r="132" spans="1:15" s="21" customFormat="1" ht="50.1" customHeight="1" x14ac:dyDescent="0.25">
      <c r="A132" s="18">
        <v>70</v>
      </c>
      <c r="B132" s="18" t="s">
        <v>8</v>
      </c>
      <c r="C132" s="18" t="s">
        <v>29</v>
      </c>
      <c r="D132" s="141" t="str">
        <f ca="1">O46</f>
        <v>-</v>
      </c>
      <c r="E132" s="141"/>
      <c r="F132" s="146" t="str">
        <f t="shared" ca="1" si="22"/>
        <v>No correlation</v>
      </c>
      <c r="G132" s="146"/>
      <c r="H132" s="146"/>
      <c r="I132" s="146"/>
      <c r="J132" s="146"/>
      <c r="K132" s="146"/>
      <c r="L132" s="146"/>
      <c r="M132" s="146"/>
      <c r="N132" s="146"/>
      <c r="O132" s="146"/>
    </row>
  </sheetData>
  <sheetProtection sheet="1" formatRows="0"/>
  <protectedRanges>
    <protectedRange sqref="B3:O7 B13:O13 B16:O16 B19:O19 B22:O22 B25:O25 F63:O132" name="Range1"/>
  </protectedRanges>
  <mergeCells count="183">
    <mergeCell ref="D74:E74"/>
    <mergeCell ref="D102:E102"/>
    <mergeCell ref="D88:E88"/>
    <mergeCell ref="D116:E116"/>
    <mergeCell ref="D130:E130"/>
    <mergeCell ref="F74:O74"/>
    <mergeCell ref="F88:O88"/>
    <mergeCell ref="F102:O102"/>
    <mergeCell ref="F116:O116"/>
    <mergeCell ref="F130:O130"/>
    <mergeCell ref="D119:E119"/>
    <mergeCell ref="F119:O119"/>
    <mergeCell ref="D120:E120"/>
    <mergeCell ref="F120:O120"/>
    <mergeCell ref="D121:E121"/>
    <mergeCell ref="F121:O121"/>
    <mergeCell ref="D117:E117"/>
    <mergeCell ref="F117:O117"/>
    <mergeCell ref="D118:E118"/>
    <mergeCell ref="F118:O118"/>
    <mergeCell ref="D113:E113"/>
    <mergeCell ref="F113:O113"/>
    <mergeCell ref="D114:E114"/>
    <mergeCell ref="F114:O114"/>
    <mergeCell ref="A10:A12"/>
    <mergeCell ref="B10:O10"/>
    <mergeCell ref="B11:L11"/>
    <mergeCell ref="N11:O11"/>
    <mergeCell ref="D131:E131"/>
    <mergeCell ref="F131:O131"/>
    <mergeCell ref="D132:E132"/>
    <mergeCell ref="F132:O132"/>
    <mergeCell ref="D128:E128"/>
    <mergeCell ref="F128:O128"/>
    <mergeCell ref="D129:E129"/>
    <mergeCell ref="F129:O129"/>
    <mergeCell ref="D125:E125"/>
    <mergeCell ref="F125:O125"/>
    <mergeCell ref="D126:E126"/>
    <mergeCell ref="F126:O126"/>
    <mergeCell ref="D127:E127"/>
    <mergeCell ref="F127:O127"/>
    <mergeCell ref="D122:E122"/>
    <mergeCell ref="F122:O122"/>
    <mergeCell ref="D123:E123"/>
    <mergeCell ref="F123:O123"/>
    <mergeCell ref="D124:E124"/>
    <mergeCell ref="F124:O124"/>
    <mergeCell ref="D115:E115"/>
    <mergeCell ref="F115:O115"/>
    <mergeCell ref="D110:E110"/>
    <mergeCell ref="F110:O110"/>
    <mergeCell ref="D111:E111"/>
    <mergeCell ref="F111:O111"/>
    <mergeCell ref="D112:E112"/>
    <mergeCell ref="F112:O112"/>
    <mergeCell ref="D107:E107"/>
    <mergeCell ref="F107:O107"/>
    <mergeCell ref="D108:E108"/>
    <mergeCell ref="F108:O108"/>
    <mergeCell ref="D109:E109"/>
    <mergeCell ref="F109:O109"/>
    <mergeCell ref="D104:E104"/>
    <mergeCell ref="F104:O104"/>
    <mergeCell ref="D105:E105"/>
    <mergeCell ref="F105:O105"/>
    <mergeCell ref="D106:E106"/>
    <mergeCell ref="F106:O106"/>
    <mergeCell ref="D101:E101"/>
    <mergeCell ref="F101:O101"/>
    <mergeCell ref="D103:E103"/>
    <mergeCell ref="F103:O103"/>
    <mergeCell ref="D98:E98"/>
    <mergeCell ref="F98:O98"/>
    <mergeCell ref="D99:E99"/>
    <mergeCell ref="F99:O99"/>
    <mergeCell ref="D100:E100"/>
    <mergeCell ref="F100:O100"/>
    <mergeCell ref="D95:E95"/>
    <mergeCell ref="F95:O95"/>
    <mergeCell ref="D96:E96"/>
    <mergeCell ref="F96:O96"/>
    <mergeCell ref="D97:E97"/>
    <mergeCell ref="F97:O97"/>
    <mergeCell ref="D92:E92"/>
    <mergeCell ref="F92:O92"/>
    <mergeCell ref="D93:E93"/>
    <mergeCell ref="F93:O93"/>
    <mergeCell ref="D94:E94"/>
    <mergeCell ref="F94:O94"/>
    <mergeCell ref="D89:E89"/>
    <mergeCell ref="F89:O89"/>
    <mergeCell ref="D90:E90"/>
    <mergeCell ref="F90:O90"/>
    <mergeCell ref="D91:E91"/>
    <mergeCell ref="F91:O91"/>
    <mergeCell ref="D86:E86"/>
    <mergeCell ref="F86:O86"/>
    <mergeCell ref="D87:E87"/>
    <mergeCell ref="F87:O87"/>
    <mergeCell ref="D83:E83"/>
    <mergeCell ref="F83:O83"/>
    <mergeCell ref="D84:E84"/>
    <mergeCell ref="F84:O84"/>
    <mergeCell ref="D85:E85"/>
    <mergeCell ref="F85:O85"/>
    <mergeCell ref="D80:E80"/>
    <mergeCell ref="F80:O80"/>
    <mergeCell ref="D81:E81"/>
    <mergeCell ref="F81:O81"/>
    <mergeCell ref="D82:E82"/>
    <mergeCell ref="F82:O82"/>
    <mergeCell ref="D77:E77"/>
    <mergeCell ref="F77:O77"/>
    <mergeCell ref="D78:E78"/>
    <mergeCell ref="F78:O78"/>
    <mergeCell ref="D79:E79"/>
    <mergeCell ref="F79:O79"/>
    <mergeCell ref="D75:E75"/>
    <mergeCell ref="F75:O75"/>
    <mergeCell ref="D76:E76"/>
    <mergeCell ref="F76:O76"/>
    <mergeCell ref="A57:O57"/>
    <mergeCell ref="D71:E71"/>
    <mergeCell ref="F71:O71"/>
    <mergeCell ref="D72:E72"/>
    <mergeCell ref="F72:O72"/>
    <mergeCell ref="D73:E73"/>
    <mergeCell ref="F73:O73"/>
    <mergeCell ref="D68:E68"/>
    <mergeCell ref="F68:O68"/>
    <mergeCell ref="D69:E69"/>
    <mergeCell ref="F69:O69"/>
    <mergeCell ref="D70:E70"/>
    <mergeCell ref="F70:O70"/>
    <mergeCell ref="D65:E65"/>
    <mergeCell ref="F65:O65"/>
    <mergeCell ref="D66:E66"/>
    <mergeCell ref="F66:O66"/>
    <mergeCell ref="D67:E67"/>
    <mergeCell ref="F67:O67"/>
    <mergeCell ref="A61:O61"/>
    <mergeCell ref="D62:E62"/>
    <mergeCell ref="F62:O62"/>
    <mergeCell ref="D63:E63"/>
    <mergeCell ref="F63:O63"/>
    <mergeCell ref="D64:E64"/>
    <mergeCell ref="F64:O64"/>
    <mergeCell ref="A1:O1"/>
    <mergeCell ref="A2:O2"/>
    <mergeCell ref="B3:O3"/>
    <mergeCell ref="B4:O4"/>
    <mergeCell ref="B5:O5"/>
    <mergeCell ref="B6:O6"/>
    <mergeCell ref="A32:C32"/>
    <mergeCell ref="D32:F32"/>
    <mergeCell ref="G32:J32"/>
    <mergeCell ref="K32:O32"/>
    <mergeCell ref="A30:C31"/>
    <mergeCell ref="D30:F31"/>
    <mergeCell ref="G30:O30"/>
    <mergeCell ref="G31:J31"/>
    <mergeCell ref="K31:O31"/>
    <mergeCell ref="A29:O29"/>
    <mergeCell ref="B7:O7"/>
    <mergeCell ref="A33:C33"/>
    <mergeCell ref="D33:F33"/>
    <mergeCell ref="G33:J33"/>
    <mergeCell ref="K33:O33"/>
    <mergeCell ref="A38:O38"/>
    <mergeCell ref="A39:O39"/>
    <mergeCell ref="A40:A41"/>
    <mergeCell ref="B40:L40"/>
    <mergeCell ref="N40:O40"/>
    <mergeCell ref="A34:C34"/>
    <mergeCell ref="D34:F34"/>
    <mergeCell ref="G34:J34"/>
    <mergeCell ref="K34:O34"/>
    <mergeCell ref="A35:C35"/>
    <mergeCell ref="D35:F35"/>
    <mergeCell ref="G35:J35"/>
    <mergeCell ref="K35:O35"/>
    <mergeCell ref="A37:O37"/>
  </mergeCells>
  <pageMargins left="0.5" right="0.31" top="0.49" bottom="0.41" header="0.31496062992125984" footer="0.31496062992125984"/>
  <pageSetup paperSize="9" scale="48" fitToHeight="0" orientation="portrait" r:id="rId1"/>
  <rowBreaks count="1" manualBreakCount="1">
    <brk id="3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pageSetUpPr fitToPage="1"/>
  </sheetPr>
  <dimension ref="A1:AJ327"/>
  <sheetViews>
    <sheetView tabSelected="1" view="pageBreakPreview" topLeftCell="C13" zoomScale="55" zoomScaleSheetLayoutView="55" workbookViewId="0">
      <selection activeCell="P16" sqref="P16:P17"/>
    </sheetView>
  </sheetViews>
  <sheetFormatPr defaultRowHeight="14.25" x14ac:dyDescent="0.25"/>
  <cols>
    <col min="1" max="1" width="14" style="33" customWidth="1"/>
    <col min="2" max="2" width="21" style="33" customWidth="1"/>
    <col min="3" max="3" width="29.28515625" style="73" customWidth="1"/>
    <col min="4" max="4" width="100" style="49" customWidth="1"/>
    <col min="5" max="36" width="14" style="33" customWidth="1"/>
    <col min="37" max="16384" width="9.140625" style="33"/>
  </cols>
  <sheetData>
    <row r="1" spans="1:36" ht="37.5" customHeight="1" x14ac:dyDescent="0.25">
      <c r="A1" s="178" t="s">
        <v>0</v>
      </c>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row>
    <row r="2" spans="1:36" ht="37.5" customHeight="1" x14ac:dyDescent="0.25">
      <c r="A2" s="178" t="s">
        <v>47</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row>
    <row r="3" spans="1:36" ht="37.5" customHeight="1" x14ac:dyDescent="0.25">
      <c r="A3" s="178" t="str">
        <f>PO_AND_PSO!A2</f>
        <v>Department of Computer and Communication Engineering</v>
      </c>
      <c r="B3" s="178"/>
      <c r="C3" s="178"/>
      <c r="D3" s="178"/>
      <c r="E3" s="178"/>
      <c r="F3" s="178"/>
      <c r="G3" s="178"/>
      <c r="H3" s="178"/>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row>
    <row r="4" spans="1:36" ht="10.5" customHeight="1" x14ac:dyDescent="0.25">
      <c r="A4" s="15"/>
      <c r="B4" s="15"/>
      <c r="C4" s="71"/>
      <c r="D4" s="58"/>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36" s="61" customFormat="1" ht="41.25" customHeight="1" x14ac:dyDescent="0.25">
      <c r="A5" s="153" t="str">
        <f>[2]PO_AND_PSO!A3</f>
        <v>Regulation</v>
      </c>
      <c r="B5" s="154"/>
      <c r="C5" s="155"/>
      <c r="D5" s="156" t="str">
        <f>PO_AND_PSO!B3</f>
        <v>R2019</v>
      </c>
      <c r="E5" s="157"/>
      <c r="F5" s="157"/>
      <c r="G5" s="157"/>
      <c r="H5" s="157"/>
      <c r="I5" s="157"/>
      <c r="J5" s="157"/>
      <c r="K5" s="158"/>
      <c r="L5" s="21"/>
      <c r="M5" s="177"/>
      <c r="N5" s="177"/>
      <c r="O5" s="177"/>
      <c r="P5" s="177"/>
      <c r="Q5" s="177"/>
      <c r="R5" s="177"/>
      <c r="S5" s="177"/>
      <c r="T5" s="177"/>
      <c r="U5" s="177"/>
      <c r="V5" s="113"/>
      <c r="W5" s="21"/>
      <c r="X5" s="21"/>
      <c r="Y5" s="21"/>
      <c r="Z5" s="21"/>
      <c r="AA5" s="21"/>
      <c r="AB5" s="21"/>
      <c r="AC5" s="21"/>
      <c r="AD5" s="21"/>
      <c r="AE5" s="21"/>
    </row>
    <row r="6" spans="1:36" s="61" customFormat="1" ht="41.25" customHeight="1" x14ac:dyDescent="0.25">
      <c r="A6" s="153" t="str">
        <f>[2]PO_AND_PSO!A4</f>
        <v>Program</v>
      </c>
      <c r="B6" s="154"/>
      <c r="C6" s="155"/>
      <c r="D6" s="156" t="str">
        <f>PO_AND_PSO!B4</f>
        <v>BE-CCE</v>
      </c>
      <c r="E6" s="157"/>
      <c r="F6" s="157"/>
      <c r="G6" s="157"/>
      <c r="H6" s="157"/>
      <c r="I6" s="157"/>
      <c r="J6" s="157"/>
      <c r="K6" s="158"/>
      <c r="L6" s="21"/>
      <c r="M6" s="85"/>
      <c r="N6" s="85"/>
      <c r="O6" s="85"/>
      <c r="P6" s="85"/>
      <c r="Q6" s="85"/>
      <c r="R6" s="85"/>
      <c r="S6" s="85"/>
      <c r="T6" s="85"/>
      <c r="U6" s="85"/>
      <c r="V6" s="85"/>
      <c r="W6" s="21"/>
      <c r="X6" s="21"/>
      <c r="Y6" s="21"/>
      <c r="Z6" s="21"/>
      <c r="AA6" s="21"/>
      <c r="AB6" s="21"/>
      <c r="AC6" s="21"/>
      <c r="AD6" s="21"/>
      <c r="AE6" s="21"/>
    </row>
    <row r="7" spans="1:36" s="61" customFormat="1" ht="41.25" customHeight="1" x14ac:dyDescent="0.25">
      <c r="A7" s="153" t="str">
        <f>[2]PO_AND_PSO!A5</f>
        <v>Year/Semester</v>
      </c>
      <c r="B7" s="154"/>
      <c r="C7" s="155"/>
      <c r="D7" s="156" t="str">
        <f>PO_AND_PSO!B5</f>
        <v>III/VI</v>
      </c>
      <c r="E7" s="157"/>
      <c r="F7" s="157"/>
      <c r="G7" s="157"/>
      <c r="H7" s="157"/>
      <c r="I7" s="157"/>
      <c r="J7" s="157"/>
      <c r="K7" s="158"/>
      <c r="L7" s="21"/>
      <c r="M7" s="113"/>
      <c r="N7" s="152"/>
      <c r="O7" s="152"/>
      <c r="P7" s="152"/>
      <c r="Q7" s="152"/>
      <c r="R7" s="152"/>
      <c r="S7" s="152"/>
      <c r="T7" s="152"/>
      <c r="U7" s="152"/>
      <c r="V7" s="113"/>
      <c r="W7" s="21"/>
      <c r="X7" s="21"/>
      <c r="Y7" s="21"/>
      <c r="Z7" s="21"/>
      <c r="AA7" s="21"/>
      <c r="AB7" s="21"/>
      <c r="AC7" s="21"/>
      <c r="AD7" s="21"/>
      <c r="AE7" s="21"/>
    </row>
    <row r="8" spans="1:36" s="61" customFormat="1" ht="41.25" customHeight="1" x14ac:dyDescent="0.25">
      <c r="A8" s="153" t="str">
        <f>[2]PO_AND_PSO!A6</f>
        <v>Course Code</v>
      </c>
      <c r="B8" s="154"/>
      <c r="C8" s="155"/>
      <c r="D8" s="156" t="str">
        <f>PO_AND_PSO!B6</f>
        <v>R19IT303</v>
      </c>
      <c r="E8" s="157"/>
      <c r="F8" s="157"/>
      <c r="G8" s="157"/>
      <c r="H8" s="157"/>
      <c r="I8" s="157"/>
      <c r="J8" s="157"/>
      <c r="K8" s="158"/>
      <c r="L8" s="21"/>
      <c r="M8" s="113"/>
      <c r="N8" s="152"/>
      <c r="O8" s="152"/>
      <c r="P8" s="152"/>
      <c r="Q8" s="152"/>
      <c r="R8" s="152"/>
      <c r="S8" s="152"/>
      <c r="T8" s="152"/>
      <c r="U8" s="152"/>
      <c r="V8" s="114"/>
      <c r="W8" s="21"/>
      <c r="X8" s="21"/>
      <c r="Y8" s="21"/>
      <c r="Z8" s="21"/>
      <c r="AA8" s="21"/>
      <c r="AB8" s="21"/>
      <c r="AC8" s="21"/>
      <c r="AD8" s="21"/>
      <c r="AE8" s="21"/>
    </row>
    <row r="9" spans="1:36" s="61" customFormat="1" ht="41.25" customHeight="1" x14ac:dyDescent="0.25">
      <c r="A9" s="153" t="str">
        <f>[2]PO_AND_PSO!A7</f>
        <v>Course Name</v>
      </c>
      <c r="B9" s="154"/>
      <c r="C9" s="155"/>
      <c r="D9" s="156" t="str">
        <f>PO_AND_PSO!B7</f>
        <v>CRYPTOGRAPHY AND CYBERSECURITY</v>
      </c>
      <c r="E9" s="157"/>
      <c r="F9" s="157"/>
      <c r="G9" s="157"/>
      <c r="H9" s="157"/>
      <c r="I9" s="157"/>
      <c r="J9" s="157"/>
      <c r="K9" s="158"/>
      <c r="L9" s="21"/>
      <c r="M9" s="113"/>
      <c r="N9" s="152"/>
      <c r="O9" s="152"/>
      <c r="P9" s="152"/>
      <c r="Q9" s="152"/>
      <c r="R9" s="152"/>
      <c r="S9" s="152"/>
      <c r="T9" s="152"/>
      <c r="U9" s="152"/>
      <c r="V9" s="114"/>
      <c r="W9" s="21"/>
      <c r="X9" s="21"/>
      <c r="Y9" s="21"/>
      <c r="Z9" s="21"/>
      <c r="AA9" s="21"/>
      <c r="AB9" s="21"/>
      <c r="AC9" s="21"/>
      <c r="AD9" s="21"/>
      <c r="AE9" s="21"/>
    </row>
    <row r="10" spans="1:36" s="61" customFormat="1" ht="41.25" customHeight="1" x14ac:dyDescent="0.25">
      <c r="A10" s="153" t="str">
        <f>[2]PO_AND_PSO!D3</f>
        <v>Course handling Faculty</v>
      </c>
      <c r="B10" s="154"/>
      <c r="C10" s="155"/>
      <c r="D10" s="156" t="str">
        <f>PO_AND_PSO!G3</f>
        <v>R.PREETHI</v>
      </c>
      <c r="E10" s="157"/>
      <c r="F10" s="157"/>
      <c r="G10" s="157"/>
      <c r="H10" s="157"/>
      <c r="I10" s="157"/>
      <c r="J10" s="157"/>
      <c r="K10" s="158"/>
      <c r="L10" s="21"/>
      <c r="M10" s="113"/>
      <c r="N10" s="152"/>
      <c r="O10" s="152"/>
      <c r="P10" s="152"/>
      <c r="Q10" s="152"/>
      <c r="R10" s="152"/>
      <c r="S10" s="152"/>
      <c r="T10" s="152"/>
      <c r="U10" s="152"/>
      <c r="V10" s="114"/>
      <c r="W10" s="21"/>
      <c r="X10" s="21"/>
      <c r="Y10" s="21"/>
      <c r="Z10" s="21"/>
      <c r="AA10" s="21"/>
      <c r="AB10" s="21"/>
      <c r="AC10" s="21"/>
      <c r="AD10" s="21"/>
      <c r="AE10" s="21"/>
    </row>
    <row r="11" spans="1:36" s="61" customFormat="1" ht="41.25" customHeight="1" x14ac:dyDescent="0.25">
      <c r="A11" s="153" t="str">
        <f>[2]PO_AND_PSO!D4</f>
        <v>Course Coordinator</v>
      </c>
      <c r="B11" s="154"/>
      <c r="C11" s="155"/>
      <c r="D11" s="156" t="str">
        <f>PO_AND_PSO!G4</f>
        <v>Dr K.Sivakumar</v>
      </c>
      <c r="E11" s="157"/>
      <c r="F11" s="157"/>
      <c r="G11" s="157"/>
      <c r="H11" s="157"/>
      <c r="I11" s="157"/>
      <c r="J11" s="157"/>
      <c r="K11" s="158"/>
      <c r="L11" s="21"/>
      <c r="M11" s="113"/>
      <c r="N11" s="152"/>
      <c r="O11" s="152"/>
      <c r="P11" s="152"/>
      <c r="Q11" s="152"/>
      <c r="R11" s="152"/>
      <c r="S11" s="152"/>
      <c r="T11" s="152"/>
      <c r="U11" s="152"/>
      <c r="V11" s="114"/>
      <c r="W11" s="21"/>
      <c r="X11" s="21"/>
      <c r="Y11" s="21"/>
      <c r="Z11" s="21"/>
      <c r="AA11" s="21"/>
      <c r="AB11" s="21"/>
      <c r="AC11" s="21"/>
      <c r="AD11" s="21"/>
      <c r="AE11" s="21"/>
    </row>
    <row r="12" spans="1:36" s="61" customFormat="1" ht="41.25" customHeight="1" x14ac:dyDescent="0.25">
      <c r="A12" s="153" t="str">
        <f>[2]PO_AND_PSO!D5</f>
        <v>Academic Year</v>
      </c>
      <c r="B12" s="154"/>
      <c r="C12" s="155"/>
      <c r="D12" s="156" t="str">
        <f>PO_AND_PSO!G5</f>
        <v>2024-25</v>
      </c>
      <c r="E12" s="157"/>
      <c r="F12" s="157"/>
      <c r="G12" s="157"/>
      <c r="H12" s="157"/>
      <c r="I12" s="157"/>
      <c r="J12" s="157"/>
      <c r="K12" s="158"/>
      <c r="L12" s="21"/>
      <c r="M12" s="113"/>
      <c r="N12" s="152"/>
      <c r="O12" s="152"/>
      <c r="P12" s="152"/>
      <c r="Q12" s="152"/>
      <c r="R12" s="152"/>
      <c r="S12" s="152"/>
      <c r="T12" s="152"/>
      <c r="U12" s="152"/>
      <c r="V12" s="114"/>
      <c r="W12" s="21"/>
      <c r="X12" s="21"/>
      <c r="Y12" s="21"/>
      <c r="Z12" s="21"/>
      <c r="AA12" s="21"/>
      <c r="AB12" s="21"/>
      <c r="AC12" s="21"/>
      <c r="AD12" s="21"/>
      <c r="AE12" s="21"/>
    </row>
    <row r="13" spans="1:36" s="61" customFormat="1" ht="41.25" customHeight="1" x14ac:dyDescent="0.25">
      <c r="A13" s="153" t="str">
        <f>[2]PO_AND_PSO!D6</f>
        <v>Batch</v>
      </c>
      <c r="B13" s="154"/>
      <c r="C13" s="155"/>
      <c r="D13" s="156" t="str">
        <f>PO_AND_PSO!G6</f>
        <v>2022-26</v>
      </c>
      <c r="E13" s="157"/>
      <c r="F13" s="157"/>
      <c r="G13" s="157"/>
      <c r="H13" s="157"/>
      <c r="I13" s="157"/>
      <c r="J13" s="157"/>
      <c r="K13" s="158"/>
      <c r="L13" s="21"/>
      <c r="M13" s="113"/>
      <c r="N13" s="152"/>
      <c r="O13" s="152"/>
      <c r="P13" s="152"/>
      <c r="Q13" s="152"/>
      <c r="R13" s="152"/>
      <c r="S13" s="152"/>
      <c r="T13" s="152"/>
      <c r="U13" s="152"/>
      <c r="V13" s="114"/>
      <c r="W13" s="21"/>
      <c r="X13" s="21"/>
      <c r="Y13" s="21"/>
      <c r="Z13" s="21"/>
      <c r="AA13" s="21"/>
      <c r="AB13" s="21"/>
      <c r="AC13" s="21"/>
      <c r="AD13" s="21"/>
      <c r="AE13" s="21"/>
    </row>
    <row r="14" spans="1:36" s="61" customFormat="1" ht="41.25" customHeight="1" x14ac:dyDescent="0.25">
      <c r="A14" s="153" t="str">
        <f>[2]PO_AND_PSO!D7</f>
        <v>Total Number of Students</v>
      </c>
      <c r="B14" s="154"/>
      <c r="C14" s="155"/>
      <c r="D14" s="156">
        <f>PO_AND_PSO!G7</f>
        <v>65</v>
      </c>
      <c r="E14" s="157"/>
      <c r="F14" s="157"/>
      <c r="G14" s="157"/>
      <c r="H14" s="157"/>
      <c r="I14" s="157"/>
      <c r="J14" s="157"/>
      <c r="K14" s="158"/>
      <c r="L14" s="72"/>
      <c r="M14" s="114"/>
      <c r="N14" s="164"/>
      <c r="O14" s="164"/>
      <c r="P14" s="164"/>
      <c r="Q14" s="164"/>
      <c r="R14" s="164"/>
      <c r="S14" s="164"/>
      <c r="T14" s="164"/>
      <c r="U14" s="164"/>
      <c r="V14" s="114"/>
      <c r="W14" s="72"/>
      <c r="X14" s="72"/>
      <c r="Y14" s="72"/>
      <c r="Z14" s="72"/>
      <c r="AA14" s="72"/>
      <c r="AB14" s="72"/>
      <c r="AC14" s="72"/>
      <c r="AD14" s="72"/>
      <c r="AE14" s="72"/>
    </row>
    <row r="15" spans="1:36" x14ac:dyDescent="0.25">
      <c r="A15" s="180"/>
      <c r="B15" s="180"/>
      <c r="C15" s="180"/>
      <c r="D15" s="180"/>
      <c r="E15" s="180"/>
      <c r="F15" s="180"/>
      <c r="G15" s="180"/>
      <c r="H15" s="180"/>
      <c r="I15" s="180"/>
      <c r="J15" s="180"/>
      <c r="K15" s="180"/>
      <c r="L15" s="180"/>
      <c r="M15" s="180"/>
      <c r="N15" s="180"/>
      <c r="O15" s="180"/>
      <c r="P15" s="180"/>
      <c r="Q15" s="180"/>
      <c r="R15" s="180"/>
      <c r="S15" s="180"/>
      <c r="T15" s="180"/>
      <c r="U15" s="180"/>
      <c r="V15" s="180"/>
      <c r="W15" s="180"/>
      <c r="X15" s="180"/>
      <c r="Y15" s="180"/>
      <c r="Z15" s="180"/>
      <c r="AA15" s="111"/>
      <c r="AB15" s="111"/>
      <c r="AC15" s="111"/>
      <c r="AD15" s="111"/>
      <c r="AE15" s="111"/>
    </row>
    <row r="16" spans="1:36" s="85" customFormat="1" ht="35.25" customHeight="1" x14ac:dyDescent="0.25">
      <c r="A16" s="181" t="s">
        <v>3</v>
      </c>
      <c r="B16" s="181" t="s">
        <v>152</v>
      </c>
      <c r="C16" s="163" t="s">
        <v>153</v>
      </c>
      <c r="D16" s="182" t="s">
        <v>154</v>
      </c>
      <c r="E16" s="160" t="s">
        <v>9</v>
      </c>
      <c r="F16" s="160"/>
      <c r="G16" s="160"/>
      <c r="H16" s="160"/>
      <c r="I16" s="160"/>
      <c r="J16" s="160" t="s">
        <v>176</v>
      </c>
      <c r="K16" s="160"/>
      <c r="L16" s="160"/>
      <c r="M16" s="160"/>
      <c r="N16" s="160"/>
      <c r="O16" s="162" t="s">
        <v>177</v>
      </c>
      <c r="P16" s="162" t="s">
        <v>10</v>
      </c>
      <c r="Q16" s="160" t="s">
        <v>223</v>
      </c>
      <c r="R16" s="160"/>
      <c r="S16" s="160"/>
      <c r="T16" s="160"/>
      <c r="U16" s="160"/>
      <c r="V16" s="179" t="s">
        <v>161</v>
      </c>
      <c r="W16" s="179"/>
      <c r="X16" s="179"/>
      <c r="Y16" s="179"/>
      <c r="Z16" s="179"/>
      <c r="AA16" s="185" t="s">
        <v>224</v>
      </c>
      <c r="AB16" s="186"/>
      <c r="AC16" s="186"/>
      <c r="AD16" s="186"/>
      <c r="AE16" s="187"/>
      <c r="AF16" s="179" t="s">
        <v>164</v>
      </c>
      <c r="AG16" s="179"/>
      <c r="AH16" s="179"/>
      <c r="AI16" s="179"/>
      <c r="AJ16" s="179"/>
    </row>
    <row r="17" spans="1:36" s="85" customFormat="1" ht="138.75" customHeight="1" x14ac:dyDescent="0.25">
      <c r="A17" s="181"/>
      <c r="B17" s="181"/>
      <c r="C17" s="163"/>
      <c r="D17" s="183"/>
      <c r="E17" s="86" t="s">
        <v>4</v>
      </c>
      <c r="F17" s="86" t="s">
        <v>5</v>
      </c>
      <c r="G17" s="86" t="s">
        <v>6</v>
      </c>
      <c r="H17" s="86" t="s">
        <v>7</v>
      </c>
      <c r="I17" s="86" t="s">
        <v>8</v>
      </c>
      <c r="J17" s="86" t="s">
        <v>4</v>
      </c>
      <c r="K17" s="86" t="s">
        <v>5</v>
      </c>
      <c r="L17" s="86" t="s">
        <v>6</v>
      </c>
      <c r="M17" s="86" t="s">
        <v>7</v>
      </c>
      <c r="N17" s="86" t="s">
        <v>8</v>
      </c>
      <c r="O17" s="162"/>
      <c r="P17" s="162"/>
      <c r="Q17" s="109" t="s">
        <v>4</v>
      </c>
      <c r="R17" s="109" t="s">
        <v>5</v>
      </c>
      <c r="S17" s="109" t="s">
        <v>6</v>
      </c>
      <c r="T17" s="109" t="s">
        <v>7</v>
      </c>
      <c r="U17" s="109" t="s">
        <v>8</v>
      </c>
      <c r="V17" s="179"/>
      <c r="W17" s="179"/>
      <c r="X17" s="179"/>
      <c r="Y17" s="179"/>
      <c r="Z17" s="179"/>
      <c r="AA17" s="188"/>
      <c r="AB17" s="189"/>
      <c r="AC17" s="189"/>
      <c r="AD17" s="189"/>
      <c r="AE17" s="190"/>
      <c r="AF17" s="179"/>
      <c r="AG17" s="179"/>
      <c r="AH17" s="179"/>
      <c r="AI17" s="179"/>
      <c r="AJ17" s="179"/>
    </row>
    <row r="18" spans="1:36" s="85" customFormat="1" ht="35.25" customHeight="1" x14ac:dyDescent="0.25">
      <c r="A18" s="181"/>
      <c r="B18" s="181"/>
      <c r="C18" s="163"/>
      <c r="D18" s="184"/>
      <c r="E18" s="87">
        <v>40</v>
      </c>
      <c r="F18" s="87">
        <v>40</v>
      </c>
      <c r="G18" s="87">
        <v>40</v>
      </c>
      <c r="H18" s="87">
        <v>40</v>
      </c>
      <c r="I18" s="87">
        <v>40</v>
      </c>
      <c r="J18" s="87">
        <v>10</v>
      </c>
      <c r="K18" s="87">
        <v>10</v>
      </c>
      <c r="L18" s="87">
        <v>10</v>
      </c>
      <c r="M18" s="87">
        <v>10</v>
      </c>
      <c r="N18" s="87">
        <v>10</v>
      </c>
      <c r="O18" s="87">
        <v>100</v>
      </c>
      <c r="P18" s="87">
        <v>100</v>
      </c>
      <c r="Q18" s="87">
        <v>20</v>
      </c>
      <c r="R18" s="87">
        <v>20</v>
      </c>
      <c r="S18" s="87">
        <v>20</v>
      </c>
      <c r="T18" s="87">
        <v>20</v>
      </c>
      <c r="U18" s="87">
        <v>20</v>
      </c>
      <c r="V18" s="88" t="s">
        <v>4</v>
      </c>
      <c r="W18" s="88" t="s">
        <v>5</v>
      </c>
      <c r="X18" s="88" t="s">
        <v>6</v>
      </c>
      <c r="Y18" s="88" t="s">
        <v>7</v>
      </c>
      <c r="Z18" s="88" t="s">
        <v>8</v>
      </c>
      <c r="AA18" s="88" t="s">
        <v>4</v>
      </c>
      <c r="AB18" s="88" t="s">
        <v>5</v>
      </c>
      <c r="AC18" s="88" t="s">
        <v>6</v>
      </c>
      <c r="AD18" s="88" t="s">
        <v>7</v>
      </c>
      <c r="AE18" s="88" t="s">
        <v>8</v>
      </c>
      <c r="AF18" s="88" t="s">
        <v>4</v>
      </c>
      <c r="AG18" s="88" t="s">
        <v>5</v>
      </c>
      <c r="AH18" s="88" t="s">
        <v>6</v>
      </c>
      <c r="AI18" s="88" t="s">
        <v>7</v>
      </c>
      <c r="AJ18" s="89" t="s">
        <v>8</v>
      </c>
    </row>
    <row r="19" spans="1:36" s="85" customFormat="1" ht="52.5" customHeight="1" x14ac:dyDescent="0.25">
      <c r="A19" s="83">
        <v>1</v>
      </c>
      <c r="B19" s="83" t="s">
        <v>241</v>
      </c>
      <c r="C19" s="84" t="s">
        <v>242</v>
      </c>
      <c r="D19" s="93" t="s">
        <v>243</v>
      </c>
      <c r="E19" s="83">
        <v>26</v>
      </c>
      <c r="F19" s="83">
        <v>26</v>
      </c>
      <c r="G19" s="83">
        <v>23</v>
      </c>
      <c r="H19" s="83">
        <v>32</v>
      </c>
      <c r="I19" s="83">
        <v>31</v>
      </c>
      <c r="J19" s="83">
        <v>9</v>
      </c>
      <c r="K19" s="83">
        <v>9</v>
      </c>
      <c r="L19" s="83">
        <v>9</v>
      </c>
      <c r="M19" s="83">
        <v>9</v>
      </c>
      <c r="N19" s="83">
        <v>9</v>
      </c>
      <c r="O19" s="83">
        <v>90</v>
      </c>
      <c r="P19" s="83">
        <v>100</v>
      </c>
      <c r="Q19" s="122">
        <v>17</v>
      </c>
      <c r="R19" s="122">
        <v>14</v>
      </c>
      <c r="S19" s="122">
        <v>20</v>
      </c>
      <c r="T19" s="122">
        <v>14</v>
      </c>
      <c r="U19" s="122">
        <v>12</v>
      </c>
      <c r="V19" s="110">
        <f t="shared" ref="V19:V82" si="0">((((E19*2.5)+(J19*10)+O19+P19)/(400))*100)</f>
        <v>86.25</v>
      </c>
      <c r="W19" s="110">
        <f t="shared" ref="W19:W82" si="1">((((F19*2.5)+(K19*10)+O19+P19)/(400))*100)</f>
        <v>86.25</v>
      </c>
      <c r="X19" s="110">
        <f t="shared" ref="X19:X82" si="2">((((G19*2.5)+(L19*10)+O19+P19)/(400))*100)</f>
        <v>84.375</v>
      </c>
      <c r="Y19" s="110">
        <f t="shared" ref="Y19:Y82" si="3">((((H19*2.5)+(M19*10)+O19+P19)/(400))*100)</f>
        <v>90</v>
      </c>
      <c r="Z19" s="110">
        <f t="shared" ref="Z19:Z82" si="4">((((I19*2.5)+(N19*10)+O19+P19)/(400))*100)</f>
        <v>89.375</v>
      </c>
      <c r="AA19" s="110">
        <f>(Q19/20)*100</f>
        <v>85</v>
      </c>
      <c r="AB19" s="110">
        <f t="shared" ref="AB19:AE19" si="5">(R19/20)*100</f>
        <v>70</v>
      </c>
      <c r="AC19" s="110">
        <f t="shared" si="5"/>
        <v>100</v>
      </c>
      <c r="AD19" s="110">
        <f t="shared" si="5"/>
        <v>70</v>
      </c>
      <c r="AE19" s="110">
        <f t="shared" si="5"/>
        <v>60</v>
      </c>
      <c r="AF19" s="110">
        <f>(V19*0.4+AA19*0.6)</f>
        <v>85.5</v>
      </c>
      <c r="AG19" s="110">
        <f t="shared" ref="AG19:AJ19" si="6">(W19*0.4+AB19*0.6)</f>
        <v>76.5</v>
      </c>
      <c r="AH19" s="110">
        <f t="shared" si="6"/>
        <v>93.75</v>
      </c>
      <c r="AI19" s="110">
        <f t="shared" si="6"/>
        <v>78</v>
      </c>
      <c r="AJ19" s="110">
        <f t="shared" si="6"/>
        <v>71.75</v>
      </c>
    </row>
    <row r="20" spans="1:36" s="85" customFormat="1" ht="52.5" customHeight="1" x14ac:dyDescent="0.25">
      <c r="A20" s="83">
        <v>2</v>
      </c>
      <c r="B20" s="83" t="s">
        <v>244</v>
      </c>
      <c r="C20" s="84" t="s">
        <v>245</v>
      </c>
      <c r="D20" s="93" t="s">
        <v>246</v>
      </c>
      <c r="E20" s="83">
        <v>19</v>
      </c>
      <c r="F20" s="83">
        <v>30</v>
      </c>
      <c r="G20" s="83">
        <v>27</v>
      </c>
      <c r="H20" s="83">
        <v>28</v>
      </c>
      <c r="I20" s="83">
        <v>21</v>
      </c>
      <c r="J20" s="83">
        <v>8</v>
      </c>
      <c r="K20" s="83">
        <v>8</v>
      </c>
      <c r="L20" s="83">
        <v>8</v>
      </c>
      <c r="M20" s="83">
        <v>8</v>
      </c>
      <c r="N20" s="83">
        <v>8</v>
      </c>
      <c r="O20" s="83">
        <v>92</v>
      </c>
      <c r="P20" s="83">
        <v>98</v>
      </c>
      <c r="Q20" s="122">
        <v>13</v>
      </c>
      <c r="R20" s="122">
        <v>13</v>
      </c>
      <c r="S20" s="122">
        <v>13</v>
      </c>
      <c r="T20" s="122">
        <v>10</v>
      </c>
      <c r="U20" s="122">
        <v>12</v>
      </c>
      <c r="V20" s="110">
        <f t="shared" si="0"/>
        <v>79.375</v>
      </c>
      <c r="W20" s="110">
        <f t="shared" si="1"/>
        <v>86.25</v>
      </c>
      <c r="X20" s="110">
        <f t="shared" si="2"/>
        <v>84.375</v>
      </c>
      <c r="Y20" s="110">
        <f t="shared" si="3"/>
        <v>85</v>
      </c>
      <c r="Z20" s="110">
        <f t="shared" si="4"/>
        <v>80.625</v>
      </c>
      <c r="AA20" s="110">
        <f t="shared" ref="AA20:AA83" si="7">(Q20/20)*100</f>
        <v>65</v>
      </c>
      <c r="AB20" s="110">
        <f t="shared" ref="AB20:AB83" si="8">(R20/20)*100</f>
        <v>65</v>
      </c>
      <c r="AC20" s="110">
        <f t="shared" ref="AC20:AC83" si="9">(S20/20)*100</f>
        <v>65</v>
      </c>
      <c r="AD20" s="110">
        <f t="shared" ref="AD20:AD83" si="10">(T20/20)*100</f>
        <v>50</v>
      </c>
      <c r="AE20" s="110">
        <f t="shared" ref="AE20:AE83" si="11">(U20/20)*100</f>
        <v>60</v>
      </c>
      <c r="AF20" s="110">
        <f t="shared" ref="AF20:AF83" si="12">(V20*0.4+AA20*0.6)</f>
        <v>70.75</v>
      </c>
      <c r="AG20" s="110">
        <f t="shared" ref="AG20:AG83" si="13">(W20*0.4+AB20*0.6)</f>
        <v>73.5</v>
      </c>
      <c r="AH20" s="110">
        <f t="shared" ref="AH20:AH83" si="14">(X20*0.4+AC20*0.6)</f>
        <v>72.75</v>
      </c>
      <c r="AI20" s="110">
        <f t="shared" ref="AI20:AI83" si="15">(Y20*0.4+AD20*0.6)</f>
        <v>64</v>
      </c>
      <c r="AJ20" s="110">
        <f t="shared" ref="AJ20:AJ83" si="16">(Z20*0.4+AE20*0.6)</f>
        <v>68.25</v>
      </c>
    </row>
    <row r="21" spans="1:36" s="85" customFormat="1" ht="52.5" customHeight="1" x14ac:dyDescent="0.25">
      <c r="A21" s="83">
        <v>3</v>
      </c>
      <c r="B21" s="83" t="s">
        <v>247</v>
      </c>
      <c r="C21" s="84" t="s">
        <v>248</v>
      </c>
      <c r="D21" s="93" t="s">
        <v>249</v>
      </c>
      <c r="E21" s="83">
        <v>33</v>
      </c>
      <c r="F21" s="83">
        <v>18</v>
      </c>
      <c r="G21" s="83">
        <v>23</v>
      </c>
      <c r="H21" s="83">
        <v>26</v>
      </c>
      <c r="I21" s="83">
        <v>21</v>
      </c>
      <c r="J21" s="83">
        <v>9</v>
      </c>
      <c r="K21" s="83">
        <v>9</v>
      </c>
      <c r="L21" s="83">
        <v>9</v>
      </c>
      <c r="M21" s="83">
        <v>9</v>
      </c>
      <c r="N21" s="83">
        <v>9</v>
      </c>
      <c r="O21" s="83">
        <v>90</v>
      </c>
      <c r="P21" s="83">
        <v>100</v>
      </c>
      <c r="Q21" s="122">
        <v>13</v>
      </c>
      <c r="R21" s="122">
        <v>13</v>
      </c>
      <c r="S21" s="122">
        <v>12</v>
      </c>
      <c r="T21" s="122">
        <v>12</v>
      </c>
      <c r="U21" s="122">
        <v>11</v>
      </c>
      <c r="V21" s="110">
        <f t="shared" si="0"/>
        <v>90.625</v>
      </c>
      <c r="W21" s="110">
        <f t="shared" si="1"/>
        <v>81.25</v>
      </c>
      <c r="X21" s="110">
        <f t="shared" si="2"/>
        <v>84.375</v>
      </c>
      <c r="Y21" s="110">
        <f t="shared" si="3"/>
        <v>86.25</v>
      </c>
      <c r="Z21" s="110">
        <f t="shared" si="4"/>
        <v>83.125</v>
      </c>
      <c r="AA21" s="110">
        <f t="shared" si="7"/>
        <v>65</v>
      </c>
      <c r="AB21" s="110">
        <f t="shared" si="8"/>
        <v>65</v>
      </c>
      <c r="AC21" s="110">
        <f t="shared" si="9"/>
        <v>60</v>
      </c>
      <c r="AD21" s="110">
        <f t="shared" si="10"/>
        <v>60</v>
      </c>
      <c r="AE21" s="110">
        <f t="shared" si="11"/>
        <v>55.000000000000007</v>
      </c>
      <c r="AF21" s="110">
        <f t="shared" si="12"/>
        <v>75.25</v>
      </c>
      <c r="AG21" s="110">
        <f t="shared" si="13"/>
        <v>71.5</v>
      </c>
      <c r="AH21" s="110">
        <f t="shared" si="14"/>
        <v>69.75</v>
      </c>
      <c r="AI21" s="110">
        <f t="shared" si="15"/>
        <v>70.5</v>
      </c>
      <c r="AJ21" s="110">
        <f t="shared" si="16"/>
        <v>66.25</v>
      </c>
    </row>
    <row r="22" spans="1:36" s="85" customFormat="1" ht="52.5" customHeight="1" x14ac:dyDescent="0.25">
      <c r="A22" s="83">
        <v>4</v>
      </c>
      <c r="B22" s="83" t="s">
        <v>250</v>
      </c>
      <c r="C22" s="84" t="s">
        <v>251</v>
      </c>
      <c r="D22" s="93" t="s">
        <v>252</v>
      </c>
      <c r="E22" s="83">
        <v>25</v>
      </c>
      <c r="F22" s="83">
        <v>22</v>
      </c>
      <c r="G22" s="83">
        <v>23</v>
      </c>
      <c r="H22" s="83">
        <v>23</v>
      </c>
      <c r="I22" s="83">
        <v>14</v>
      </c>
      <c r="J22" s="83">
        <v>9</v>
      </c>
      <c r="K22" s="83">
        <v>9</v>
      </c>
      <c r="L22" s="83">
        <v>9</v>
      </c>
      <c r="M22" s="83">
        <v>9</v>
      </c>
      <c r="N22" s="83">
        <v>9</v>
      </c>
      <c r="O22" s="83">
        <v>90</v>
      </c>
      <c r="P22" s="83">
        <v>100</v>
      </c>
      <c r="Q22" s="122">
        <v>13</v>
      </c>
      <c r="R22" s="122">
        <v>11</v>
      </c>
      <c r="S22" s="122">
        <v>11</v>
      </c>
      <c r="T22" s="122">
        <v>11</v>
      </c>
      <c r="U22" s="122">
        <v>12</v>
      </c>
      <c r="V22" s="110">
        <f t="shared" si="0"/>
        <v>85.625</v>
      </c>
      <c r="W22" s="110">
        <f t="shared" si="1"/>
        <v>83.75</v>
      </c>
      <c r="X22" s="110">
        <f t="shared" si="2"/>
        <v>84.375</v>
      </c>
      <c r="Y22" s="110">
        <f t="shared" si="3"/>
        <v>84.375</v>
      </c>
      <c r="Z22" s="110">
        <f t="shared" si="4"/>
        <v>78.75</v>
      </c>
      <c r="AA22" s="110">
        <f t="shared" si="7"/>
        <v>65</v>
      </c>
      <c r="AB22" s="110">
        <f t="shared" si="8"/>
        <v>55.000000000000007</v>
      </c>
      <c r="AC22" s="110">
        <f t="shared" si="9"/>
        <v>55.000000000000007</v>
      </c>
      <c r="AD22" s="110">
        <f t="shared" si="10"/>
        <v>55.000000000000007</v>
      </c>
      <c r="AE22" s="110">
        <f t="shared" si="11"/>
        <v>60</v>
      </c>
      <c r="AF22" s="110">
        <f t="shared" si="12"/>
        <v>73.25</v>
      </c>
      <c r="AG22" s="110">
        <f t="shared" si="13"/>
        <v>66.5</v>
      </c>
      <c r="AH22" s="110">
        <f t="shared" si="14"/>
        <v>66.75</v>
      </c>
      <c r="AI22" s="110">
        <f t="shared" si="15"/>
        <v>66.75</v>
      </c>
      <c r="AJ22" s="110">
        <f t="shared" si="16"/>
        <v>67.5</v>
      </c>
    </row>
    <row r="23" spans="1:36" s="85" customFormat="1" ht="52.5" customHeight="1" x14ac:dyDescent="0.25">
      <c r="A23" s="83">
        <v>5</v>
      </c>
      <c r="B23" s="83" t="s">
        <v>253</v>
      </c>
      <c r="C23" s="84" t="s">
        <v>254</v>
      </c>
      <c r="D23" s="93" t="s">
        <v>255</v>
      </c>
      <c r="E23" s="83">
        <v>26</v>
      </c>
      <c r="F23" s="83">
        <v>23</v>
      </c>
      <c r="G23" s="83">
        <v>31</v>
      </c>
      <c r="H23" s="83">
        <v>36</v>
      </c>
      <c r="I23" s="83">
        <v>33</v>
      </c>
      <c r="J23" s="83">
        <v>9</v>
      </c>
      <c r="K23" s="83">
        <v>9</v>
      </c>
      <c r="L23" s="83">
        <v>9</v>
      </c>
      <c r="M23" s="83">
        <v>9</v>
      </c>
      <c r="N23" s="83">
        <v>9</v>
      </c>
      <c r="O23" s="83">
        <v>90</v>
      </c>
      <c r="P23" s="83">
        <v>100</v>
      </c>
      <c r="Q23" s="122">
        <v>16</v>
      </c>
      <c r="R23" s="122">
        <v>15</v>
      </c>
      <c r="S23" s="122">
        <v>15</v>
      </c>
      <c r="T23" s="122">
        <v>16</v>
      </c>
      <c r="U23" s="122">
        <v>13</v>
      </c>
      <c r="V23" s="110">
        <f t="shared" si="0"/>
        <v>86.25</v>
      </c>
      <c r="W23" s="110">
        <f t="shared" si="1"/>
        <v>84.375</v>
      </c>
      <c r="X23" s="110">
        <f t="shared" si="2"/>
        <v>89.375</v>
      </c>
      <c r="Y23" s="110">
        <f t="shared" si="3"/>
        <v>92.5</v>
      </c>
      <c r="Z23" s="110">
        <f t="shared" si="4"/>
        <v>90.625</v>
      </c>
      <c r="AA23" s="110">
        <f t="shared" si="7"/>
        <v>80</v>
      </c>
      <c r="AB23" s="110">
        <f t="shared" si="8"/>
        <v>75</v>
      </c>
      <c r="AC23" s="110">
        <f t="shared" si="9"/>
        <v>75</v>
      </c>
      <c r="AD23" s="110">
        <f t="shared" si="10"/>
        <v>80</v>
      </c>
      <c r="AE23" s="110">
        <f t="shared" si="11"/>
        <v>65</v>
      </c>
      <c r="AF23" s="110">
        <f t="shared" si="12"/>
        <v>82.5</v>
      </c>
      <c r="AG23" s="110">
        <f t="shared" si="13"/>
        <v>78.75</v>
      </c>
      <c r="AH23" s="110">
        <f t="shared" si="14"/>
        <v>80.75</v>
      </c>
      <c r="AI23" s="110">
        <f t="shared" si="15"/>
        <v>85</v>
      </c>
      <c r="AJ23" s="110">
        <f t="shared" si="16"/>
        <v>75.25</v>
      </c>
    </row>
    <row r="24" spans="1:36" s="85" customFormat="1" ht="52.5" customHeight="1" x14ac:dyDescent="0.25">
      <c r="A24" s="83">
        <v>6</v>
      </c>
      <c r="B24" s="83" t="s">
        <v>256</v>
      </c>
      <c r="C24" s="84" t="s">
        <v>257</v>
      </c>
      <c r="D24" s="93" t="s">
        <v>258</v>
      </c>
      <c r="E24" s="83">
        <v>34</v>
      </c>
      <c r="F24" s="83">
        <v>25</v>
      </c>
      <c r="G24" s="83">
        <v>21</v>
      </c>
      <c r="H24" s="83">
        <v>33</v>
      </c>
      <c r="I24" s="83">
        <v>30</v>
      </c>
      <c r="J24" s="83">
        <v>9</v>
      </c>
      <c r="K24" s="83">
        <v>9</v>
      </c>
      <c r="L24" s="83">
        <v>9</v>
      </c>
      <c r="M24" s="83">
        <v>9</v>
      </c>
      <c r="N24" s="83">
        <v>9</v>
      </c>
      <c r="O24" s="83">
        <v>92</v>
      </c>
      <c r="P24" s="83">
        <v>100</v>
      </c>
      <c r="Q24" s="122">
        <v>17</v>
      </c>
      <c r="R24" s="122">
        <v>15</v>
      </c>
      <c r="S24" s="122">
        <v>14</v>
      </c>
      <c r="T24" s="122">
        <v>13</v>
      </c>
      <c r="U24" s="122">
        <v>12</v>
      </c>
      <c r="V24" s="110">
        <f t="shared" si="0"/>
        <v>91.75</v>
      </c>
      <c r="W24" s="110">
        <f t="shared" si="1"/>
        <v>86.125</v>
      </c>
      <c r="X24" s="110">
        <f t="shared" si="2"/>
        <v>83.625</v>
      </c>
      <c r="Y24" s="110">
        <f t="shared" si="3"/>
        <v>91.125</v>
      </c>
      <c r="Z24" s="110">
        <f t="shared" si="4"/>
        <v>89.25</v>
      </c>
      <c r="AA24" s="110">
        <f t="shared" si="7"/>
        <v>85</v>
      </c>
      <c r="AB24" s="110">
        <f t="shared" si="8"/>
        <v>75</v>
      </c>
      <c r="AC24" s="110">
        <f t="shared" si="9"/>
        <v>70</v>
      </c>
      <c r="AD24" s="110">
        <f t="shared" si="10"/>
        <v>65</v>
      </c>
      <c r="AE24" s="110">
        <f t="shared" si="11"/>
        <v>60</v>
      </c>
      <c r="AF24" s="110">
        <f t="shared" si="12"/>
        <v>87.7</v>
      </c>
      <c r="AG24" s="110">
        <f t="shared" si="13"/>
        <v>79.45</v>
      </c>
      <c r="AH24" s="110">
        <f t="shared" si="14"/>
        <v>75.45</v>
      </c>
      <c r="AI24" s="110">
        <f t="shared" si="15"/>
        <v>75.45</v>
      </c>
      <c r="AJ24" s="110">
        <f t="shared" si="16"/>
        <v>71.7</v>
      </c>
    </row>
    <row r="25" spans="1:36" s="85" customFormat="1" ht="52.5" customHeight="1" x14ac:dyDescent="0.25">
      <c r="A25" s="83">
        <v>7</v>
      </c>
      <c r="B25" s="83" t="s">
        <v>259</v>
      </c>
      <c r="C25" s="84" t="s">
        <v>260</v>
      </c>
      <c r="D25" s="93" t="s">
        <v>261</v>
      </c>
      <c r="E25" s="83">
        <v>31</v>
      </c>
      <c r="F25" s="83">
        <v>27</v>
      </c>
      <c r="G25" s="83">
        <v>28</v>
      </c>
      <c r="H25" s="83">
        <v>35</v>
      </c>
      <c r="I25" s="83">
        <v>29</v>
      </c>
      <c r="J25" s="83">
        <v>9</v>
      </c>
      <c r="K25" s="83">
        <v>9</v>
      </c>
      <c r="L25" s="83">
        <v>9</v>
      </c>
      <c r="M25" s="83">
        <v>9</v>
      </c>
      <c r="N25" s="83">
        <v>9</v>
      </c>
      <c r="O25" s="83">
        <v>96</v>
      </c>
      <c r="P25" s="83">
        <v>93</v>
      </c>
      <c r="Q25" s="122">
        <v>18</v>
      </c>
      <c r="R25" s="122">
        <v>18</v>
      </c>
      <c r="S25" s="122">
        <v>16</v>
      </c>
      <c r="T25" s="122">
        <v>15</v>
      </c>
      <c r="U25" s="122">
        <v>14</v>
      </c>
      <c r="V25" s="110">
        <f t="shared" si="0"/>
        <v>89.125</v>
      </c>
      <c r="W25" s="110">
        <f t="shared" si="1"/>
        <v>86.625</v>
      </c>
      <c r="X25" s="110">
        <f t="shared" si="2"/>
        <v>87.25</v>
      </c>
      <c r="Y25" s="110">
        <f t="shared" si="3"/>
        <v>91.625</v>
      </c>
      <c r="Z25" s="110">
        <f t="shared" si="4"/>
        <v>87.875</v>
      </c>
      <c r="AA25" s="110">
        <f t="shared" si="7"/>
        <v>90</v>
      </c>
      <c r="AB25" s="110">
        <f t="shared" si="8"/>
        <v>90</v>
      </c>
      <c r="AC25" s="110">
        <f t="shared" si="9"/>
        <v>80</v>
      </c>
      <c r="AD25" s="110">
        <f t="shared" si="10"/>
        <v>75</v>
      </c>
      <c r="AE25" s="110">
        <f t="shared" si="11"/>
        <v>70</v>
      </c>
      <c r="AF25" s="110">
        <f t="shared" si="12"/>
        <v>89.65</v>
      </c>
      <c r="AG25" s="110">
        <f t="shared" si="13"/>
        <v>88.65</v>
      </c>
      <c r="AH25" s="110">
        <f t="shared" si="14"/>
        <v>82.9</v>
      </c>
      <c r="AI25" s="110">
        <f t="shared" si="15"/>
        <v>81.650000000000006</v>
      </c>
      <c r="AJ25" s="110">
        <f t="shared" si="16"/>
        <v>77.150000000000006</v>
      </c>
    </row>
    <row r="26" spans="1:36" s="85" customFormat="1" ht="52.5" customHeight="1" x14ac:dyDescent="0.25">
      <c r="A26" s="83">
        <v>8</v>
      </c>
      <c r="B26" s="83" t="s">
        <v>262</v>
      </c>
      <c r="C26" s="84" t="s">
        <v>263</v>
      </c>
      <c r="D26" s="93" t="s">
        <v>264</v>
      </c>
      <c r="E26" s="83">
        <v>33</v>
      </c>
      <c r="F26" s="83">
        <v>31</v>
      </c>
      <c r="G26" s="83">
        <v>35</v>
      </c>
      <c r="H26" s="83">
        <v>36</v>
      </c>
      <c r="I26" s="83">
        <v>29</v>
      </c>
      <c r="J26" s="83">
        <v>9</v>
      </c>
      <c r="K26" s="83">
        <v>9</v>
      </c>
      <c r="L26" s="83">
        <v>9</v>
      </c>
      <c r="M26" s="83">
        <v>9</v>
      </c>
      <c r="N26" s="83">
        <v>9</v>
      </c>
      <c r="O26" s="83">
        <v>96</v>
      </c>
      <c r="P26" s="83">
        <v>100</v>
      </c>
      <c r="Q26" s="122">
        <v>17</v>
      </c>
      <c r="R26" s="122">
        <v>16</v>
      </c>
      <c r="S26" s="122">
        <v>16</v>
      </c>
      <c r="T26" s="122">
        <v>13</v>
      </c>
      <c r="U26" s="122">
        <v>14</v>
      </c>
      <c r="V26" s="110">
        <f t="shared" si="0"/>
        <v>92.125</v>
      </c>
      <c r="W26" s="110">
        <f t="shared" si="1"/>
        <v>90.875</v>
      </c>
      <c r="X26" s="110">
        <f t="shared" si="2"/>
        <v>93.375</v>
      </c>
      <c r="Y26" s="110">
        <f t="shared" si="3"/>
        <v>94</v>
      </c>
      <c r="Z26" s="110">
        <f t="shared" si="4"/>
        <v>89.625</v>
      </c>
      <c r="AA26" s="110">
        <f t="shared" si="7"/>
        <v>85</v>
      </c>
      <c r="AB26" s="110">
        <f t="shared" si="8"/>
        <v>80</v>
      </c>
      <c r="AC26" s="110">
        <f t="shared" si="9"/>
        <v>80</v>
      </c>
      <c r="AD26" s="110">
        <f t="shared" si="10"/>
        <v>65</v>
      </c>
      <c r="AE26" s="110">
        <f t="shared" si="11"/>
        <v>70</v>
      </c>
      <c r="AF26" s="110">
        <f t="shared" si="12"/>
        <v>87.85</v>
      </c>
      <c r="AG26" s="110">
        <f t="shared" si="13"/>
        <v>84.35</v>
      </c>
      <c r="AH26" s="110">
        <f t="shared" si="14"/>
        <v>85.35</v>
      </c>
      <c r="AI26" s="110">
        <f t="shared" si="15"/>
        <v>76.599999999999994</v>
      </c>
      <c r="AJ26" s="110">
        <f t="shared" si="16"/>
        <v>77.849999999999994</v>
      </c>
    </row>
    <row r="27" spans="1:36" s="85" customFormat="1" ht="52.5" customHeight="1" x14ac:dyDescent="0.25">
      <c r="A27" s="83">
        <v>9</v>
      </c>
      <c r="B27" s="83" t="s">
        <v>265</v>
      </c>
      <c r="C27" s="84" t="s">
        <v>266</v>
      </c>
      <c r="D27" s="93" t="s">
        <v>267</v>
      </c>
      <c r="E27" s="83">
        <v>27</v>
      </c>
      <c r="F27" s="83">
        <v>27</v>
      </c>
      <c r="G27" s="83">
        <v>22</v>
      </c>
      <c r="H27" s="83">
        <v>33</v>
      </c>
      <c r="I27" s="83">
        <v>30</v>
      </c>
      <c r="J27" s="83">
        <v>9</v>
      </c>
      <c r="K27" s="83">
        <v>9</v>
      </c>
      <c r="L27" s="83">
        <v>9</v>
      </c>
      <c r="M27" s="83">
        <v>9</v>
      </c>
      <c r="N27" s="83">
        <v>9</v>
      </c>
      <c r="O27" s="83">
        <v>94</v>
      </c>
      <c r="P27" s="83">
        <v>100</v>
      </c>
      <c r="Q27" s="122">
        <v>12</v>
      </c>
      <c r="R27" s="122">
        <v>12</v>
      </c>
      <c r="S27" s="122">
        <v>12</v>
      </c>
      <c r="T27" s="122">
        <v>10</v>
      </c>
      <c r="U27" s="122">
        <v>12</v>
      </c>
      <c r="V27" s="110">
        <f t="shared" si="0"/>
        <v>87.875</v>
      </c>
      <c r="W27" s="110">
        <f t="shared" si="1"/>
        <v>87.875</v>
      </c>
      <c r="X27" s="110">
        <f t="shared" si="2"/>
        <v>84.75</v>
      </c>
      <c r="Y27" s="110">
        <f t="shared" si="3"/>
        <v>91.625</v>
      </c>
      <c r="Z27" s="110">
        <f t="shared" si="4"/>
        <v>89.75</v>
      </c>
      <c r="AA27" s="110">
        <f t="shared" si="7"/>
        <v>60</v>
      </c>
      <c r="AB27" s="110">
        <f t="shared" si="8"/>
        <v>60</v>
      </c>
      <c r="AC27" s="110">
        <f t="shared" si="9"/>
        <v>60</v>
      </c>
      <c r="AD27" s="110">
        <f t="shared" si="10"/>
        <v>50</v>
      </c>
      <c r="AE27" s="110">
        <f t="shared" si="11"/>
        <v>60</v>
      </c>
      <c r="AF27" s="110">
        <f t="shared" si="12"/>
        <v>71.150000000000006</v>
      </c>
      <c r="AG27" s="110">
        <f t="shared" si="13"/>
        <v>71.150000000000006</v>
      </c>
      <c r="AH27" s="110">
        <f t="shared" si="14"/>
        <v>69.900000000000006</v>
      </c>
      <c r="AI27" s="110">
        <f t="shared" si="15"/>
        <v>66.650000000000006</v>
      </c>
      <c r="AJ27" s="110">
        <f t="shared" si="16"/>
        <v>71.900000000000006</v>
      </c>
    </row>
    <row r="28" spans="1:36" s="85" customFormat="1" ht="52.5" customHeight="1" x14ac:dyDescent="0.25">
      <c r="A28" s="83">
        <v>10</v>
      </c>
      <c r="B28" s="83" t="s">
        <v>268</v>
      </c>
      <c r="C28" s="84" t="s">
        <v>269</v>
      </c>
      <c r="D28" s="93" t="s">
        <v>270</v>
      </c>
      <c r="E28" s="83">
        <v>31</v>
      </c>
      <c r="F28" s="83">
        <v>27</v>
      </c>
      <c r="G28" s="83">
        <v>28</v>
      </c>
      <c r="H28" s="83">
        <v>33</v>
      </c>
      <c r="I28" s="83">
        <v>31</v>
      </c>
      <c r="J28" s="83">
        <v>9</v>
      </c>
      <c r="K28" s="83">
        <v>9</v>
      </c>
      <c r="L28" s="83">
        <v>9</v>
      </c>
      <c r="M28" s="83">
        <v>9</v>
      </c>
      <c r="N28" s="83">
        <v>9</v>
      </c>
      <c r="O28" s="83">
        <v>92</v>
      </c>
      <c r="P28" s="83">
        <v>100</v>
      </c>
      <c r="Q28" s="122">
        <v>17</v>
      </c>
      <c r="R28" s="122">
        <v>18</v>
      </c>
      <c r="S28" s="122">
        <v>16</v>
      </c>
      <c r="T28" s="122">
        <v>17</v>
      </c>
      <c r="U28" s="122">
        <v>17</v>
      </c>
      <c r="V28" s="110">
        <f t="shared" si="0"/>
        <v>89.875</v>
      </c>
      <c r="W28" s="110">
        <f t="shared" si="1"/>
        <v>87.375</v>
      </c>
      <c r="X28" s="110">
        <f t="shared" si="2"/>
        <v>88</v>
      </c>
      <c r="Y28" s="110">
        <f t="shared" si="3"/>
        <v>91.125</v>
      </c>
      <c r="Z28" s="110">
        <f t="shared" si="4"/>
        <v>89.875</v>
      </c>
      <c r="AA28" s="110">
        <f t="shared" si="7"/>
        <v>85</v>
      </c>
      <c r="AB28" s="110">
        <f t="shared" si="8"/>
        <v>90</v>
      </c>
      <c r="AC28" s="110">
        <f t="shared" si="9"/>
        <v>80</v>
      </c>
      <c r="AD28" s="110">
        <f t="shared" si="10"/>
        <v>85</v>
      </c>
      <c r="AE28" s="110">
        <f t="shared" si="11"/>
        <v>85</v>
      </c>
      <c r="AF28" s="110">
        <f t="shared" si="12"/>
        <v>86.95</v>
      </c>
      <c r="AG28" s="110">
        <f t="shared" si="13"/>
        <v>88.95</v>
      </c>
      <c r="AH28" s="110">
        <f t="shared" si="14"/>
        <v>83.2</v>
      </c>
      <c r="AI28" s="110">
        <f t="shared" si="15"/>
        <v>87.45</v>
      </c>
      <c r="AJ28" s="110">
        <f t="shared" si="16"/>
        <v>86.95</v>
      </c>
    </row>
    <row r="29" spans="1:36" s="85" customFormat="1" ht="52.5" customHeight="1" x14ac:dyDescent="0.25">
      <c r="A29" s="83">
        <v>11</v>
      </c>
      <c r="B29" s="83" t="s">
        <v>271</v>
      </c>
      <c r="C29" s="84" t="s">
        <v>272</v>
      </c>
      <c r="D29" s="93" t="s">
        <v>273</v>
      </c>
      <c r="E29" s="83">
        <v>20</v>
      </c>
      <c r="F29" s="83">
        <v>31</v>
      </c>
      <c r="G29" s="83">
        <v>27</v>
      </c>
      <c r="H29" s="83">
        <v>33</v>
      </c>
      <c r="I29" s="83">
        <v>32</v>
      </c>
      <c r="J29" s="83">
        <v>9</v>
      </c>
      <c r="K29" s="83">
        <v>9</v>
      </c>
      <c r="L29" s="83">
        <v>9</v>
      </c>
      <c r="M29" s="83">
        <v>9</v>
      </c>
      <c r="N29" s="83">
        <v>9</v>
      </c>
      <c r="O29" s="83">
        <v>90</v>
      </c>
      <c r="P29" s="83">
        <v>100</v>
      </c>
      <c r="Q29" s="122">
        <v>17</v>
      </c>
      <c r="R29" s="122">
        <v>16</v>
      </c>
      <c r="S29" s="122">
        <v>16</v>
      </c>
      <c r="T29" s="122">
        <v>16</v>
      </c>
      <c r="U29" s="122">
        <v>16</v>
      </c>
      <c r="V29" s="110">
        <f t="shared" si="0"/>
        <v>82.5</v>
      </c>
      <c r="W29" s="110">
        <f t="shared" si="1"/>
        <v>89.375</v>
      </c>
      <c r="X29" s="110">
        <f t="shared" si="2"/>
        <v>86.875</v>
      </c>
      <c r="Y29" s="110">
        <f t="shared" si="3"/>
        <v>90.625</v>
      </c>
      <c r="Z29" s="110">
        <f t="shared" si="4"/>
        <v>90</v>
      </c>
      <c r="AA29" s="110">
        <f t="shared" si="7"/>
        <v>85</v>
      </c>
      <c r="AB29" s="110">
        <f t="shared" si="8"/>
        <v>80</v>
      </c>
      <c r="AC29" s="110">
        <f t="shared" si="9"/>
        <v>80</v>
      </c>
      <c r="AD29" s="110">
        <f t="shared" si="10"/>
        <v>80</v>
      </c>
      <c r="AE29" s="110">
        <f t="shared" si="11"/>
        <v>80</v>
      </c>
      <c r="AF29" s="110">
        <f t="shared" si="12"/>
        <v>84</v>
      </c>
      <c r="AG29" s="110">
        <f t="shared" si="13"/>
        <v>83.75</v>
      </c>
      <c r="AH29" s="110">
        <f t="shared" si="14"/>
        <v>82.75</v>
      </c>
      <c r="AI29" s="110">
        <f t="shared" si="15"/>
        <v>84.25</v>
      </c>
      <c r="AJ29" s="110">
        <f t="shared" si="16"/>
        <v>84</v>
      </c>
    </row>
    <row r="30" spans="1:36" s="85" customFormat="1" ht="52.5" customHeight="1" x14ac:dyDescent="0.25">
      <c r="A30" s="83">
        <v>12</v>
      </c>
      <c r="B30" s="83" t="s">
        <v>274</v>
      </c>
      <c r="C30" s="84" t="s">
        <v>275</v>
      </c>
      <c r="D30" s="93" t="s">
        <v>276</v>
      </c>
      <c r="E30" s="83">
        <v>31</v>
      </c>
      <c r="F30" s="83">
        <v>18</v>
      </c>
      <c r="G30" s="83">
        <v>26</v>
      </c>
      <c r="H30" s="83">
        <v>30</v>
      </c>
      <c r="I30" s="83">
        <v>31</v>
      </c>
      <c r="J30" s="83">
        <v>8</v>
      </c>
      <c r="K30" s="83">
        <v>8</v>
      </c>
      <c r="L30" s="83">
        <v>8</v>
      </c>
      <c r="M30" s="83">
        <v>8</v>
      </c>
      <c r="N30" s="83">
        <v>8</v>
      </c>
      <c r="O30" s="83">
        <v>96</v>
      </c>
      <c r="P30" s="83">
        <v>100</v>
      </c>
      <c r="Q30" s="122">
        <v>16</v>
      </c>
      <c r="R30" s="122">
        <v>12</v>
      </c>
      <c r="S30" s="122">
        <v>14</v>
      </c>
      <c r="T30" s="122">
        <v>16</v>
      </c>
      <c r="U30" s="122">
        <v>13</v>
      </c>
      <c r="V30" s="110">
        <f t="shared" si="0"/>
        <v>88.375</v>
      </c>
      <c r="W30" s="110">
        <f t="shared" si="1"/>
        <v>80.25</v>
      </c>
      <c r="X30" s="110">
        <f t="shared" si="2"/>
        <v>85.25</v>
      </c>
      <c r="Y30" s="110">
        <f t="shared" si="3"/>
        <v>87.75</v>
      </c>
      <c r="Z30" s="110">
        <f t="shared" si="4"/>
        <v>88.375</v>
      </c>
      <c r="AA30" s="110">
        <f t="shared" si="7"/>
        <v>80</v>
      </c>
      <c r="AB30" s="110">
        <f t="shared" si="8"/>
        <v>60</v>
      </c>
      <c r="AC30" s="110">
        <f t="shared" si="9"/>
        <v>70</v>
      </c>
      <c r="AD30" s="110">
        <f t="shared" si="10"/>
        <v>80</v>
      </c>
      <c r="AE30" s="110">
        <f t="shared" si="11"/>
        <v>65</v>
      </c>
      <c r="AF30" s="110">
        <f t="shared" si="12"/>
        <v>83.35</v>
      </c>
      <c r="AG30" s="110">
        <f t="shared" si="13"/>
        <v>68.099999999999994</v>
      </c>
      <c r="AH30" s="110">
        <f t="shared" si="14"/>
        <v>76.099999999999994</v>
      </c>
      <c r="AI30" s="110">
        <f t="shared" si="15"/>
        <v>83.1</v>
      </c>
      <c r="AJ30" s="110">
        <f t="shared" si="16"/>
        <v>74.349999999999994</v>
      </c>
    </row>
    <row r="31" spans="1:36" s="85" customFormat="1" ht="52.5" customHeight="1" x14ac:dyDescent="0.25">
      <c r="A31" s="83">
        <v>13</v>
      </c>
      <c r="B31" s="83" t="s">
        <v>277</v>
      </c>
      <c r="C31" s="84" t="s">
        <v>278</v>
      </c>
      <c r="D31" s="93" t="s">
        <v>279</v>
      </c>
      <c r="E31" s="83">
        <v>23</v>
      </c>
      <c r="F31" s="83">
        <v>28</v>
      </c>
      <c r="G31" s="83">
        <v>27</v>
      </c>
      <c r="H31" s="83">
        <v>32</v>
      </c>
      <c r="I31" s="83">
        <v>25</v>
      </c>
      <c r="J31" s="83">
        <v>8</v>
      </c>
      <c r="K31" s="83">
        <v>8</v>
      </c>
      <c r="L31" s="83">
        <v>8</v>
      </c>
      <c r="M31" s="83">
        <v>8</v>
      </c>
      <c r="N31" s="83">
        <v>8</v>
      </c>
      <c r="O31" s="83">
        <v>96</v>
      </c>
      <c r="P31" s="83">
        <v>100</v>
      </c>
      <c r="Q31" s="122">
        <v>17</v>
      </c>
      <c r="R31" s="122">
        <v>17</v>
      </c>
      <c r="S31" s="122">
        <v>14</v>
      </c>
      <c r="T31" s="122">
        <v>14</v>
      </c>
      <c r="U31" s="122">
        <v>15</v>
      </c>
      <c r="V31" s="110">
        <f t="shared" si="0"/>
        <v>83.375</v>
      </c>
      <c r="W31" s="110">
        <f t="shared" si="1"/>
        <v>86.5</v>
      </c>
      <c r="X31" s="110">
        <f t="shared" si="2"/>
        <v>85.875</v>
      </c>
      <c r="Y31" s="110">
        <f t="shared" si="3"/>
        <v>89</v>
      </c>
      <c r="Z31" s="110">
        <f t="shared" si="4"/>
        <v>84.625</v>
      </c>
      <c r="AA31" s="110">
        <f t="shared" si="7"/>
        <v>85</v>
      </c>
      <c r="AB31" s="110">
        <f t="shared" si="8"/>
        <v>85</v>
      </c>
      <c r="AC31" s="110">
        <f t="shared" si="9"/>
        <v>70</v>
      </c>
      <c r="AD31" s="110">
        <f t="shared" si="10"/>
        <v>70</v>
      </c>
      <c r="AE31" s="110">
        <f t="shared" si="11"/>
        <v>75</v>
      </c>
      <c r="AF31" s="110">
        <f t="shared" si="12"/>
        <v>84.35</v>
      </c>
      <c r="AG31" s="110">
        <f t="shared" si="13"/>
        <v>85.6</v>
      </c>
      <c r="AH31" s="110">
        <f t="shared" si="14"/>
        <v>76.349999999999994</v>
      </c>
      <c r="AI31" s="110">
        <f t="shared" si="15"/>
        <v>77.599999999999994</v>
      </c>
      <c r="AJ31" s="110">
        <f t="shared" si="16"/>
        <v>78.849999999999994</v>
      </c>
    </row>
    <row r="32" spans="1:36" s="85" customFormat="1" ht="52.5" customHeight="1" x14ac:dyDescent="0.25">
      <c r="A32" s="83">
        <v>14</v>
      </c>
      <c r="B32" s="83" t="s">
        <v>280</v>
      </c>
      <c r="C32" s="84" t="s">
        <v>281</v>
      </c>
      <c r="D32" s="93" t="s">
        <v>282</v>
      </c>
      <c r="E32" s="83">
        <v>11</v>
      </c>
      <c r="F32" s="83">
        <v>16</v>
      </c>
      <c r="G32" s="83">
        <v>5</v>
      </c>
      <c r="H32" s="83">
        <v>32</v>
      </c>
      <c r="I32" s="83">
        <v>32</v>
      </c>
      <c r="J32" s="83">
        <v>9</v>
      </c>
      <c r="K32" s="83">
        <v>9</v>
      </c>
      <c r="L32" s="83">
        <v>9</v>
      </c>
      <c r="M32" s="83">
        <v>9</v>
      </c>
      <c r="N32" s="83">
        <v>9</v>
      </c>
      <c r="O32" s="83">
        <v>90</v>
      </c>
      <c r="P32" s="83">
        <v>100</v>
      </c>
      <c r="Q32" s="122">
        <v>15</v>
      </c>
      <c r="R32" s="122">
        <v>13</v>
      </c>
      <c r="S32" s="122">
        <v>14</v>
      </c>
      <c r="T32" s="122">
        <v>13</v>
      </c>
      <c r="U32" s="122">
        <v>13</v>
      </c>
      <c r="V32" s="110">
        <f t="shared" si="0"/>
        <v>76.875</v>
      </c>
      <c r="W32" s="110">
        <f t="shared" si="1"/>
        <v>80</v>
      </c>
      <c r="X32" s="110">
        <f t="shared" si="2"/>
        <v>73.125</v>
      </c>
      <c r="Y32" s="110">
        <f t="shared" si="3"/>
        <v>90</v>
      </c>
      <c r="Z32" s="110">
        <f t="shared" si="4"/>
        <v>90</v>
      </c>
      <c r="AA32" s="110">
        <f t="shared" si="7"/>
        <v>75</v>
      </c>
      <c r="AB32" s="110">
        <f t="shared" si="8"/>
        <v>65</v>
      </c>
      <c r="AC32" s="110">
        <f t="shared" si="9"/>
        <v>70</v>
      </c>
      <c r="AD32" s="110">
        <f t="shared" si="10"/>
        <v>65</v>
      </c>
      <c r="AE32" s="110">
        <f t="shared" si="11"/>
        <v>65</v>
      </c>
      <c r="AF32" s="110">
        <f t="shared" si="12"/>
        <v>75.75</v>
      </c>
      <c r="AG32" s="110">
        <f t="shared" si="13"/>
        <v>71</v>
      </c>
      <c r="AH32" s="110">
        <f t="shared" si="14"/>
        <v>71.25</v>
      </c>
      <c r="AI32" s="110">
        <f t="shared" si="15"/>
        <v>75</v>
      </c>
      <c r="AJ32" s="110">
        <f t="shared" si="16"/>
        <v>75</v>
      </c>
    </row>
    <row r="33" spans="1:36" s="85" customFormat="1" ht="52.5" customHeight="1" x14ac:dyDescent="0.25">
      <c r="A33" s="83">
        <v>15</v>
      </c>
      <c r="B33" s="83" t="s">
        <v>283</v>
      </c>
      <c r="C33" s="84" t="s">
        <v>284</v>
      </c>
      <c r="D33" s="93" t="s">
        <v>285</v>
      </c>
      <c r="E33" s="83">
        <v>22</v>
      </c>
      <c r="F33" s="83">
        <v>23</v>
      </c>
      <c r="G33" s="83">
        <v>27</v>
      </c>
      <c r="H33" s="83">
        <v>23</v>
      </c>
      <c r="I33" s="83">
        <v>17</v>
      </c>
      <c r="J33" s="83">
        <v>9</v>
      </c>
      <c r="K33" s="83">
        <v>9</v>
      </c>
      <c r="L33" s="83">
        <v>9</v>
      </c>
      <c r="M33" s="83">
        <v>9</v>
      </c>
      <c r="N33" s="83">
        <v>9</v>
      </c>
      <c r="O33" s="83">
        <v>84</v>
      </c>
      <c r="P33" s="83">
        <v>100</v>
      </c>
      <c r="Q33" s="122">
        <v>15</v>
      </c>
      <c r="R33" s="122">
        <v>14</v>
      </c>
      <c r="S33" s="122">
        <v>14</v>
      </c>
      <c r="T33" s="122">
        <v>14</v>
      </c>
      <c r="U33" s="122">
        <v>13</v>
      </c>
      <c r="V33" s="110">
        <f t="shared" si="0"/>
        <v>82.25</v>
      </c>
      <c r="W33" s="110">
        <f t="shared" si="1"/>
        <v>82.875</v>
      </c>
      <c r="X33" s="110">
        <f t="shared" si="2"/>
        <v>85.375</v>
      </c>
      <c r="Y33" s="110">
        <f t="shared" si="3"/>
        <v>82.875</v>
      </c>
      <c r="Z33" s="110">
        <f t="shared" si="4"/>
        <v>79.125</v>
      </c>
      <c r="AA33" s="110">
        <f t="shared" si="7"/>
        <v>75</v>
      </c>
      <c r="AB33" s="110">
        <f t="shared" si="8"/>
        <v>70</v>
      </c>
      <c r="AC33" s="110">
        <f t="shared" si="9"/>
        <v>70</v>
      </c>
      <c r="AD33" s="110">
        <f t="shared" si="10"/>
        <v>70</v>
      </c>
      <c r="AE33" s="110">
        <f t="shared" si="11"/>
        <v>65</v>
      </c>
      <c r="AF33" s="110">
        <f t="shared" si="12"/>
        <v>77.900000000000006</v>
      </c>
      <c r="AG33" s="110">
        <f t="shared" si="13"/>
        <v>75.150000000000006</v>
      </c>
      <c r="AH33" s="110">
        <f t="shared" si="14"/>
        <v>76.150000000000006</v>
      </c>
      <c r="AI33" s="110">
        <f t="shared" si="15"/>
        <v>75.150000000000006</v>
      </c>
      <c r="AJ33" s="110">
        <f t="shared" si="16"/>
        <v>70.650000000000006</v>
      </c>
    </row>
    <row r="34" spans="1:36" s="85" customFormat="1" ht="52.5" customHeight="1" x14ac:dyDescent="0.25">
      <c r="A34" s="83">
        <v>16</v>
      </c>
      <c r="B34" s="83" t="s">
        <v>286</v>
      </c>
      <c r="C34" s="84" t="s">
        <v>287</v>
      </c>
      <c r="D34" s="93" t="s">
        <v>288</v>
      </c>
      <c r="E34" s="83">
        <v>25</v>
      </c>
      <c r="F34" s="83">
        <v>22</v>
      </c>
      <c r="G34" s="83">
        <v>19</v>
      </c>
      <c r="H34" s="83">
        <v>23</v>
      </c>
      <c r="I34" s="83">
        <v>20</v>
      </c>
      <c r="J34" s="83">
        <v>9</v>
      </c>
      <c r="K34" s="83">
        <v>9</v>
      </c>
      <c r="L34" s="83">
        <v>9</v>
      </c>
      <c r="M34" s="83">
        <v>9</v>
      </c>
      <c r="N34" s="83">
        <v>9</v>
      </c>
      <c r="O34" s="83">
        <v>90</v>
      </c>
      <c r="P34" s="83">
        <v>95</v>
      </c>
      <c r="Q34" s="122">
        <v>16</v>
      </c>
      <c r="R34" s="122">
        <v>16</v>
      </c>
      <c r="S34" s="122">
        <v>13</v>
      </c>
      <c r="T34" s="122">
        <v>14</v>
      </c>
      <c r="U34" s="122">
        <v>13</v>
      </c>
      <c r="V34" s="110">
        <f t="shared" si="0"/>
        <v>84.375</v>
      </c>
      <c r="W34" s="110">
        <f t="shared" si="1"/>
        <v>82.5</v>
      </c>
      <c r="X34" s="110">
        <f t="shared" si="2"/>
        <v>80.625</v>
      </c>
      <c r="Y34" s="110">
        <f t="shared" si="3"/>
        <v>83.125</v>
      </c>
      <c r="Z34" s="110">
        <f t="shared" si="4"/>
        <v>81.25</v>
      </c>
      <c r="AA34" s="110">
        <f t="shared" si="7"/>
        <v>80</v>
      </c>
      <c r="AB34" s="110">
        <f t="shared" si="8"/>
        <v>80</v>
      </c>
      <c r="AC34" s="110">
        <f t="shared" si="9"/>
        <v>65</v>
      </c>
      <c r="AD34" s="110">
        <f t="shared" si="10"/>
        <v>70</v>
      </c>
      <c r="AE34" s="110">
        <f t="shared" si="11"/>
        <v>65</v>
      </c>
      <c r="AF34" s="110">
        <f t="shared" si="12"/>
        <v>81.75</v>
      </c>
      <c r="AG34" s="110">
        <f t="shared" si="13"/>
        <v>81</v>
      </c>
      <c r="AH34" s="110">
        <f t="shared" si="14"/>
        <v>71.25</v>
      </c>
      <c r="AI34" s="110">
        <f t="shared" si="15"/>
        <v>75.25</v>
      </c>
      <c r="AJ34" s="110">
        <f t="shared" si="16"/>
        <v>71.5</v>
      </c>
    </row>
    <row r="35" spans="1:36" s="85" customFormat="1" ht="52.5" customHeight="1" x14ac:dyDescent="0.25">
      <c r="A35" s="83">
        <v>17</v>
      </c>
      <c r="B35" s="83" t="s">
        <v>289</v>
      </c>
      <c r="C35" s="84" t="s">
        <v>290</v>
      </c>
      <c r="D35" s="93" t="s">
        <v>291</v>
      </c>
      <c r="E35" s="83">
        <v>29</v>
      </c>
      <c r="F35" s="83">
        <v>27</v>
      </c>
      <c r="G35" s="83">
        <v>23</v>
      </c>
      <c r="H35" s="83">
        <v>23</v>
      </c>
      <c r="I35" s="83">
        <v>21</v>
      </c>
      <c r="J35" s="83">
        <v>8</v>
      </c>
      <c r="K35" s="83">
        <v>8</v>
      </c>
      <c r="L35" s="83">
        <v>8</v>
      </c>
      <c r="M35" s="83">
        <v>8</v>
      </c>
      <c r="N35" s="83">
        <v>8</v>
      </c>
      <c r="O35" s="83">
        <v>84</v>
      </c>
      <c r="P35" s="83">
        <v>93</v>
      </c>
      <c r="Q35" s="122">
        <v>15</v>
      </c>
      <c r="R35" s="122">
        <v>16</v>
      </c>
      <c r="S35" s="122">
        <v>14</v>
      </c>
      <c r="T35" s="122">
        <v>16</v>
      </c>
      <c r="U35" s="122">
        <v>13</v>
      </c>
      <c r="V35" s="110">
        <f t="shared" si="0"/>
        <v>82.375</v>
      </c>
      <c r="W35" s="110">
        <f t="shared" si="1"/>
        <v>81.125</v>
      </c>
      <c r="X35" s="110">
        <f t="shared" si="2"/>
        <v>78.625</v>
      </c>
      <c r="Y35" s="110">
        <f t="shared" si="3"/>
        <v>78.625</v>
      </c>
      <c r="Z35" s="110">
        <f t="shared" si="4"/>
        <v>77.375</v>
      </c>
      <c r="AA35" s="110">
        <f t="shared" si="7"/>
        <v>75</v>
      </c>
      <c r="AB35" s="110">
        <f t="shared" si="8"/>
        <v>80</v>
      </c>
      <c r="AC35" s="110">
        <f t="shared" si="9"/>
        <v>70</v>
      </c>
      <c r="AD35" s="110">
        <f t="shared" si="10"/>
        <v>80</v>
      </c>
      <c r="AE35" s="110">
        <f t="shared" si="11"/>
        <v>65</v>
      </c>
      <c r="AF35" s="110">
        <f t="shared" si="12"/>
        <v>77.95</v>
      </c>
      <c r="AG35" s="110">
        <f t="shared" si="13"/>
        <v>80.45</v>
      </c>
      <c r="AH35" s="110">
        <f t="shared" si="14"/>
        <v>73.45</v>
      </c>
      <c r="AI35" s="110">
        <f t="shared" si="15"/>
        <v>79.45</v>
      </c>
      <c r="AJ35" s="110">
        <f t="shared" si="16"/>
        <v>69.95</v>
      </c>
    </row>
    <row r="36" spans="1:36" s="85" customFormat="1" ht="52.5" customHeight="1" x14ac:dyDescent="0.25">
      <c r="A36" s="83">
        <v>18</v>
      </c>
      <c r="B36" s="83" t="s">
        <v>292</v>
      </c>
      <c r="C36" s="84" t="s">
        <v>293</v>
      </c>
      <c r="D36" s="93" t="s">
        <v>294</v>
      </c>
      <c r="E36" s="83">
        <v>30</v>
      </c>
      <c r="F36" s="83">
        <v>32</v>
      </c>
      <c r="G36" s="83">
        <v>31</v>
      </c>
      <c r="H36" s="83">
        <v>34</v>
      </c>
      <c r="I36" s="83">
        <v>26</v>
      </c>
      <c r="J36" s="83">
        <v>8</v>
      </c>
      <c r="K36" s="83">
        <v>8</v>
      </c>
      <c r="L36" s="83">
        <v>8</v>
      </c>
      <c r="M36" s="83">
        <v>8</v>
      </c>
      <c r="N36" s="83">
        <v>8</v>
      </c>
      <c r="O36" s="83">
        <v>90</v>
      </c>
      <c r="P36" s="83">
        <v>100</v>
      </c>
      <c r="Q36" s="122">
        <v>17</v>
      </c>
      <c r="R36" s="122">
        <v>14</v>
      </c>
      <c r="S36" s="122">
        <v>15</v>
      </c>
      <c r="T36" s="122">
        <v>15</v>
      </c>
      <c r="U36" s="122">
        <v>14</v>
      </c>
      <c r="V36" s="110">
        <f t="shared" si="0"/>
        <v>86.25</v>
      </c>
      <c r="W36" s="110">
        <f t="shared" si="1"/>
        <v>87.5</v>
      </c>
      <c r="X36" s="110">
        <f t="shared" si="2"/>
        <v>86.875</v>
      </c>
      <c r="Y36" s="110">
        <f t="shared" si="3"/>
        <v>88.75</v>
      </c>
      <c r="Z36" s="110">
        <f t="shared" si="4"/>
        <v>83.75</v>
      </c>
      <c r="AA36" s="110">
        <f t="shared" si="7"/>
        <v>85</v>
      </c>
      <c r="AB36" s="110">
        <f t="shared" si="8"/>
        <v>70</v>
      </c>
      <c r="AC36" s="110">
        <f t="shared" si="9"/>
        <v>75</v>
      </c>
      <c r="AD36" s="110">
        <f t="shared" si="10"/>
        <v>75</v>
      </c>
      <c r="AE36" s="110">
        <f t="shared" si="11"/>
        <v>70</v>
      </c>
      <c r="AF36" s="110">
        <f t="shared" si="12"/>
        <v>85.5</v>
      </c>
      <c r="AG36" s="110">
        <f t="shared" si="13"/>
        <v>77</v>
      </c>
      <c r="AH36" s="110">
        <f t="shared" si="14"/>
        <v>79.75</v>
      </c>
      <c r="AI36" s="110">
        <f t="shared" si="15"/>
        <v>80.5</v>
      </c>
      <c r="AJ36" s="110">
        <f t="shared" si="16"/>
        <v>75.5</v>
      </c>
    </row>
    <row r="37" spans="1:36" s="85" customFormat="1" ht="52.5" customHeight="1" x14ac:dyDescent="0.25">
      <c r="A37" s="83">
        <v>19</v>
      </c>
      <c r="B37" s="83" t="s">
        <v>295</v>
      </c>
      <c r="C37" s="84" t="s">
        <v>296</v>
      </c>
      <c r="D37" s="93" t="s">
        <v>297</v>
      </c>
      <c r="E37" s="83">
        <v>27</v>
      </c>
      <c r="F37" s="83">
        <v>35</v>
      </c>
      <c r="G37" s="83">
        <v>32</v>
      </c>
      <c r="H37" s="83">
        <v>33</v>
      </c>
      <c r="I37" s="83">
        <v>34</v>
      </c>
      <c r="J37" s="83">
        <v>10</v>
      </c>
      <c r="K37" s="83">
        <v>10</v>
      </c>
      <c r="L37" s="83">
        <v>10</v>
      </c>
      <c r="M37" s="83">
        <v>10</v>
      </c>
      <c r="N37" s="83">
        <v>10</v>
      </c>
      <c r="O37" s="83">
        <v>94</v>
      </c>
      <c r="P37" s="83">
        <v>100</v>
      </c>
      <c r="Q37" s="122">
        <v>18</v>
      </c>
      <c r="R37" s="122">
        <v>18</v>
      </c>
      <c r="S37" s="122">
        <v>17</v>
      </c>
      <c r="T37" s="122">
        <v>17</v>
      </c>
      <c r="U37" s="122">
        <v>18</v>
      </c>
      <c r="V37" s="110">
        <f t="shared" si="0"/>
        <v>90.375</v>
      </c>
      <c r="W37" s="110">
        <f t="shared" si="1"/>
        <v>95.375</v>
      </c>
      <c r="X37" s="110">
        <f t="shared" si="2"/>
        <v>93.5</v>
      </c>
      <c r="Y37" s="110">
        <f t="shared" si="3"/>
        <v>94.125</v>
      </c>
      <c r="Z37" s="110">
        <f t="shared" si="4"/>
        <v>94.75</v>
      </c>
      <c r="AA37" s="110">
        <f t="shared" si="7"/>
        <v>90</v>
      </c>
      <c r="AB37" s="110">
        <f t="shared" si="8"/>
        <v>90</v>
      </c>
      <c r="AC37" s="110">
        <f t="shared" si="9"/>
        <v>85</v>
      </c>
      <c r="AD37" s="110">
        <f t="shared" si="10"/>
        <v>85</v>
      </c>
      <c r="AE37" s="110">
        <f t="shared" si="11"/>
        <v>90</v>
      </c>
      <c r="AF37" s="110">
        <f t="shared" si="12"/>
        <v>90.15</v>
      </c>
      <c r="AG37" s="110">
        <f t="shared" si="13"/>
        <v>92.15</v>
      </c>
      <c r="AH37" s="110">
        <f t="shared" si="14"/>
        <v>88.4</v>
      </c>
      <c r="AI37" s="110">
        <f t="shared" si="15"/>
        <v>88.65</v>
      </c>
      <c r="AJ37" s="110">
        <f t="shared" si="16"/>
        <v>91.9</v>
      </c>
    </row>
    <row r="38" spans="1:36" s="85" customFormat="1" ht="52.5" customHeight="1" x14ac:dyDescent="0.25">
      <c r="A38" s="83">
        <v>20</v>
      </c>
      <c r="B38" s="83" t="s">
        <v>298</v>
      </c>
      <c r="C38" s="84" t="s">
        <v>299</v>
      </c>
      <c r="D38" s="93" t="s">
        <v>300</v>
      </c>
      <c r="E38" s="83">
        <v>15</v>
      </c>
      <c r="F38" s="83">
        <v>15</v>
      </c>
      <c r="G38" s="83">
        <v>3</v>
      </c>
      <c r="H38" s="83">
        <v>30</v>
      </c>
      <c r="I38" s="83">
        <v>25</v>
      </c>
      <c r="J38" s="83">
        <v>9</v>
      </c>
      <c r="K38" s="83">
        <v>9</v>
      </c>
      <c r="L38" s="83">
        <v>9</v>
      </c>
      <c r="M38" s="83">
        <v>9</v>
      </c>
      <c r="N38" s="83">
        <v>9</v>
      </c>
      <c r="O38" s="83">
        <v>100</v>
      </c>
      <c r="P38" s="83">
        <v>100</v>
      </c>
      <c r="Q38" s="122">
        <v>15</v>
      </c>
      <c r="R38" s="122">
        <v>14</v>
      </c>
      <c r="S38" s="122">
        <v>13</v>
      </c>
      <c r="T38" s="122">
        <v>14</v>
      </c>
      <c r="U38" s="122">
        <v>14</v>
      </c>
      <c r="V38" s="110">
        <f t="shared" si="0"/>
        <v>81.875</v>
      </c>
      <c r="W38" s="110">
        <f t="shared" si="1"/>
        <v>81.875</v>
      </c>
      <c r="X38" s="110">
        <f t="shared" si="2"/>
        <v>74.375</v>
      </c>
      <c r="Y38" s="110">
        <f t="shared" si="3"/>
        <v>91.25</v>
      </c>
      <c r="Z38" s="110">
        <f t="shared" si="4"/>
        <v>88.125</v>
      </c>
      <c r="AA38" s="110">
        <f t="shared" si="7"/>
        <v>75</v>
      </c>
      <c r="AB38" s="110">
        <f t="shared" si="8"/>
        <v>70</v>
      </c>
      <c r="AC38" s="110">
        <f t="shared" si="9"/>
        <v>65</v>
      </c>
      <c r="AD38" s="110">
        <f t="shared" si="10"/>
        <v>70</v>
      </c>
      <c r="AE38" s="110">
        <f t="shared" si="11"/>
        <v>70</v>
      </c>
      <c r="AF38" s="110">
        <f t="shared" si="12"/>
        <v>77.75</v>
      </c>
      <c r="AG38" s="110">
        <f t="shared" si="13"/>
        <v>74.75</v>
      </c>
      <c r="AH38" s="110">
        <f t="shared" si="14"/>
        <v>68.75</v>
      </c>
      <c r="AI38" s="110">
        <f t="shared" si="15"/>
        <v>78.5</v>
      </c>
      <c r="AJ38" s="110">
        <f t="shared" si="16"/>
        <v>77.25</v>
      </c>
    </row>
    <row r="39" spans="1:36" s="85" customFormat="1" ht="52.5" customHeight="1" x14ac:dyDescent="0.25">
      <c r="A39" s="83">
        <v>21</v>
      </c>
      <c r="B39" s="83" t="s">
        <v>301</v>
      </c>
      <c r="C39" s="84" t="s">
        <v>302</v>
      </c>
      <c r="D39" s="93" t="s">
        <v>303</v>
      </c>
      <c r="E39" s="83">
        <v>29</v>
      </c>
      <c r="F39" s="83">
        <v>30</v>
      </c>
      <c r="G39" s="83">
        <v>23</v>
      </c>
      <c r="H39" s="83">
        <v>33</v>
      </c>
      <c r="I39" s="83">
        <v>31</v>
      </c>
      <c r="J39" s="83">
        <v>9</v>
      </c>
      <c r="K39" s="83">
        <v>9</v>
      </c>
      <c r="L39" s="83">
        <v>9</v>
      </c>
      <c r="M39" s="83">
        <v>9</v>
      </c>
      <c r="N39" s="83">
        <v>9</v>
      </c>
      <c r="O39" s="83">
        <v>92</v>
      </c>
      <c r="P39" s="83">
        <v>100</v>
      </c>
      <c r="Q39" s="122">
        <v>18</v>
      </c>
      <c r="R39" s="122">
        <v>17</v>
      </c>
      <c r="S39" s="122">
        <v>17</v>
      </c>
      <c r="T39" s="122">
        <v>17</v>
      </c>
      <c r="U39" s="122">
        <v>17</v>
      </c>
      <c r="V39" s="110">
        <f t="shared" si="0"/>
        <v>88.625</v>
      </c>
      <c r="W39" s="110">
        <f t="shared" si="1"/>
        <v>89.25</v>
      </c>
      <c r="X39" s="110">
        <f t="shared" si="2"/>
        <v>84.875</v>
      </c>
      <c r="Y39" s="110">
        <f t="shared" si="3"/>
        <v>91.125</v>
      </c>
      <c r="Z39" s="110">
        <f t="shared" si="4"/>
        <v>89.875</v>
      </c>
      <c r="AA39" s="110">
        <f t="shared" si="7"/>
        <v>90</v>
      </c>
      <c r="AB39" s="110">
        <f t="shared" si="8"/>
        <v>85</v>
      </c>
      <c r="AC39" s="110">
        <f t="shared" si="9"/>
        <v>85</v>
      </c>
      <c r="AD39" s="110">
        <f t="shared" si="10"/>
        <v>85</v>
      </c>
      <c r="AE39" s="110">
        <f t="shared" si="11"/>
        <v>85</v>
      </c>
      <c r="AF39" s="110">
        <f t="shared" si="12"/>
        <v>89.45</v>
      </c>
      <c r="AG39" s="110">
        <f t="shared" si="13"/>
        <v>86.7</v>
      </c>
      <c r="AH39" s="110">
        <f t="shared" si="14"/>
        <v>84.95</v>
      </c>
      <c r="AI39" s="110">
        <f t="shared" si="15"/>
        <v>87.45</v>
      </c>
      <c r="AJ39" s="110">
        <f t="shared" si="16"/>
        <v>86.95</v>
      </c>
    </row>
    <row r="40" spans="1:36" s="85" customFormat="1" ht="52.5" customHeight="1" x14ac:dyDescent="0.25">
      <c r="A40" s="83">
        <v>22</v>
      </c>
      <c r="B40" s="83" t="s">
        <v>304</v>
      </c>
      <c r="C40" s="84" t="s">
        <v>305</v>
      </c>
      <c r="D40" s="93" t="s">
        <v>306</v>
      </c>
      <c r="E40" s="83">
        <v>29</v>
      </c>
      <c r="F40" s="83">
        <v>28</v>
      </c>
      <c r="G40" s="83">
        <v>25</v>
      </c>
      <c r="H40" s="83">
        <v>33</v>
      </c>
      <c r="I40" s="83">
        <v>33</v>
      </c>
      <c r="J40" s="83">
        <v>9</v>
      </c>
      <c r="K40" s="83">
        <v>9</v>
      </c>
      <c r="L40" s="83">
        <v>9</v>
      </c>
      <c r="M40" s="83">
        <v>9</v>
      </c>
      <c r="N40" s="83">
        <v>9</v>
      </c>
      <c r="O40" s="83">
        <v>88</v>
      </c>
      <c r="P40" s="83">
        <v>100</v>
      </c>
      <c r="Q40" s="122">
        <v>14</v>
      </c>
      <c r="R40" s="122">
        <v>14</v>
      </c>
      <c r="S40" s="122">
        <v>13</v>
      </c>
      <c r="T40" s="122">
        <v>13</v>
      </c>
      <c r="U40" s="122">
        <v>14</v>
      </c>
      <c r="V40" s="110">
        <f t="shared" si="0"/>
        <v>87.625</v>
      </c>
      <c r="W40" s="110">
        <f t="shared" si="1"/>
        <v>87</v>
      </c>
      <c r="X40" s="110">
        <f t="shared" si="2"/>
        <v>85.125</v>
      </c>
      <c r="Y40" s="110">
        <f t="shared" si="3"/>
        <v>90.125</v>
      </c>
      <c r="Z40" s="110">
        <f t="shared" si="4"/>
        <v>90.125</v>
      </c>
      <c r="AA40" s="110">
        <f t="shared" si="7"/>
        <v>70</v>
      </c>
      <c r="AB40" s="110">
        <f t="shared" si="8"/>
        <v>70</v>
      </c>
      <c r="AC40" s="110">
        <f t="shared" si="9"/>
        <v>65</v>
      </c>
      <c r="AD40" s="110">
        <f t="shared" si="10"/>
        <v>65</v>
      </c>
      <c r="AE40" s="110">
        <f t="shared" si="11"/>
        <v>70</v>
      </c>
      <c r="AF40" s="110">
        <f t="shared" si="12"/>
        <v>77.050000000000011</v>
      </c>
      <c r="AG40" s="110">
        <f t="shared" si="13"/>
        <v>76.800000000000011</v>
      </c>
      <c r="AH40" s="110">
        <f t="shared" si="14"/>
        <v>73.050000000000011</v>
      </c>
      <c r="AI40" s="110">
        <f t="shared" si="15"/>
        <v>75.050000000000011</v>
      </c>
      <c r="AJ40" s="110">
        <f t="shared" si="16"/>
        <v>78.050000000000011</v>
      </c>
    </row>
    <row r="41" spans="1:36" s="85" customFormat="1" ht="52.5" customHeight="1" x14ac:dyDescent="0.25">
      <c r="A41" s="83">
        <v>23</v>
      </c>
      <c r="B41" s="83" t="s">
        <v>307</v>
      </c>
      <c r="C41" s="84" t="s">
        <v>308</v>
      </c>
      <c r="D41" s="93" t="s">
        <v>309</v>
      </c>
      <c r="E41" s="83">
        <v>27</v>
      </c>
      <c r="F41" s="83">
        <v>21</v>
      </c>
      <c r="G41" s="83">
        <v>15</v>
      </c>
      <c r="H41" s="83">
        <v>30</v>
      </c>
      <c r="I41" s="83">
        <v>29</v>
      </c>
      <c r="J41" s="83">
        <v>8</v>
      </c>
      <c r="K41" s="83">
        <v>8</v>
      </c>
      <c r="L41" s="83">
        <v>8</v>
      </c>
      <c r="M41" s="83">
        <v>8</v>
      </c>
      <c r="N41" s="83">
        <v>8</v>
      </c>
      <c r="O41" s="83">
        <v>90</v>
      </c>
      <c r="P41" s="83">
        <v>100</v>
      </c>
      <c r="Q41" s="122">
        <v>17</v>
      </c>
      <c r="R41" s="122">
        <v>16</v>
      </c>
      <c r="S41" s="122">
        <v>15</v>
      </c>
      <c r="T41" s="122">
        <v>17</v>
      </c>
      <c r="U41" s="122">
        <v>16</v>
      </c>
      <c r="V41" s="110">
        <f t="shared" si="0"/>
        <v>84.375</v>
      </c>
      <c r="W41" s="110">
        <f t="shared" si="1"/>
        <v>80.625</v>
      </c>
      <c r="X41" s="110">
        <f t="shared" si="2"/>
        <v>76.875</v>
      </c>
      <c r="Y41" s="110">
        <f t="shared" si="3"/>
        <v>86.25</v>
      </c>
      <c r="Z41" s="110">
        <f t="shared" si="4"/>
        <v>85.625</v>
      </c>
      <c r="AA41" s="110">
        <f t="shared" si="7"/>
        <v>85</v>
      </c>
      <c r="AB41" s="110">
        <f t="shared" si="8"/>
        <v>80</v>
      </c>
      <c r="AC41" s="110">
        <f t="shared" si="9"/>
        <v>75</v>
      </c>
      <c r="AD41" s="110">
        <f t="shared" si="10"/>
        <v>85</v>
      </c>
      <c r="AE41" s="110">
        <f t="shared" si="11"/>
        <v>80</v>
      </c>
      <c r="AF41" s="110">
        <f t="shared" si="12"/>
        <v>84.75</v>
      </c>
      <c r="AG41" s="110">
        <f t="shared" si="13"/>
        <v>80.25</v>
      </c>
      <c r="AH41" s="110">
        <f t="shared" si="14"/>
        <v>75.75</v>
      </c>
      <c r="AI41" s="110">
        <f t="shared" si="15"/>
        <v>85.5</v>
      </c>
      <c r="AJ41" s="110">
        <f t="shared" si="16"/>
        <v>82.25</v>
      </c>
    </row>
    <row r="42" spans="1:36" s="85" customFormat="1" ht="52.5" customHeight="1" x14ac:dyDescent="0.25">
      <c r="A42" s="83">
        <v>24</v>
      </c>
      <c r="B42" s="83" t="s">
        <v>310</v>
      </c>
      <c r="C42" s="84" t="s">
        <v>311</v>
      </c>
      <c r="D42" s="93" t="s">
        <v>312</v>
      </c>
      <c r="E42" s="83">
        <v>12</v>
      </c>
      <c r="F42" s="83">
        <v>14</v>
      </c>
      <c r="G42" s="83">
        <v>3</v>
      </c>
      <c r="H42" s="83">
        <v>30</v>
      </c>
      <c r="I42" s="83">
        <v>30</v>
      </c>
      <c r="J42" s="83">
        <v>8</v>
      </c>
      <c r="K42" s="83">
        <v>8</v>
      </c>
      <c r="L42" s="83">
        <v>8</v>
      </c>
      <c r="M42" s="83">
        <v>8</v>
      </c>
      <c r="N42" s="83">
        <v>8</v>
      </c>
      <c r="O42" s="83">
        <v>94</v>
      </c>
      <c r="P42" s="83">
        <v>100</v>
      </c>
      <c r="Q42" s="122">
        <v>14</v>
      </c>
      <c r="R42" s="122">
        <v>13</v>
      </c>
      <c r="S42" s="122">
        <v>10</v>
      </c>
      <c r="T42" s="122">
        <v>12</v>
      </c>
      <c r="U42" s="122">
        <v>10</v>
      </c>
      <c r="V42" s="110">
        <f t="shared" si="0"/>
        <v>76</v>
      </c>
      <c r="W42" s="110">
        <f t="shared" si="1"/>
        <v>77.25</v>
      </c>
      <c r="X42" s="110">
        <f t="shared" si="2"/>
        <v>70.375</v>
      </c>
      <c r="Y42" s="110">
        <f t="shared" si="3"/>
        <v>87.25</v>
      </c>
      <c r="Z42" s="110">
        <f t="shared" si="4"/>
        <v>87.25</v>
      </c>
      <c r="AA42" s="110">
        <f t="shared" si="7"/>
        <v>70</v>
      </c>
      <c r="AB42" s="110">
        <f t="shared" si="8"/>
        <v>65</v>
      </c>
      <c r="AC42" s="110">
        <f t="shared" si="9"/>
        <v>50</v>
      </c>
      <c r="AD42" s="110">
        <f t="shared" si="10"/>
        <v>60</v>
      </c>
      <c r="AE42" s="110">
        <f t="shared" si="11"/>
        <v>50</v>
      </c>
      <c r="AF42" s="110">
        <f t="shared" si="12"/>
        <v>72.400000000000006</v>
      </c>
      <c r="AG42" s="110">
        <f t="shared" si="13"/>
        <v>69.900000000000006</v>
      </c>
      <c r="AH42" s="110">
        <f t="shared" si="14"/>
        <v>58.150000000000006</v>
      </c>
      <c r="AI42" s="110">
        <f t="shared" si="15"/>
        <v>70.900000000000006</v>
      </c>
      <c r="AJ42" s="110">
        <f t="shared" si="16"/>
        <v>64.900000000000006</v>
      </c>
    </row>
    <row r="43" spans="1:36" s="85" customFormat="1" ht="52.5" customHeight="1" x14ac:dyDescent="0.25">
      <c r="A43" s="83">
        <v>25</v>
      </c>
      <c r="B43" s="83" t="s">
        <v>313</v>
      </c>
      <c r="C43" s="84" t="s">
        <v>314</v>
      </c>
      <c r="D43" s="93" t="s">
        <v>315</v>
      </c>
      <c r="E43" s="83">
        <v>21</v>
      </c>
      <c r="F43" s="83">
        <v>25</v>
      </c>
      <c r="G43" s="83">
        <v>26</v>
      </c>
      <c r="H43" s="83">
        <v>28</v>
      </c>
      <c r="I43" s="83">
        <v>21</v>
      </c>
      <c r="J43" s="83">
        <v>9</v>
      </c>
      <c r="K43" s="83">
        <v>9</v>
      </c>
      <c r="L43" s="83">
        <v>9</v>
      </c>
      <c r="M43" s="83">
        <v>9</v>
      </c>
      <c r="N43" s="83">
        <v>9</v>
      </c>
      <c r="O43" s="83">
        <v>88</v>
      </c>
      <c r="P43" s="83">
        <v>100</v>
      </c>
      <c r="Q43" s="122">
        <v>17</v>
      </c>
      <c r="R43" s="122">
        <v>16</v>
      </c>
      <c r="S43" s="122">
        <v>15</v>
      </c>
      <c r="T43" s="122">
        <v>15</v>
      </c>
      <c r="U43" s="122">
        <v>15</v>
      </c>
      <c r="V43" s="110">
        <f t="shared" si="0"/>
        <v>82.625</v>
      </c>
      <c r="W43" s="110">
        <f t="shared" si="1"/>
        <v>85.125</v>
      </c>
      <c r="X43" s="110">
        <f t="shared" si="2"/>
        <v>85.75</v>
      </c>
      <c r="Y43" s="110">
        <f t="shared" si="3"/>
        <v>87</v>
      </c>
      <c r="Z43" s="110">
        <f t="shared" si="4"/>
        <v>82.625</v>
      </c>
      <c r="AA43" s="110">
        <f t="shared" si="7"/>
        <v>85</v>
      </c>
      <c r="AB43" s="110">
        <f t="shared" si="8"/>
        <v>80</v>
      </c>
      <c r="AC43" s="110">
        <f t="shared" si="9"/>
        <v>75</v>
      </c>
      <c r="AD43" s="110">
        <f t="shared" si="10"/>
        <v>75</v>
      </c>
      <c r="AE43" s="110">
        <f t="shared" si="11"/>
        <v>75</v>
      </c>
      <c r="AF43" s="110">
        <f t="shared" si="12"/>
        <v>84.050000000000011</v>
      </c>
      <c r="AG43" s="110">
        <f t="shared" si="13"/>
        <v>82.050000000000011</v>
      </c>
      <c r="AH43" s="110">
        <f t="shared" si="14"/>
        <v>79.300000000000011</v>
      </c>
      <c r="AI43" s="110">
        <f t="shared" si="15"/>
        <v>79.800000000000011</v>
      </c>
      <c r="AJ43" s="110">
        <f t="shared" si="16"/>
        <v>78.050000000000011</v>
      </c>
    </row>
    <row r="44" spans="1:36" s="85" customFormat="1" ht="52.5" customHeight="1" x14ac:dyDescent="0.25">
      <c r="A44" s="83">
        <v>26</v>
      </c>
      <c r="B44" s="83" t="s">
        <v>316</v>
      </c>
      <c r="C44" s="84" t="s">
        <v>317</v>
      </c>
      <c r="D44" s="93" t="s">
        <v>318</v>
      </c>
      <c r="E44" s="83">
        <v>30</v>
      </c>
      <c r="F44" s="83">
        <v>18</v>
      </c>
      <c r="G44" s="83">
        <v>22</v>
      </c>
      <c r="H44" s="83">
        <v>32</v>
      </c>
      <c r="I44" s="83">
        <v>20</v>
      </c>
      <c r="J44" s="83">
        <v>8</v>
      </c>
      <c r="K44" s="83">
        <v>8</v>
      </c>
      <c r="L44" s="83">
        <v>8</v>
      </c>
      <c r="M44" s="83">
        <v>8</v>
      </c>
      <c r="N44" s="83">
        <v>8</v>
      </c>
      <c r="O44" s="83">
        <v>86</v>
      </c>
      <c r="P44" s="83">
        <v>100</v>
      </c>
      <c r="Q44" s="122">
        <v>14</v>
      </c>
      <c r="R44" s="122">
        <v>10</v>
      </c>
      <c r="S44" s="122">
        <v>12</v>
      </c>
      <c r="T44" s="122">
        <v>11</v>
      </c>
      <c r="U44" s="122">
        <v>9</v>
      </c>
      <c r="V44" s="110">
        <f t="shared" si="0"/>
        <v>85.25</v>
      </c>
      <c r="W44" s="110">
        <f t="shared" si="1"/>
        <v>77.75</v>
      </c>
      <c r="X44" s="110">
        <f t="shared" si="2"/>
        <v>80.25</v>
      </c>
      <c r="Y44" s="110">
        <f t="shared" si="3"/>
        <v>86.5</v>
      </c>
      <c r="Z44" s="110">
        <f t="shared" si="4"/>
        <v>79</v>
      </c>
      <c r="AA44" s="110">
        <f t="shared" si="7"/>
        <v>70</v>
      </c>
      <c r="AB44" s="110">
        <f t="shared" si="8"/>
        <v>50</v>
      </c>
      <c r="AC44" s="110">
        <f t="shared" si="9"/>
        <v>60</v>
      </c>
      <c r="AD44" s="110">
        <f t="shared" si="10"/>
        <v>55.000000000000007</v>
      </c>
      <c r="AE44" s="110">
        <f t="shared" si="11"/>
        <v>45</v>
      </c>
      <c r="AF44" s="110">
        <f t="shared" si="12"/>
        <v>76.099999999999994</v>
      </c>
      <c r="AG44" s="110">
        <f t="shared" si="13"/>
        <v>61.1</v>
      </c>
      <c r="AH44" s="110">
        <f t="shared" si="14"/>
        <v>68.099999999999994</v>
      </c>
      <c r="AI44" s="110">
        <f t="shared" si="15"/>
        <v>67.599999999999994</v>
      </c>
      <c r="AJ44" s="110">
        <f t="shared" si="16"/>
        <v>58.6</v>
      </c>
    </row>
    <row r="45" spans="1:36" s="85" customFormat="1" ht="52.5" customHeight="1" x14ac:dyDescent="0.25">
      <c r="A45" s="83">
        <v>27</v>
      </c>
      <c r="B45" s="83" t="s">
        <v>319</v>
      </c>
      <c r="C45" s="84" t="s">
        <v>320</v>
      </c>
      <c r="D45" s="93" t="s">
        <v>321</v>
      </c>
      <c r="E45" s="83">
        <v>16</v>
      </c>
      <c r="F45" s="83">
        <v>11</v>
      </c>
      <c r="G45" s="83">
        <v>15</v>
      </c>
      <c r="H45" s="83">
        <v>28</v>
      </c>
      <c r="I45" s="83">
        <v>28</v>
      </c>
      <c r="J45" s="83">
        <v>9</v>
      </c>
      <c r="K45" s="83">
        <v>9</v>
      </c>
      <c r="L45" s="83">
        <v>9</v>
      </c>
      <c r="M45" s="83">
        <v>9</v>
      </c>
      <c r="N45" s="83">
        <v>9</v>
      </c>
      <c r="O45" s="83">
        <v>88</v>
      </c>
      <c r="P45" s="83">
        <v>98</v>
      </c>
      <c r="Q45" s="122">
        <v>13</v>
      </c>
      <c r="R45" s="122">
        <v>14</v>
      </c>
      <c r="S45" s="122">
        <v>12</v>
      </c>
      <c r="T45" s="122">
        <v>8</v>
      </c>
      <c r="U45" s="122">
        <v>8</v>
      </c>
      <c r="V45" s="110">
        <f t="shared" si="0"/>
        <v>79</v>
      </c>
      <c r="W45" s="110">
        <f t="shared" si="1"/>
        <v>75.875</v>
      </c>
      <c r="X45" s="110">
        <f t="shared" si="2"/>
        <v>78.375</v>
      </c>
      <c r="Y45" s="110">
        <f t="shared" si="3"/>
        <v>86.5</v>
      </c>
      <c r="Z45" s="110">
        <f t="shared" si="4"/>
        <v>86.5</v>
      </c>
      <c r="AA45" s="110">
        <f t="shared" si="7"/>
        <v>65</v>
      </c>
      <c r="AB45" s="110">
        <f t="shared" si="8"/>
        <v>70</v>
      </c>
      <c r="AC45" s="110">
        <f t="shared" si="9"/>
        <v>60</v>
      </c>
      <c r="AD45" s="110">
        <f t="shared" si="10"/>
        <v>40</v>
      </c>
      <c r="AE45" s="110">
        <f t="shared" si="11"/>
        <v>40</v>
      </c>
      <c r="AF45" s="110">
        <f t="shared" si="12"/>
        <v>70.599999999999994</v>
      </c>
      <c r="AG45" s="110">
        <f t="shared" si="13"/>
        <v>72.349999999999994</v>
      </c>
      <c r="AH45" s="110">
        <f t="shared" si="14"/>
        <v>67.349999999999994</v>
      </c>
      <c r="AI45" s="110">
        <f t="shared" si="15"/>
        <v>58.6</v>
      </c>
      <c r="AJ45" s="110">
        <f t="shared" si="16"/>
        <v>58.6</v>
      </c>
    </row>
    <row r="46" spans="1:36" s="85" customFormat="1" ht="52.5" customHeight="1" x14ac:dyDescent="0.25">
      <c r="A46" s="83">
        <v>28</v>
      </c>
      <c r="B46" s="83" t="s">
        <v>322</v>
      </c>
      <c r="C46" s="84" t="s">
        <v>323</v>
      </c>
      <c r="D46" s="93" t="s">
        <v>324</v>
      </c>
      <c r="E46" s="83">
        <v>30</v>
      </c>
      <c r="F46" s="83">
        <v>30</v>
      </c>
      <c r="G46" s="83">
        <v>31</v>
      </c>
      <c r="H46" s="83">
        <v>33</v>
      </c>
      <c r="I46" s="83">
        <v>34</v>
      </c>
      <c r="J46" s="83">
        <v>9</v>
      </c>
      <c r="K46" s="83">
        <v>9</v>
      </c>
      <c r="L46" s="83">
        <v>9</v>
      </c>
      <c r="M46" s="83">
        <v>9</v>
      </c>
      <c r="N46" s="83">
        <v>9</v>
      </c>
      <c r="O46" s="83">
        <v>90</v>
      </c>
      <c r="P46" s="83">
        <v>100</v>
      </c>
      <c r="Q46" s="122">
        <v>15</v>
      </c>
      <c r="R46" s="122">
        <v>17</v>
      </c>
      <c r="S46" s="122">
        <v>17</v>
      </c>
      <c r="T46" s="122">
        <v>14</v>
      </c>
      <c r="U46" s="122">
        <v>16</v>
      </c>
      <c r="V46" s="110">
        <f t="shared" si="0"/>
        <v>88.75</v>
      </c>
      <c r="W46" s="110">
        <f t="shared" si="1"/>
        <v>88.75</v>
      </c>
      <c r="X46" s="110">
        <f t="shared" si="2"/>
        <v>89.375</v>
      </c>
      <c r="Y46" s="110">
        <f t="shared" si="3"/>
        <v>90.625</v>
      </c>
      <c r="Z46" s="110">
        <f t="shared" si="4"/>
        <v>91.25</v>
      </c>
      <c r="AA46" s="110">
        <f t="shared" si="7"/>
        <v>75</v>
      </c>
      <c r="AB46" s="110">
        <f t="shared" si="8"/>
        <v>85</v>
      </c>
      <c r="AC46" s="110">
        <f t="shared" si="9"/>
        <v>85</v>
      </c>
      <c r="AD46" s="110">
        <f t="shared" si="10"/>
        <v>70</v>
      </c>
      <c r="AE46" s="110">
        <f t="shared" si="11"/>
        <v>80</v>
      </c>
      <c r="AF46" s="110">
        <f t="shared" si="12"/>
        <v>80.5</v>
      </c>
      <c r="AG46" s="110">
        <f t="shared" si="13"/>
        <v>86.5</v>
      </c>
      <c r="AH46" s="110">
        <f t="shared" si="14"/>
        <v>86.75</v>
      </c>
      <c r="AI46" s="110">
        <f t="shared" si="15"/>
        <v>78.25</v>
      </c>
      <c r="AJ46" s="110">
        <f t="shared" si="16"/>
        <v>84.5</v>
      </c>
    </row>
    <row r="47" spans="1:36" s="85" customFormat="1" ht="52.5" customHeight="1" x14ac:dyDescent="0.25">
      <c r="A47" s="83">
        <v>29</v>
      </c>
      <c r="B47" s="83" t="s">
        <v>325</v>
      </c>
      <c r="C47" s="84" t="s">
        <v>326</v>
      </c>
      <c r="D47" s="93" t="s">
        <v>327</v>
      </c>
      <c r="E47" s="83">
        <v>23</v>
      </c>
      <c r="F47" s="83">
        <v>22</v>
      </c>
      <c r="G47" s="83">
        <v>28</v>
      </c>
      <c r="H47" s="83">
        <v>24</v>
      </c>
      <c r="I47" s="83">
        <v>20</v>
      </c>
      <c r="J47" s="83">
        <v>9</v>
      </c>
      <c r="K47" s="83">
        <v>9</v>
      </c>
      <c r="L47" s="83">
        <v>9</v>
      </c>
      <c r="M47" s="83">
        <v>9</v>
      </c>
      <c r="N47" s="83">
        <v>9</v>
      </c>
      <c r="O47" s="83">
        <v>90</v>
      </c>
      <c r="P47" s="83">
        <v>100</v>
      </c>
      <c r="Q47" s="122">
        <v>13</v>
      </c>
      <c r="R47" s="122">
        <v>12</v>
      </c>
      <c r="S47" s="122">
        <v>14</v>
      </c>
      <c r="T47" s="122">
        <v>14</v>
      </c>
      <c r="U47" s="122">
        <v>14</v>
      </c>
      <c r="V47" s="110">
        <f t="shared" si="0"/>
        <v>84.375</v>
      </c>
      <c r="W47" s="110">
        <f t="shared" si="1"/>
        <v>83.75</v>
      </c>
      <c r="X47" s="110">
        <f t="shared" si="2"/>
        <v>87.5</v>
      </c>
      <c r="Y47" s="110">
        <f t="shared" si="3"/>
        <v>85</v>
      </c>
      <c r="Z47" s="110">
        <f t="shared" si="4"/>
        <v>82.5</v>
      </c>
      <c r="AA47" s="110">
        <f t="shared" si="7"/>
        <v>65</v>
      </c>
      <c r="AB47" s="110">
        <f t="shared" si="8"/>
        <v>60</v>
      </c>
      <c r="AC47" s="110">
        <f t="shared" si="9"/>
        <v>70</v>
      </c>
      <c r="AD47" s="110">
        <f t="shared" si="10"/>
        <v>70</v>
      </c>
      <c r="AE47" s="110">
        <f t="shared" si="11"/>
        <v>70</v>
      </c>
      <c r="AF47" s="110">
        <f t="shared" si="12"/>
        <v>72.75</v>
      </c>
      <c r="AG47" s="110">
        <f t="shared" si="13"/>
        <v>69.5</v>
      </c>
      <c r="AH47" s="110">
        <f t="shared" si="14"/>
        <v>77</v>
      </c>
      <c r="AI47" s="110">
        <f t="shared" si="15"/>
        <v>76</v>
      </c>
      <c r="AJ47" s="110">
        <f t="shared" si="16"/>
        <v>75</v>
      </c>
    </row>
    <row r="48" spans="1:36" s="85" customFormat="1" ht="52.5" customHeight="1" x14ac:dyDescent="0.25">
      <c r="A48" s="83">
        <v>30</v>
      </c>
      <c r="B48" s="83" t="s">
        <v>328</v>
      </c>
      <c r="C48" s="84" t="s">
        <v>329</v>
      </c>
      <c r="D48" s="93" t="s">
        <v>330</v>
      </c>
      <c r="E48" s="83">
        <v>26</v>
      </c>
      <c r="F48" s="83">
        <v>23</v>
      </c>
      <c r="G48" s="83">
        <v>26</v>
      </c>
      <c r="H48" s="83">
        <v>28</v>
      </c>
      <c r="I48" s="83">
        <v>25</v>
      </c>
      <c r="J48" s="83">
        <v>9</v>
      </c>
      <c r="K48" s="83">
        <v>9</v>
      </c>
      <c r="L48" s="83">
        <v>9</v>
      </c>
      <c r="M48" s="83">
        <v>9</v>
      </c>
      <c r="N48" s="83">
        <v>9</v>
      </c>
      <c r="O48" s="83">
        <v>90</v>
      </c>
      <c r="P48" s="83">
        <v>93</v>
      </c>
      <c r="Q48" s="122">
        <v>16</v>
      </c>
      <c r="R48" s="122">
        <v>14</v>
      </c>
      <c r="S48" s="122">
        <v>13</v>
      </c>
      <c r="T48" s="122">
        <v>14</v>
      </c>
      <c r="U48" s="122">
        <v>15</v>
      </c>
      <c r="V48" s="110">
        <f t="shared" si="0"/>
        <v>84.5</v>
      </c>
      <c r="W48" s="110">
        <f t="shared" si="1"/>
        <v>82.625</v>
      </c>
      <c r="X48" s="110">
        <f t="shared" si="2"/>
        <v>84.5</v>
      </c>
      <c r="Y48" s="110">
        <f t="shared" si="3"/>
        <v>85.75</v>
      </c>
      <c r="Z48" s="110">
        <f t="shared" si="4"/>
        <v>83.875</v>
      </c>
      <c r="AA48" s="110">
        <f t="shared" si="7"/>
        <v>80</v>
      </c>
      <c r="AB48" s="110">
        <f t="shared" si="8"/>
        <v>70</v>
      </c>
      <c r="AC48" s="110">
        <f t="shared" si="9"/>
        <v>65</v>
      </c>
      <c r="AD48" s="110">
        <f t="shared" si="10"/>
        <v>70</v>
      </c>
      <c r="AE48" s="110">
        <f t="shared" si="11"/>
        <v>75</v>
      </c>
      <c r="AF48" s="110">
        <f t="shared" si="12"/>
        <v>81.800000000000011</v>
      </c>
      <c r="AG48" s="110">
        <f t="shared" si="13"/>
        <v>75.050000000000011</v>
      </c>
      <c r="AH48" s="110">
        <f t="shared" si="14"/>
        <v>72.800000000000011</v>
      </c>
      <c r="AI48" s="110">
        <f t="shared" si="15"/>
        <v>76.300000000000011</v>
      </c>
      <c r="AJ48" s="110">
        <f t="shared" si="16"/>
        <v>78.550000000000011</v>
      </c>
    </row>
    <row r="49" spans="1:36" s="85" customFormat="1" ht="52.5" customHeight="1" x14ac:dyDescent="0.25">
      <c r="A49" s="83">
        <v>31</v>
      </c>
      <c r="B49" s="83" t="s">
        <v>331</v>
      </c>
      <c r="C49" s="84" t="s">
        <v>332</v>
      </c>
      <c r="D49" s="93" t="s">
        <v>333</v>
      </c>
      <c r="E49" s="83">
        <v>29</v>
      </c>
      <c r="F49" s="83">
        <v>27</v>
      </c>
      <c r="G49" s="83">
        <v>29</v>
      </c>
      <c r="H49" s="83">
        <v>31</v>
      </c>
      <c r="I49" s="83">
        <v>28</v>
      </c>
      <c r="J49" s="83">
        <v>9</v>
      </c>
      <c r="K49" s="83">
        <v>9</v>
      </c>
      <c r="L49" s="83">
        <v>9</v>
      </c>
      <c r="M49" s="83">
        <v>9</v>
      </c>
      <c r="N49" s="83">
        <v>9</v>
      </c>
      <c r="O49" s="83">
        <v>92</v>
      </c>
      <c r="P49" s="83">
        <v>100</v>
      </c>
      <c r="Q49" s="122">
        <v>18</v>
      </c>
      <c r="R49" s="122">
        <v>17</v>
      </c>
      <c r="S49" s="122">
        <v>13</v>
      </c>
      <c r="T49" s="122">
        <v>16</v>
      </c>
      <c r="U49" s="122">
        <v>17</v>
      </c>
      <c r="V49" s="110">
        <f t="shared" si="0"/>
        <v>88.625</v>
      </c>
      <c r="W49" s="110">
        <f t="shared" si="1"/>
        <v>87.375</v>
      </c>
      <c r="X49" s="110">
        <f t="shared" si="2"/>
        <v>88.625</v>
      </c>
      <c r="Y49" s="110">
        <f t="shared" si="3"/>
        <v>89.875</v>
      </c>
      <c r="Z49" s="110">
        <f t="shared" si="4"/>
        <v>88</v>
      </c>
      <c r="AA49" s="110">
        <f t="shared" si="7"/>
        <v>90</v>
      </c>
      <c r="AB49" s="110">
        <f t="shared" si="8"/>
        <v>85</v>
      </c>
      <c r="AC49" s="110">
        <f t="shared" si="9"/>
        <v>65</v>
      </c>
      <c r="AD49" s="110">
        <f t="shared" si="10"/>
        <v>80</v>
      </c>
      <c r="AE49" s="110">
        <f t="shared" si="11"/>
        <v>85</v>
      </c>
      <c r="AF49" s="110">
        <f t="shared" si="12"/>
        <v>89.45</v>
      </c>
      <c r="AG49" s="110">
        <f t="shared" si="13"/>
        <v>85.95</v>
      </c>
      <c r="AH49" s="110">
        <f t="shared" si="14"/>
        <v>74.45</v>
      </c>
      <c r="AI49" s="110">
        <f t="shared" si="15"/>
        <v>83.95</v>
      </c>
      <c r="AJ49" s="110">
        <f t="shared" si="16"/>
        <v>86.2</v>
      </c>
    </row>
    <row r="50" spans="1:36" s="85" customFormat="1" ht="52.5" customHeight="1" x14ac:dyDescent="0.25">
      <c r="A50" s="83">
        <v>32</v>
      </c>
      <c r="B50" s="83" t="s">
        <v>334</v>
      </c>
      <c r="C50" s="84" t="s">
        <v>335</v>
      </c>
      <c r="D50" s="93" t="s">
        <v>336</v>
      </c>
      <c r="E50" s="83">
        <v>31</v>
      </c>
      <c r="F50" s="83">
        <v>25</v>
      </c>
      <c r="G50" s="83">
        <v>24</v>
      </c>
      <c r="H50" s="83">
        <v>34</v>
      </c>
      <c r="I50" s="83">
        <v>22</v>
      </c>
      <c r="J50" s="83">
        <v>9</v>
      </c>
      <c r="K50" s="83">
        <v>9</v>
      </c>
      <c r="L50" s="83">
        <v>9</v>
      </c>
      <c r="M50" s="83">
        <v>9</v>
      </c>
      <c r="N50" s="83">
        <v>9</v>
      </c>
      <c r="O50" s="83">
        <v>90</v>
      </c>
      <c r="P50" s="83">
        <v>98</v>
      </c>
      <c r="Q50" s="122">
        <v>15</v>
      </c>
      <c r="R50" s="122">
        <v>13</v>
      </c>
      <c r="S50" s="122">
        <v>11</v>
      </c>
      <c r="T50" s="122">
        <v>13</v>
      </c>
      <c r="U50" s="122">
        <v>13</v>
      </c>
      <c r="V50" s="110">
        <f t="shared" si="0"/>
        <v>88.875</v>
      </c>
      <c r="W50" s="110">
        <f t="shared" si="1"/>
        <v>85.125</v>
      </c>
      <c r="X50" s="110">
        <f t="shared" si="2"/>
        <v>84.5</v>
      </c>
      <c r="Y50" s="110">
        <f t="shared" si="3"/>
        <v>90.75</v>
      </c>
      <c r="Z50" s="110">
        <f t="shared" si="4"/>
        <v>83.25</v>
      </c>
      <c r="AA50" s="110">
        <f t="shared" si="7"/>
        <v>75</v>
      </c>
      <c r="AB50" s="110">
        <f t="shared" si="8"/>
        <v>65</v>
      </c>
      <c r="AC50" s="110">
        <f t="shared" si="9"/>
        <v>55.000000000000007</v>
      </c>
      <c r="AD50" s="110">
        <f t="shared" si="10"/>
        <v>65</v>
      </c>
      <c r="AE50" s="110">
        <f t="shared" si="11"/>
        <v>65</v>
      </c>
      <c r="AF50" s="110">
        <f t="shared" si="12"/>
        <v>80.550000000000011</v>
      </c>
      <c r="AG50" s="110">
        <f t="shared" si="13"/>
        <v>73.050000000000011</v>
      </c>
      <c r="AH50" s="110">
        <f t="shared" si="14"/>
        <v>66.800000000000011</v>
      </c>
      <c r="AI50" s="110">
        <f t="shared" si="15"/>
        <v>75.300000000000011</v>
      </c>
      <c r="AJ50" s="110">
        <f t="shared" si="16"/>
        <v>72.300000000000011</v>
      </c>
    </row>
    <row r="51" spans="1:36" s="85" customFormat="1" ht="52.5" customHeight="1" x14ac:dyDescent="0.25">
      <c r="A51" s="83">
        <v>33</v>
      </c>
      <c r="B51" s="83" t="s">
        <v>337</v>
      </c>
      <c r="C51" s="84" t="s">
        <v>338</v>
      </c>
      <c r="D51" s="93" t="s">
        <v>339</v>
      </c>
      <c r="E51" s="83">
        <v>24</v>
      </c>
      <c r="F51" s="83">
        <v>23</v>
      </c>
      <c r="G51" s="83">
        <v>23</v>
      </c>
      <c r="H51" s="83">
        <v>30</v>
      </c>
      <c r="I51" s="83">
        <v>22</v>
      </c>
      <c r="J51" s="83">
        <v>9</v>
      </c>
      <c r="K51" s="83">
        <v>9</v>
      </c>
      <c r="L51" s="83">
        <v>9</v>
      </c>
      <c r="M51" s="83">
        <v>9</v>
      </c>
      <c r="N51" s="83">
        <v>9</v>
      </c>
      <c r="O51" s="83">
        <v>90</v>
      </c>
      <c r="P51" s="83">
        <v>93</v>
      </c>
      <c r="Q51" s="122">
        <v>13</v>
      </c>
      <c r="R51" s="122">
        <v>12</v>
      </c>
      <c r="S51" s="122">
        <v>17</v>
      </c>
      <c r="T51" s="122">
        <v>16</v>
      </c>
      <c r="U51" s="122">
        <v>15</v>
      </c>
      <c r="V51" s="110">
        <f t="shared" si="0"/>
        <v>83.25</v>
      </c>
      <c r="W51" s="110">
        <f t="shared" si="1"/>
        <v>82.625</v>
      </c>
      <c r="X51" s="110">
        <f t="shared" si="2"/>
        <v>82.625</v>
      </c>
      <c r="Y51" s="110">
        <f t="shared" si="3"/>
        <v>87</v>
      </c>
      <c r="Z51" s="110">
        <f t="shared" si="4"/>
        <v>82</v>
      </c>
      <c r="AA51" s="110">
        <f t="shared" si="7"/>
        <v>65</v>
      </c>
      <c r="AB51" s="110">
        <f t="shared" si="8"/>
        <v>60</v>
      </c>
      <c r="AC51" s="110">
        <f t="shared" si="9"/>
        <v>85</v>
      </c>
      <c r="AD51" s="110">
        <f t="shared" si="10"/>
        <v>80</v>
      </c>
      <c r="AE51" s="110">
        <f t="shared" si="11"/>
        <v>75</v>
      </c>
      <c r="AF51" s="110">
        <f t="shared" si="12"/>
        <v>72.300000000000011</v>
      </c>
      <c r="AG51" s="110">
        <f t="shared" si="13"/>
        <v>69.050000000000011</v>
      </c>
      <c r="AH51" s="110">
        <f t="shared" si="14"/>
        <v>84.050000000000011</v>
      </c>
      <c r="AI51" s="110">
        <f t="shared" si="15"/>
        <v>82.800000000000011</v>
      </c>
      <c r="AJ51" s="110">
        <f t="shared" si="16"/>
        <v>77.800000000000011</v>
      </c>
    </row>
    <row r="52" spans="1:36" s="85" customFormat="1" ht="52.5" customHeight="1" x14ac:dyDescent="0.25">
      <c r="A52" s="83">
        <v>34</v>
      </c>
      <c r="B52" s="83" t="s">
        <v>340</v>
      </c>
      <c r="C52" s="84" t="s">
        <v>341</v>
      </c>
      <c r="D52" s="93" t="s">
        <v>342</v>
      </c>
      <c r="E52" s="83">
        <v>26</v>
      </c>
      <c r="F52" s="83">
        <v>25</v>
      </c>
      <c r="G52" s="83">
        <v>21</v>
      </c>
      <c r="H52" s="83">
        <v>29</v>
      </c>
      <c r="I52" s="83">
        <v>26</v>
      </c>
      <c r="J52" s="83">
        <v>9</v>
      </c>
      <c r="K52" s="83">
        <v>9</v>
      </c>
      <c r="L52" s="83">
        <v>9</v>
      </c>
      <c r="M52" s="83">
        <v>9</v>
      </c>
      <c r="N52" s="83">
        <v>9</v>
      </c>
      <c r="O52" s="83">
        <v>90</v>
      </c>
      <c r="P52" s="83">
        <v>100</v>
      </c>
      <c r="Q52" s="122">
        <v>15</v>
      </c>
      <c r="R52" s="122">
        <v>12</v>
      </c>
      <c r="S52" s="122">
        <v>13</v>
      </c>
      <c r="T52" s="122">
        <v>14</v>
      </c>
      <c r="U52" s="122">
        <v>13</v>
      </c>
      <c r="V52" s="110">
        <f t="shared" si="0"/>
        <v>86.25</v>
      </c>
      <c r="W52" s="110">
        <f t="shared" si="1"/>
        <v>85.625</v>
      </c>
      <c r="X52" s="110">
        <f t="shared" si="2"/>
        <v>83.125</v>
      </c>
      <c r="Y52" s="110">
        <f t="shared" si="3"/>
        <v>88.125</v>
      </c>
      <c r="Z52" s="110">
        <f t="shared" si="4"/>
        <v>86.25</v>
      </c>
      <c r="AA52" s="110">
        <f t="shared" si="7"/>
        <v>75</v>
      </c>
      <c r="AB52" s="110">
        <f t="shared" si="8"/>
        <v>60</v>
      </c>
      <c r="AC52" s="110">
        <f t="shared" si="9"/>
        <v>65</v>
      </c>
      <c r="AD52" s="110">
        <f t="shared" si="10"/>
        <v>70</v>
      </c>
      <c r="AE52" s="110">
        <f t="shared" si="11"/>
        <v>65</v>
      </c>
      <c r="AF52" s="110">
        <f t="shared" si="12"/>
        <v>79.5</v>
      </c>
      <c r="AG52" s="110">
        <f t="shared" si="13"/>
        <v>70.25</v>
      </c>
      <c r="AH52" s="110">
        <f t="shared" si="14"/>
        <v>72.25</v>
      </c>
      <c r="AI52" s="110">
        <f t="shared" si="15"/>
        <v>77.25</v>
      </c>
      <c r="AJ52" s="110">
        <f t="shared" si="16"/>
        <v>73.5</v>
      </c>
    </row>
    <row r="53" spans="1:36" s="85" customFormat="1" ht="52.5" customHeight="1" x14ac:dyDescent="0.25">
      <c r="A53" s="83">
        <v>35</v>
      </c>
      <c r="B53" s="83" t="s">
        <v>343</v>
      </c>
      <c r="C53" s="84" t="s">
        <v>344</v>
      </c>
      <c r="D53" s="93" t="s">
        <v>345</v>
      </c>
      <c r="E53" s="83">
        <v>26</v>
      </c>
      <c r="F53" s="83">
        <v>28</v>
      </c>
      <c r="G53" s="83">
        <v>31</v>
      </c>
      <c r="H53" s="83">
        <v>24</v>
      </c>
      <c r="I53" s="83">
        <v>21</v>
      </c>
      <c r="J53" s="83">
        <v>9</v>
      </c>
      <c r="K53" s="83">
        <v>9</v>
      </c>
      <c r="L53" s="83">
        <v>9</v>
      </c>
      <c r="M53" s="83">
        <v>9</v>
      </c>
      <c r="N53" s="83">
        <v>9</v>
      </c>
      <c r="O53" s="83">
        <v>96</v>
      </c>
      <c r="P53" s="83">
        <v>100</v>
      </c>
      <c r="Q53" s="122">
        <v>17</v>
      </c>
      <c r="R53" s="122">
        <v>16</v>
      </c>
      <c r="S53" s="122">
        <v>16</v>
      </c>
      <c r="T53" s="122">
        <v>13</v>
      </c>
      <c r="U53" s="122">
        <v>13</v>
      </c>
      <c r="V53" s="110">
        <f t="shared" si="0"/>
        <v>87.75</v>
      </c>
      <c r="W53" s="110">
        <f t="shared" si="1"/>
        <v>89</v>
      </c>
      <c r="X53" s="110">
        <f t="shared" si="2"/>
        <v>90.875</v>
      </c>
      <c r="Y53" s="110">
        <f t="shared" si="3"/>
        <v>86.5</v>
      </c>
      <c r="Z53" s="110">
        <f t="shared" si="4"/>
        <v>84.625</v>
      </c>
      <c r="AA53" s="110">
        <f t="shared" si="7"/>
        <v>85</v>
      </c>
      <c r="AB53" s="110">
        <f t="shared" si="8"/>
        <v>80</v>
      </c>
      <c r="AC53" s="110">
        <f t="shared" si="9"/>
        <v>80</v>
      </c>
      <c r="AD53" s="110">
        <f t="shared" si="10"/>
        <v>65</v>
      </c>
      <c r="AE53" s="110">
        <f t="shared" si="11"/>
        <v>65</v>
      </c>
      <c r="AF53" s="110">
        <f t="shared" si="12"/>
        <v>86.1</v>
      </c>
      <c r="AG53" s="110">
        <f t="shared" si="13"/>
        <v>83.6</v>
      </c>
      <c r="AH53" s="110">
        <f t="shared" si="14"/>
        <v>84.35</v>
      </c>
      <c r="AI53" s="110">
        <f t="shared" si="15"/>
        <v>73.599999999999994</v>
      </c>
      <c r="AJ53" s="110">
        <f t="shared" si="16"/>
        <v>72.849999999999994</v>
      </c>
    </row>
    <row r="54" spans="1:36" s="85" customFormat="1" ht="52.5" customHeight="1" x14ac:dyDescent="0.25">
      <c r="A54" s="83">
        <v>36</v>
      </c>
      <c r="B54" s="83" t="s">
        <v>346</v>
      </c>
      <c r="C54" s="84" t="s">
        <v>347</v>
      </c>
      <c r="D54" s="93" t="s">
        <v>348</v>
      </c>
      <c r="E54" s="83">
        <v>30</v>
      </c>
      <c r="F54" s="83">
        <v>25</v>
      </c>
      <c r="G54" s="83">
        <v>24</v>
      </c>
      <c r="H54" s="83">
        <v>30</v>
      </c>
      <c r="I54" s="83">
        <v>25</v>
      </c>
      <c r="J54" s="83">
        <v>8</v>
      </c>
      <c r="K54" s="83">
        <v>8</v>
      </c>
      <c r="L54" s="83">
        <v>8</v>
      </c>
      <c r="M54" s="83">
        <v>8</v>
      </c>
      <c r="N54" s="83">
        <v>8</v>
      </c>
      <c r="O54" s="83">
        <v>90</v>
      </c>
      <c r="P54" s="83">
        <v>100</v>
      </c>
      <c r="Q54" s="122">
        <v>15</v>
      </c>
      <c r="R54" s="122">
        <v>16</v>
      </c>
      <c r="S54" s="122">
        <v>12</v>
      </c>
      <c r="T54" s="122">
        <v>13</v>
      </c>
      <c r="U54" s="122">
        <v>10</v>
      </c>
      <c r="V54" s="110">
        <f t="shared" si="0"/>
        <v>86.25</v>
      </c>
      <c r="W54" s="110">
        <f t="shared" si="1"/>
        <v>83.125</v>
      </c>
      <c r="X54" s="110">
        <f t="shared" si="2"/>
        <v>82.5</v>
      </c>
      <c r="Y54" s="110">
        <f t="shared" si="3"/>
        <v>86.25</v>
      </c>
      <c r="Z54" s="110">
        <f t="shared" si="4"/>
        <v>83.125</v>
      </c>
      <c r="AA54" s="110">
        <f t="shared" si="7"/>
        <v>75</v>
      </c>
      <c r="AB54" s="110">
        <f t="shared" si="8"/>
        <v>80</v>
      </c>
      <c r="AC54" s="110">
        <f t="shared" si="9"/>
        <v>60</v>
      </c>
      <c r="AD54" s="110">
        <f t="shared" si="10"/>
        <v>65</v>
      </c>
      <c r="AE54" s="110">
        <f t="shared" si="11"/>
        <v>50</v>
      </c>
      <c r="AF54" s="110">
        <f t="shared" si="12"/>
        <v>79.5</v>
      </c>
      <c r="AG54" s="110">
        <f t="shared" si="13"/>
        <v>81.25</v>
      </c>
      <c r="AH54" s="110">
        <f t="shared" si="14"/>
        <v>69</v>
      </c>
      <c r="AI54" s="110">
        <f t="shared" si="15"/>
        <v>73.5</v>
      </c>
      <c r="AJ54" s="110">
        <f t="shared" si="16"/>
        <v>63.25</v>
      </c>
    </row>
    <row r="55" spans="1:36" s="85" customFormat="1" ht="52.5" customHeight="1" x14ac:dyDescent="0.25">
      <c r="A55" s="83">
        <v>37</v>
      </c>
      <c r="B55" s="83" t="s">
        <v>349</v>
      </c>
      <c r="C55" s="84" t="s">
        <v>350</v>
      </c>
      <c r="D55" s="93" t="s">
        <v>351</v>
      </c>
      <c r="E55" s="83">
        <v>26</v>
      </c>
      <c r="F55" s="83">
        <v>4</v>
      </c>
      <c r="G55" s="83">
        <v>6</v>
      </c>
      <c r="H55" s="83">
        <v>29</v>
      </c>
      <c r="I55" s="83">
        <v>29</v>
      </c>
      <c r="J55" s="83">
        <v>8</v>
      </c>
      <c r="K55" s="83">
        <v>8</v>
      </c>
      <c r="L55" s="83">
        <v>8</v>
      </c>
      <c r="M55" s="83">
        <v>8</v>
      </c>
      <c r="N55" s="83">
        <v>8</v>
      </c>
      <c r="O55" s="83">
        <v>98</v>
      </c>
      <c r="P55" s="83">
        <v>100</v>
      </c>
      <c r="Q55" s="122">
        <v>15</v>
      </c>
      <c r="R55" s="122">
        <v>14</v>
      </c>
      <c r="S55" s="122">
        <v>14</v>
      </c>
      <c r="T55" s="122">
        <v>12</v>
      </c>
      <c r="U55" s="122">
        <v>13</v>
      </c>
      <c r="V55" s="110">
        <f t="shared" si="0"/>
        <v>85.75</v>
      </c>
      <c r="W55" s="110">
        <f t="shared" si="1"/>
        <v>72</v>
      </c>
      <c r="X55" s="110">
        <f t="shared" si="2"/>
        <v>73.25</v>
      </c>
      <c r="Y55" s="110">
        <f t="shared" si="3"/>
        <v>87.625</v>
      </c>
      <c r="Z55" s="110">
        <f t="shared" si="4"/>
        <v>87.625</v>
      </c>
      <c r="AA55" s="110">
        <f t="shared" si="7"/>
        <v>75</v>
      </c>
      <c r="AB55" s="110">
        <f t="shared" si="8"/>
        <v>70</v>
      </c>
      <c r="AC55" s="110">
        <f t="shared" si="9"/>
        <v>70</v>
      </c>
      <c r="AD55" s="110">
        <f t="shared" si="10"/>
        <v>60</v>
      </c>
      <c r="AE55" s="110">
        <f t="shared" si="11"/>
        <v>65</v>
      </c>
      <c r="AF55" s="110">
        <f t="shared" si="12"/>
        <v>79.300000000000011</v>
      </c>
      <c r="AG55" s="110">
        <f t="shared" si="13"/>
        <v>70.8</v>
      </c>
      <c r="AH55" s="110">
        <f t="shared" si="14"/>
        <v>71.3</v>
      </c>
      <c r="AI55" s="110">
        <f t="shared" si="15"/>
        <v>71.050000000000011</v>
      </c>
      <c r="AJ55" s="110">
        <f t="shared" si="16"/>
        <v>74.050000000000011</v>
      </c>
    </row>
    <row r="56" spans="1:36" s="85" customFormat="1" ht="52.5" customHeight="1" x14ac:dyDescent="0.25">
      <c r="A56" s="83">
        <v>38</v>
      </c>
      <c r="B56" s="83" t="s">
        <v>352</v>
      </c>
      <c r="C56" s="84" t="s">
        <v>353</v>
      </c>
      <c r="D56" s="93" t="s">
        <v>354</v>
      </c>
      <c r="E56" s="83">
        <v>18</v>
      </c>
      <c r="F56" s="83">
        <v>18</v>
      </c>
      <c r="G56" s="83">
        <v>27</v>
      </c>
      <c r="H56" s="83">
        <v>28</v>
      </c>
      <c r="I56" s="83">
        <v>20</v>
      </c>
      <c r="J56" s="83">
        <v>10</v>
      </c>
      <c r="K56" s="83">
        <v>10</v>
      </c>
      <c r="L56" s="83">
        <v>10</v>
      </c>
      <c r="M56" s="83">
        <v>10</v>
      </c>
      <c r="N56" s="83">
        <v>10</v>
      </c>
      <c r="O56" s="83">
        <v>84</v>
      </c>
      <c r="P56" s="83">
        <v>92</v>
      </c>
      <c r="Q56" s="122">
        <v>13</v>
      </c>
      <c r="R56" s="122">
        <v>8</v>
      </c>
      <c r="S56" s="122">
        <v>7</v>
      </c>
      <c r="T56" s="122">
        <v>10</v>
      </c>
      <c r="U56" s="122">
        <v>10</v>
      </c>
      <c r="V56" s="110">
        <f t="shared" si="0"/>
        <v>80.25</v>
      </c>
      <c r="W56" s="110">
        <f t="shared" si="1"/>
        <v>80.25</v>
      </c>
      <c r="X56" s="110">
        <f t="shared" si="2"/>
        <v>85.875</v>
      </c>
      <c r="Y56" s="110">
        <f t="shared" si="3"/>
        <v>86.5</v>
      </c>
      <c r="Z56" s="110">
        <f t="shared" si="4"/>
        <v>81.5</v>
      </c>
      <c r="AA56" s="110">
        <f t="shared" si="7"/>
        <v>65</v>
      </c>
      <c r="AB56" s="110">
        <f t="shared" si="8"/>
        <v>40</v>
      </c>
      <c r="AC56" s="110">
        <f t="shared" si="9"/>
        <v>35</v>
      </c>
      <c r="AD56" s="110">
        <f t="shared" si="10"/>
        <v>50</v>
      </c>
      <c r="AE56" s="110">
        <f t="shared" si="11"/>
        <v>50</v>
      </c>
      <c r="AF56" s="110">
        <f t="shared" si="12"/>
        <v>71.099999999999994</v>
      </c>
      <c r="AG56" s="110">
        <f t="shared" si="13"/>
        <v>56.1</v>
      </c>
      <c r="AH56" s="110">
        <f t="shared" si="14"/>
        <v>55.35</v>
      </c>
      <c r="AI56" s="110">
        <f t="shared" si="15"/>
        <v>64.599999999999994</v>
      </c>
      <c r="AJ56" s="110">
        <f t="shared" si="16"/>
        <v>62.6</v>
      </c>
    </row>
    <row r="57" spans="1:36" s="85" customFormat="1" ht="52.5" customHeight="1" x14ac:dyDescent="0.25">
      <c r="A57" s="83">
        <v>39</v>
      </c>
      <c r="B57" s="83" t="s">
        <v>355</v>
      </c>
      <c r="C57" s="84" t="s">
        <v>356</v>
      </c>
      <c r="D57" s="93" t="s">
        <v>357</v>
      </c>
      <c r="E57" s="83">
        <v>32</v>
      </c>
      <c r="F57" s="83">
        <v>25</v>
      </c>
      <c r="G57" s="83">
        <v>24</v>
      </c>
      <c r="H57" s="83">
        <v>29</v>
      </c>
      <c r="I57" s="83">
        <v>20</v>
      </c>
      <c r="J57" s="83">
        <v>9</v>
      </c>
      <c r="K57" s="83">
        <v>9</v>
      </c>
      <c r="L57" s="83">
        <v>9</v>
      </c>
      <c r="M57" s="83">
        <v>9</v>
      </c>
      <c r="N57" s="83">
        <v>9</v>
      </c>
      <c r="O57" s="83">
        <v>88</v>
      </c>
      <c r="P57" s="83">
        <v>100</v>
      </c>
      <c r="Q57" s="122">
        <v>17</v>
      </c>
      <c r="R57" s="122">
        <v>15</v>
      </c>
      <c r="S57" s="122">
        <v>12</v>
      </c>
      <c r="T57" s="122">
        <v>14</v>
      </c>
      <c r="U57" s="122">
        <v>14</v>
      </c>
      <c r="V57" s="110">
        <f t="shared" si="0"/>
        <v>89.5</v>
      </c>
      <c r="W57" s="110">
        <f t="shared" si="1"/>
        <v>85.125</v>
      </c>
      <c r="X57" s="110">
        <f t="shared" si="2"/>
        <v>84.5</v>
      </c>
      <c r="Y57" s="110">
        <f t="shared" si="3"/>
        <v>87.625</v>
      </c>
      <c r="Z57" s="110">
        <f t="shared" si="4"/>
        <v>82</v>
      </c>
      <c r="AA57" s="110">
        <f t="shared" si="7"/>
        <v>85</v>
      </c>
      <c r="AB57" s="110">
        <f t="shared" si="8"/>
        <v>75</v>
      </c>
      <c r="AC57" s="110">
        <f t="shared" si="9"/>
        <v>60</v>
      </c>
      <c r="AD57" s="110">
        <f t="shared" si="10"/>
        <v>70</v>
      </c>
      <c r="AE57" s="110">
        <f t="shared" si="11"/>
        <v>70</v>
      </c>
      <c r="AF57" s="110">
        <f t="shared" si="12"/>
        <v>86.800000000000011</v>
      </c>
      <c r="AG57" s="110">
        <f t="shared" si="13"/>
        <v>79.050000000000011</v>
      </c>
      <c r="AH57" s="110">
        <f t="shared" si="14"/>
        <v>69.800000000000011</v>
      </c>
      <c r="AI57" s="110">
        <f t="shared" si="15"/>
        <v>77.050000000000011</v>
      </c>
      <c r="AJ57" s="110">
        <f t="shared" si="16"/>
        <v>74.800000000000011</v>
      </c>
    </row>
    <row r="58" spans="1:36" s="85" customFormat="1" ht="52.5" customHeight="1" x14ac:dyDescent="0.25">
      <c r="A58" s="83">
        <v>40</v>
      </c>
      <c r="B58" s="83" t="s">
        <v>358</v>
      </c>
      <c r="C58" s="84" t="s">
        <v>359</v>
      </c>
      <c r="D58" s="93" t="s">
        <v>360</v>
      </c>
      <c r="E58" s="83">
        <v>16</v>
      </c>
      <c r="F58" s="83">
        <v>27</v>
      </c>
      <c r="G58" s="83">
        <v>17</v>
      </c>
      <c r="H58" s="83">
        <v>20</v>
      </c>
      <c r="I58" s="83">
        <v>10</v>
      </c>
      <c r="J58" s="83">
        <v>8</v>
      </c>
      <c r="K58" s="83">
        <v>8</v>
      </c>
      <c r="L58" s="83">
        <v>8</v>
      </c>
      <c r="M58" s="83">
        <v>8</v>
      </c>
      <c r="N58" s="83">
        <v>8</v>
      </c>
      <c r="O58" s="83">
        <v>88</v>
      </c>
      <c r="P58" s="83">
        <v>100</v>
      </c>
      <c r="Q58" s="122">
        <v>13</v>
      </c>
      <c r="R58" s="122">
        <v>14</v>
      </c>
      <c r="S58" s="122">
        <v>13</v>
      </c>
      <c r="T58" s="122">
        <v>13</v>
      </c>
      <c r="U58" s="122">
        <v>12</v>
      </c>
      <c r="V58" s="110">
        <f t="shared" si="0"/>
        <v>77</v>
      </c>
      <c r="W58" s="110">
        <f t="shared" si="1"/>
        <v>83.875</v>
      </c>
      <c r="X58" s="110">
        <f t="shared" si="2"/>
        <v>77.625</v>
      </c>
      <c r="Y58" s="110">
        <f t="shared" si="3"/>
        <v>79.5</v>
      </c>
      <c r="Z58" s="110">
        <f t="shared" si="4"/>
        <v>73.25</v>
      </c>
      <c r="AA58" s="110">
        <f t="shared" si="7"/>
        <v>65</v>
      </c>
      <c r="AB58" s="110">
        <f t="shared" si="8"/>
        <v>70</v>
      </c>
      <c r="AC58" s="110">
        <f t="shared" si="9"/>
        <v>65</v>
      </c>
      <c r="AD58" s="110">
        <f t="shared" si="10"/>
        <v>65</v>
      </c>
      <c r="AE58" s="110">
        <f t="shared" si="11"/>
        <v>60</v>
      </c>
      <c r="AF58" s="110">
        <f t="shared" si="12"/>
        <v>69.8</v>
      </c>
      <c r="AG58" s="110">
        <f t="shared" si="13"/>
        <v>75.550000000000011</v>
      </c>
      <c r="AH58" s="110">
        <f t="shared" si="14"/>
        <v>70.05</v>
      </c>
      <c r="AI58" s="110">
        <f t="shared" si="15"/>
        <v>70.8</v>
      </c>
      <c r="AJ58" s="110">
        <f t="shared" si="16"/>
        <v>65.3</v>
      </c>
    </row>
    <row r="59" spans="1:36" s="85" customFormat="1" ht="52.5" customHeight="1" x14ac:dyDescent="0.25">
      <c r="A59" s="83">
        <v>41</v>
      </c>
      <c r="B59" s="83" t="s">
        <v>361</v>
      </c>
      <c r="C59" s="84" t="s">
        <v>362</v>
      </c>
      <c r="D59" s="93" t="s">
        <v>363</v>
      </c>
      <c r="E59" s="83">
        <v>34</v>
      </c>
      <c r="F59" s="83">
        <v>30</v>
      </c>
      <c r="G59" s="83">
        <v>29</v>
      </c>
      <c r="H59" s="83">
        <v>35</v>
      </c>
      <c r="I59" s="83">
        <v>32</v>
      </c>
      <c r="J59" s="83">
        <v>9</v>
      </c>
      <c r="K59" s="83">
        <v>9</v>
      </c>
      <c r="L59" s="83">
        <v>9</v>
      </c>
      <c r="M59" s="83">
        <v>9</v>
      </c>
      <c r="N59" s="83">
        <v>9</v>
      </c>
      <c r="O59" s="83">
        <v>96</v>
      </c>
      <c r="P59" s="83">
        <v>100</v>
      </c>
      <c r="Q59" s="122">
        <v>16</v>
      </c>
      <c r="R59" s="122">
        <v>11</v>
      </c>
      <c r="S59" s="122">
        <v>15</v>
      </c>
      <c r="T59" s="122">
        <v>13</v>
      </c>
      <c r="U59" s="122">
        <v>13</v>
      </c>
      <c r="V59" s="110">
        <f t="shared" si="0"/>
        <v>92.75</v>
      </c>
      <c r="W59" s="110">
        <f t="shared" si="1"/>
        <v>90.25</v>
      </c>
      <c r="X59" s="110">
        <f t="shared" si="2"/>
        <v>89.625</v>
      </c>
      <c r="Y59" s="110">
        <f t="shared" si="3"/>
        <v>93.375</v>
      </c>
      <c r="Z59" s="110">
        <f t="shared" si="4"/>
        <v>91.5</v>
      </c>
      <c r="AA59" s="110">
        <f t="shared" si="7"/>
        <v>80</v>
      </c>
      <c r="AB59" s="110">
        <f t="shared" si="8"/>
        <v>55.000000000000007</v>
      </c>
      <c r="AC59" s="110">
        <f t="shared" si="9"/>
        <v>75</v>
      </c>
      <c r="AD59" s="110">
        <f t="shared" si="10"/>
        <v>65</v>
      </c>
      <c r="AE59" s="110">
        <f t="shared" si="11"/>
        <v>65</v>
      </c>
      <c r="AF59" s="110">
        <f t="shared" si="12"/>
        <v>85.1</v>
      </c>
      <c r="AG59" s="110">
        <f t="shared" si="13"/>
        <v>69.099999999999994</v>
      </c>
      <c r="AH59" s="110">
        <f t="shared" si="14"/>
        <v>80.849999999999994</v>
      </c>
      <c r="AI59" s="110">
        <f t="shared" si="15"/>
        <v>76.349999999999994</v>
      </c>
      <c r="AJ59" s="110">
        <f t="shared" si="16"/>
        <v>75.599999999999994</v>
      </c>
    </row>
    <row r="60" spans="1:36" s="85" customFormat="1" ht="52.5" customHeight="1" x14ac:dyDescent="0.25">
      <c r="A60" s="83">
        <v>42</v>
      </c>
      <c r="B60" s="83" t="s">
        <v>364</v>
      </c>
      <c r="C60" s="84" t="s">
        <v>365</v>
      </c>
      <c r="D60" s="93" t="s">
        <v>366</v>
      </c>
      <c r="E60" s="83">
        <v>32</v>
      </c>
      <c r="F60" s="83">
        <v>27</v>
      </c>
      <c r="G60" s="83">
        <v>16</v>
      </c>
      <c r="H60" s="83">
        <v>28</v>
      </c>
      <c r="I60" s="83">
        <v>25</v>
      </c>
      <c r="J60" s="83">
        <v>9</v>
      </c>
      <c r="K60" s="83">
        <v>9</v>
      </c>
      <c r="L60" s="83">
        <v>9</v>
      </c>
      <c r="M60" s="83">
        <v>9</v>
      </c>
      <c r="N60" s="83">
        <v>9</v>
      </c>
      <c r="O60" s="83">
        <v>90</v>
      </c>
      <c r="P60" s="83">
        <v>83</v>
      </c>
      <c r="Q60" s="122">
        <v>14</v>
      </c>
      <c r="R60" s="122">
        <v>13</v>
      </c>
      <c r="S60" s="122">
        <v>14</v>
      </c>
      <c r="T60" s="122">
        <v>14</v>
      </c>
      <c r="U60" s="122">
        <v>13</v>
      </c>
      <c r="V60" s="110">
        <f t="shared" si="0"/>
        <v>85.75</v>
      </c>
      <c r="W60" s="110">
        <f t="shared" si="1"/>
        <v>82.625</v>
      </c>
      <c r="X60" s="110">
        <f t="shared" si="2"/>
        <v>75.75</v>
      </c>
      <c r="Y60" s="110">
        <f t="shared" si="3"/>
        <v>83.25</v>
      </c>
      <c r="Z60" s="110">
        <f t="shared" si="4"/>
        <v>81.375</v>
      </c>
      <c r="AA60" s="110">
        <f t="shared" si="7"/>
        <v>70</v>
      </c>
      <c r="AB60" s="110">
        <f t="shared" si="8"/>
        <v>65</v>
      </c>
      <c r="AC60" s="110">
        <f t="shared" si="9"/>
        <v>70</v>
      </c>
      <c r="AD60" s="110">
        <f t="shared" si="10"/>
        <v>70</v>
      </c>
      <c r="AE60" s="110">
        <f t="shared" si="11"/>
        <v>65</v>
      </c>
      <c r="AF60" s="110">
        <f t="shared" si="12"/>
        <v>76.300000000000011</v>
      </c>
      <c r="AG60" s="110">
        <f t="shared" si="13"/>
        <v>72.050000000000011</v>
      </c>
      <c r="AH60" s="110">
        <f t="shared" si="14"/>
        <v>72.3</v>
      </c>
      <c r="AI60" s="110">
        <f t="shared" si="15"/>
        <v>75.300000000000011</v>
      </c>
      <c r="AJ60" s="110">
        <f t="shared" si="16"/>
        <v>71.550000000000011</v>
      </c>
    </row>
    <row r="61" spans="1:36" s="85" customFormat="1" ht="52.5" customHeight="1" x14ac:dyDescent="0.25">
      <c r="A61" s="83">
        <v>43</v>
      </c>
      <c r="B61" s="83" t="s">
        <v>367</v>
      </c>
      <c r="C61" s="84" t="s">
        <v>368</v>
      </c>
      <c r="D61" s="93" t="s">
        <v>369</v>
      </c>
      <c r="E61" s="83">
        <v>28</v>
      </c>
      <c r="F61" s="83">
        <v>34</v>
      </c>
      <c r="G61" s="83">
        <v>21</v>
      </c>
      <c r="H61" s="83">
        <v>33</v>
      </c>
      <c r="I61" s="83">
        <v>26</v>
      </c>
      <c r="J61" s="83">
        <v>9</v>
      </c>
      <c r="K61" s="83">
        <v>9</v>
      </c>
      <c r="L61" s="83">
        <v>9</v>
      </c>
      <c r="M61" s="83">
        <v>9</v>
      </c>
      <c r="N61" s="83">
        <v>9</v>
      </c>
      <c r="O61" s="83">
        <v>86</v>
      </c>
      <c r="P61" s="83">
        <v>93</v>
      </c>
      <c r="Q61" s="122">
        <v>16</v>
      </c>
      <c r="R61" s="122">
        <v>13</v>
      </c>
      <c r="S61" s="122">
        <v>11</v>
      </c>
      <c r="T61" s="122">
        <v>13</v>
      </c>
      <c r="U61" s="122">
        <v>10</v>
      </c>
      <c r="V61" s="110">
        <f t="shared" si="0"/>
        <v>84.75</v>
      </c>
      <c r="W61" s="110">
        <f t="shared" si="1"/>
        <v>88.5</v>
      </c>
      <c r="X61" s="110">
        <f t="shared" si="2"/>
        <v>80.375</v>
      </c>
      <c r="Y61" s="110">
        <f t="shared" si="3"/>
        <v>87.875</v>
      </c>
      <c r="Z61" s="110">
        <f t="shared" si="4"/>
        <v>83.5</v>
      </c>
      <c r="AA61" s="110">
        <f t="shared" si="7"/>
        <v>80</v>
      </c>
      <c r="AB61" s="110">
        <f t="shared" si="8"/>
        <v>65</v>
      </c>
      <c r="AC61" s="110">
        <f t="shared" si="9"/>
        <v>55.000000000000007</v>
      </c>
      <c r="AD61" s="110">
        <f t="shared" si="10"/>
        <v>65</v>
      </c>
      <c r="AE61" s="110">
        <f t="shared" si="11"/>
        <v>50</v>
      </c>
      <c r="AF61" s="110">
        <f t="shared" si="12"/>
        <v>81.900000000000006</v>
      </c>
      <c r="AG61" s="110">
        <f t="shared" si="13"/>
        <v>74.400000000000006</v>
      </c>
      <c r="AH61" s="110">
        <f t="shared" si="14"/>
        <v>65.150000000000006</v>
      </c>
      <c r="AI61" s="110">
        <f t="shared" si="15"/>
        <v>74.150000000000006</v>
      </c>
      <c r="AJ61" s="110">
        <f t="shared" si="16"/>
        <v>63.4</v>
      </c>
    </row>
    <row r="62" spans="1:36" s="85" customFormat="1" ht="52.5" customHeight="1" x14ac:dyDescent="0.25">
      <c r="A62" s="83">
        <v>44</v>
      </c>
      <c r="B62" s="83" t="s">
        <v>370</v>
      </c>
      <c r="C62" s="84" t="s">
        <v>371</v>
      </c>
      <c r="D62" s="93" t="s">
        <v>372</v>
      </c>
      <c r="E62" s="83">
        <v>29</v>
      </c>
      <c r="F62" s="83">
        <v>30</v>
      </c>
      <c r="G62" s="83">
        <v>33</v>
      </c>
      <c r="H62" s="83">
        <v>34</v>
      </c>
      <c r="I62" s="83">
        <v>34</v>
      </c>
      <c r="J62" s="83">
        <v>9</v>
      </c>
      <c r="K62" s="83">
        <v>9</v>
      </c>
      <c r="L62" s="83">
        <v>9</v>
      </c>
      <c r="M62" s="83">
        <v>9</v>
      </c>
      <c r="N62" s="83">
        <v>9</v>
      </c>
      <c r="O62" s="83">
        <v>88</v>
      </c>
      <c r="P62" s="83">
        <v>95</v>
      </c>
      <c r="Q62" s="122">
        <v>15</v>
      </c>
      <c r="R62" s="122">
        <v>13</v>
      </c>
      <c r="S62" s="122">
        <v>13</v>
      </c>
      <c r="T62" s="122">
        <v>14</v>
      </c>
      <c r="U62" s="122">
        <v>11</v>
      </c>
      <c r="V62" s="110">
        <f t="shared" si="0"/>
        <v>86.375</v>
      </c>
      <c r="W62" s="110">
        <f t="shared" si="1"/>
        <v>87</v>
      </c>
      <c r="X62" s="110">
        <f t="shared" si="2"/>
        <v>88.875</v>
      </c>
      <c r="Y62" s="110">
        <f t="shared" si="3"/>
        <v>89.5</v>
      </c>
      <c r="Z62" s="110">
        <f t="shared" si="4"/>
        <v>89.5</v>
      </c>
      <c r="AA62" s="110">
        <f t="shared" si="7"/>
        <v>75</v>
      </c>
      <c r="AB62" s="110">
        <f t="shared" si="8"/>
        <v>65</v>
      </c>
      <c r="AC62" s="110">
        <f t="shared" si="9"/>
        <v>65</v>
      </c>
      <c r="AD62" s="110">
        <f t="shared" si="10"/>
        <v>70</v>
      </c>
      <c r="AE62" s="110">
        <f t="shared" si="11"/>
        <v>55.000000000000007</v>
      </c>
      <c r="AF62" s="110">
        <f t="shared" si="12"/>
        <v>79.550000000000011</v>
      </c>
      <c r="AG62" s="110">
        <f t="shared" si="13"/>
        <v>73.800000000000011</v>
      </c>
      <c r="AH62" s="110">
        <f t="shared" si="14"/>
        <v>74.550000000000011</v>
      </c>
      <c r="AI62" s="110">
        <f t="shared" si="15"/>
        <v>77.800000000000011</v>
      </c>
      <c r="AJ62" s="110">
        <f t="shared" si="16"/>
        <v>68.800000000000011</v>
      </c>
    </row>
    <row r="63" spans="1:36" s="85" customFormat="1" ht="52.5" customHeight="1" x14ac:dyDescent="0.25">
      <c r="A63" s="83">
        <v>45</v>
      </c>
      <c r="B63" s="83" t="s">
        <v>373</v>
      </c>
      <c r="C63" s="84" t="s">
        <v>374</v>
      </c>
      <c r="D63" s="93" t="s">
        <v>375</v>
      </c>
      <c r="E63" s="83">
        <v>34</v>
      </c>
      <c r="F63" s="83">
        <v>36</v>
      </c>
      <c r="G63" s="83">
        <v>31</v>
      </c>
      <c r="H63" s="83">
        <v>34</v>
      </c>
      <c r="I63" s="83">
        <v>28</v>
      </c>
      <c r="J63" s="83">
        <v>9</v>
      </c>
      <c r="K63" s="83">
        <v>9</v>
      </c>
      <c r="L63" s="83">
        <v>9</v>
      </c>
      <c r="M63" s="83">
        <v>9</v>
      </c>
      <c r="N63" s="83">
        <v>9</v>
      </c>
      <c r="O63" s="83">
        <v>92</v>
      </c>
      <c r="P63" s="83">
        <v>100</v>
      </c>
      <c r="Q63" s="122">
        <v>17</v>
      </c>
      <c r="R63" s="122">
        <v>16</v>
      </c>
      <c r="S63" s="122">
        <v>14</v>
      </c>
      <c r="T63" s="122">
        <v>14</v>
      </c>
      <c r="U63" s="122">
        <v>12</v>
      </c>
      <c r="V63" s="110">
        <f t="shared" si="0"/>
        <v>91.75</v>
      </c>
      <c r="W63" s="110">
        <f t="shared" si="1"/>
        <v>93</v>
      </c>
      <c r="X63" s="110">
        <f t="shared" si="2"/>
        <v>89.875</v>
      </c>
      <c r="Y63" s="110">
        <f t="shared" si="3"/>
        <v>91.75</v>
      </c>
      <c r="Z63" s="110">
        <f t="shared" si="4"/>
        <v>88</v>
      </c>
      <c r="AA63" s="110">
        <f t="shared" si="7"/>
        <v>85</v>
      </c>
      <c r="AB63" s="110">
        <f t="shared" si="8"/>
        <v>80</v>
      </c>
      <c r="AC63" s="110">
        <f t="shared" si="9"/>
        <v>70</v>
      </c>
      <c r="AD63" s="110">
        <f t="shared" si="10"/>
        <v>70</v>
      </c>
      <c r="AE63" s="110">
        <f t="shared" si="11"/>
        <v>60</v>
      </c>
      <c r="AF63" s="110">
        <f t="shared" si="12"/>
        <v>87.7</v>
      </c>
      <c r="AG63" s="110">
        <f t="shared" si="13"/>
        <v>85.2</v>
      </c>
      <c r="AH63" s="110">
        <f t="shared" si="14"/>
        <v>77.95</v>
      </c>
      <c r="AI63" s="110">
        <f t="shared" si="15"/>
        <v>78.7</v>
      </c>
      <c r="AJ63" s="110">
        <f t="shared" si="16"/>
        <v>71.2</v>
      </c>
    </row>
    <row r="64" spans="1:36" s="85" customFormat="1" ht="52.5" customHeight="1" x14ac:dyDescent="0.25">
      <c r="A64" s="83">
        <v>46</v>
      </c>
      <c r="B64" s="83" t="s">
        <v>376</v>
      </c>
      <c r="C64" s="84" t="s">
        <v>377</v>
      </c>
      <c r="D64" s="93" t="s">
        <v>378</v>
      </c>
      <c r="E64" s="83">
        <v>28</v>
      </c>
      <c r="F64" s="83">
        <v>16</v>
      </c>
      <c r="G64" s="83">
        <v>20</v>
      </c>
      <c r="H64" s="83">
        <v>25</v>
      </c>
      <c r="I64" s="83">
        <v>20</v>
      </c>
      <c r="J64" s="83">
        <v>9</v>
      </c>
      <c r="K64" s="83">
        <v>9</v>
      </c>
      <c r="L64" s="83">
        <v>9</v>
      </c>
      <c r="M64" s="83">
        <v>9</v>
      </c>
      <c r="N64" s="83">
        <v>9</v>
      </c>
      <c r="O64" s="83">
        <v>86</v>
      </c>
      <c r="P64" s="83">
        <v>100</v>
      </c>
      <c r="Q64" s="122">
        <v>12</v>
      </c>
      <c r="R64" s="122">
        <v>14</v>
      </c>
      <c r="S64" s="122">
        <v>12</v>
      </c>
      <c r="T64" s="122">
        <v>11</v>
      </c>
      <c r="U64" s="122">
        <v>11</v>
      </c>
      <c r="V64" s="110">
        <f t="shared" si="0"/>
        <v>86.5</v>
      </c>
      <c r="W64" s="110">
        <f t="shared" si="1"/>
        <v>79</v>
      </c>
      <c r="X64" s="110">
        <f t="shared" si="2"/>
        <v>81.5</v>
      </c>
      <c r="Y64" s="110">
        <f t="shared" si="3"/>
        <v>84.625</v>
      </c>
      <c r="Z64" s="110">
        <f t="shared" si="4"/>
        <v>81.5</v>
      </c>
      <c r="AA64" s="110">
        <f t="shared" si="7"/>
        <v>60</v>
      </c>
      <c r="AB64" s="110">
        <f t="shared" si="8"/>
        <v>70</v>
      </c>
      <c r="AC64" s="110">
        <f t="shared" si="9"/>
        <v>60</v>
      </c>
      <c r="AD64" s="110">
        <f t="shared" si="10"/>
        <v>55.000000000000007</v>
      </c>
      <c r="AE64" s="110">
        <f t="shared" si="11"/>
        <v>55.000000000000007</v>
      </c>
      <c r="AF64" s="110">
        <f t="shared" si="12"/>
        <v>70.599999999999994</v>
      </c>
      <c r="AG64" s="110">
        <f t="shared" si="13"/>
        <v>73.599999999999994</v>
      </c>
      <c r="AH64" s="110">
        <f t="shared" si="14"/>
        <v>68.599999999999994</v>
      </c>
      <c r="AI64" s="110">
        <f t="shared" si="15"/>
        <v>66.849999999999994</v>
      </c>
      <c r="AJ64" s="110">
        <f t="shared" si="16"/>
        <v>65.599999999999994</v>
      </c>
    </row>
    <row r="65" spans="1:36" s="85" customFormat="1" ht="52.5" customHeight="1" x14ac:dyDescent="0.25">
      <c r="A65" s="83">
        <v>47</v>
      </c>
      <c r="B65" s="83" t="s">
        <v>379</v>
      </c>
      <c r="C65" s="84" t="s">
        <v>380</v>
      </c>
      <c r="D65" s="93" t="s">
        <v>381</v>
      </c>
      <c r="E65" s="83">
        <v>30</v>
      </c>
      <c r="F65" s="83">
        <v>34</v>
      </c>
      <c r="G65" s="83">
        <v>33</v>
      </c>
      <c r="H65" s="83">
        <v>36</v>
      </c>
      <c r="I65" s="83">
        <v>36</v>
      </c>
      <c r="J65" s="83">
        <v>9</v>
      </c>
      <c r="K65" s="83">
        <v>9</v>
      </c>
      <c r="L65" s="83">
        <v>9</v>
      </c>
      <c r="M65" s="83">
        <v>9</v>
      </c>
      <c r="N65" s="83">
        <v>9</v>
      </c>
      <c r="O65" s="83">
        <v>96</v>
      </c>
      <c r="P65" s="83">
        <v>97</v>
      </c>
      <c r="Q65" s="122">
        <v>17</v>
      </c>
      <c r="R65" s="122">
        <v>17</v>
      </c>
      <c r="S65" s="122">
        <v>15</v>
      </c>
      <c r="T65" s="122">
        <v>15</v>
      </c>
      <c r="U65" s="122">
        <v>17</v>
      </c>
      <c r="V65" s="110">
        <f t="shared" si="0"/>
        <v>89.5</v>
      </c>
      <c r="W65" s="110">
        <f t="shared" si="1"/>
        <v>92</v>
      </c>
      <c r="X65" s="110">
        <f t="shared" si="2"/>
        <v>91.375</v>
      </c>
      <c r="Y65" s="110">
        <f t="shared" si="3"/>
        <v>93.25</v>
      </c>
      <c r="Z65" s="110">
        <f t="shared" si="4"/>
        <v>93.25</v>
      </c>
      <c r="AA65" s="110">
        <f t="shared" si="7"/>
        <v>85</v>
      </c>
      <c r="AB65" s="110">
        <f t="shared" si="8"/>
        <v>85</v>
      </c>
      <c r="AC65" s="110">
        <f t="shared" si="9"/>
        <v>75</v>
      </c>
      <c r="AD65" s="110">
        <f t="shared" si="10"/>
        <v>75</v>
      </c>
      <c r="AE65" s="110">
        <f t="shared" si="11"/>
        <v>85</v>
      </c>
      <c r="AF65" s="110">
        <f t="shared" si="12"/>
        <v>86.800000000000011</v>
      </c>
      <c r="AG65" s="110">
        <f t="shared" si="13"/>
        <v>87.800000000000011</v>
      </c>
      <c r="AH65" s="110">
        <f t="shared" si="14"/>
        <v>81.550000000000011</v>
      </c>
      <c r="AI65" s="110">
        <f t="shared" si="15"/>
        <v>82.300000000000011</v>
      </c>
      <c r="AJ65" s="110">
        <f t="shared" si="16"/>
        <v>88.300000000000011</v>
      </c>
    </row>
    <row r="66" spans="1:36" s="85" customFormat="1" ht="52.5" customHeight="1" x14ac:dyDescent="0.25">
      <c r="A66" s="83">
        <v>48</v>
      </c>
      <c r="B66" s="83" t="s">
        <v>382</v>
      </c>
      <c r="C66" s="84" t="s">
        <v>383</v>
      </c>
      <c r="D66" s="93" t="s">
        <v>384</v>
      </c>
      <c r="E66" s="83">
        <v>34</v>
      </c>
      <c r="F66" s="83">
        <v>29</v>
      </c>
      <c r="G66" s="83">
        <v>35</v>
      </c>
      <c r="H66" s="83">
        <v>35</v>
      </c>
      <c r="I66" s="83">
        <v>35</v>
      </c>
      <c r="J66" s="83">
        <v>9</v>
      </c>
      <c r="K66" s="83">
        <v>9</v>
      </c>
      <c r="L66" s="83">
        <v>9</v>
      </c>
      <c r="M66" s="83">
        <v>9</v>
      </c>
      <c r="N66" s="83">
        <v>9</v>
      </c>
      <c r="O66" s="83">
        <v>94</v>
      </c>
      <c r="P66" s="83">
        <v>100</v>
      </c>
      <c r="Q66" s="122">
        <v>17</v>
      </c>
      <c r="R66" s="122">
        <v>17</v>
      </c>
      <c r="S66" s="122">
        <v>17</v>
      </c>
      <c r="T66" s="122">
        <v>14</v>
      </c>
      <c r="U66" s="122">
        <v>14</v>
      </c>
      <c r="V66" s="110">
        <f t="shared" si="0"/>
        <v>92.25</v>
      </c>
      <c r="W66" s="110">
        <f t="shared" si="1"/>
        <v>89.125</v>
      </c>
      <c r="X66" s="110">
        <f t="shared" si="2"/>
        <v>92.875</v>
      </c>
      <c r="Y66" s="110">
        <f t="shared" si="3"/>
        <v>92.875</v>
      </c>
      <c r="Z66" s="110">
        <f t="shared" si="4"/>
        <v>92.875</v>
      </c>
      <c r="AA66" s="110">
        <f t="shared" si="7"/>
        <v>85</v>
      </c>
      <c r="AB66" s="110">
        <f t="shared" si="8"/>
        <v>85</v>
      </c>
      <c r="AC66" s="110">
        <f t="shared" si="9"/>
        <v>85</v>
      </c>
      <c r="AD66" s="110">
        <f t="shared" si="10"/>
        <v>70</v>
      </c>
      <c r="AE66" s="110">
        <f t="shared" si="11"/>
        <v>70</v>
      </c>
      <c r="AF66" s="110">
        <f t="shared" si="12"/>
        <v>87.9</v>
      </c>
      <c r="AG66" s="110">
        <f t="shared" si="13"/>
        <v>86.65</v>
      </c>
      <c r="AH66" s="110">
        <f t="shared" si="14"/>
        <v>88.15</v>
      </c>
      <c r="AI66" s="110">
        <f t="shared" si="15"/>
        <v>79.150000000000006</v>
      </c>
      <c r="AJ66" s="110">
        <f t="shared" si="16"/>
        <v>79.150000000000006</v>
      </c>
    </row>
    <row r="67" spans="1:36" s="85" customFormat="1" ht="52.5" customHeight="1" x14ac:dyDescent="0.25">
      <c r="A67" s="83">
        <v>49</v>
      </c>
      <c r="B67" s="83" t="s">
        <v>385</v>
      </c>
      <c r="C67" s="84" t="s">
        <v>386</v>
      </c>
      <c r="D67" s="93" t="s">
        <v>387</v>
      </c>
      <c r="E67" s="83">
        <v>14</v>
      </c>
      <c r="F67" s="83">
        <v>13</v>
      </c>
      <c r="G67" s="83">
        <v>17</v>
      </c>
      <c r="H67" s="83">
        <v>29</v>
      </c>
      <c r="I67" s="83">
        <v>30</v>
      </c>
      <c r="J67" s="83">
        <v>9</v>
      </c>
      <c r="K67" s="83">
        <v>9</v>
      </c>
      <c r="L67" s="83">
        <v>9</v>
      </c>
      <c r="M67" s="83">
        <v>9</v>
      </c>
      <c r="N67" s="83">
        <v>9</v>
      </c>
      <c r="O67" s="83">
        <v>88</v>
      </c>
      <c r="P67" s="83">
        <v>100</v>
      </c>
      <c r="Q67" s="122">
        <v>16</v>
      </c>
      <c r="R67" s="122">
        <v>13</v>
      </c>
      <c r="S67" s="122">
        <v>9</v>
      </c>
      <c r="T67" s="122">
        <v>13</v>
      </c>
      <c r="U67" s="122">
        <v>13</v>
      </c>
      <c r="V67" s="110">
        <f t="shared" si="0"/>
        <v>78.25</v>
      </c>
      <c r="W67" s="110">
        <f t="shared" si="1"/>
        <v>77.625</v>
      </c>
      <c r="X67" s="110">
        <f t="shared" si="2"/>
        <v>80.125</v>
      </c>
      <c r="Y67" s="110">
        <f t="shared" si="3"/>
        <v>87.625</v>
      </c>
      <c r="Z67" s="110">
        <f t="shared" si="4"/>
        <v>88.25</v>
      </c>
      <c r="AA67" s="110">
        <f t="shared" si="7"/>
        <v>80</v>
      </c>
      <c r="AB67" s="110">
        <f t="shared" si="8"/>
        <v>65</v>
      </c>
      <c r="AC67" s="110">
        <f t="shared" si="9"/>
        <v>45</v>
      </c>
      <c r="AD67" s="110">
        <f t="shared" si="10"/>
        <v>65</v>
      </c>
      <c r="AE67" s="110">
        <f t="shared" si="11"/>
        <v>65</v>
      </c>
      <c r="AF67" s="110">
        <f t="shared" si="12"/>
        <v>79.3</v>
      </c>
      <c r="AG67" s="110">
        <f t="shared" si="13"/>
        <v>70.05</v>
      </c>
      <c r="AH67" s="110">
        <f t="shared" si="14"/>
        <v>59.050000000000004</v>
      </c>
      <c r="AI67" s="110">
        <f t="shared" si="15"/>
        <v>74.050000000000011</v>
      </c>
      <c r="AJ67" s="110">
        <f t="shared" si="16"/>
        <v>74.300000000000011</v>
      </c>
    </row>
    <row r="68" spans="1:36" s="85" customFormat="1" ht="52.5" customHeight="1" x14ac:dyDescent="0.25">
      <c r="A68" s="83">
        <v>50</v>
      </c>
      <c r="B68" s="83" t="s">
        <v>388</v>
      </c>
      <c r="C68" s="84" t="s">
        <v>389</v>
      </c>
      <c r="D68" s="93" t="s">
        <v>390</v>
      </c>
      <c r="E68" s="83">
        <v>10</v>
      </c>
      <c r="F68" s="83">
        <v>20</v>
      </c>
      <c r="G68" s="83">
        <v>23</v>
      </c>
      <c r="H68" s="83">
        <v>19</v>
      </c>
      <c r="I68" s="83">
        <v>25</v>
      </c>
      <c r="J68" s="83">
        <v>8</v>
      </c>
      <c r="K68" s="83">
        <v>8</v>
      </c>
      <c r="L68" s="83">
        <v>8</v>
      </c>
      <c r="M68" s="83">
        <v>8</v>
      </c>
      <c r="N68" s="83">
        <v>8</v>
      </c>
      <c r="O68" s="83">
        <v>88</v>
      </c>
      <c r="P68" s="83">
        <v>98</v>
      </c>
      <c r="Q68" s="122">
        <v>14</v>
      </c>
      <c r="R68" s="122">
        <v>14</v>
      </c>
      <c r="S68" s="122">
        <v>10</v>
      </c>
      <c r="T68" s="122">
        <v>13</v>
      </c>
      <c r="U68" s="122">
        <v>12</v>
      </c>
      <c r="V68" s="110">
        <f t="shared" si="0"/>
        <v>72.75</v>
      </c>
      <c r="W68" s="110">
        <f t="shared" si="1"/>
        <v>79</v>
      </c>
      <c r="X68" s="110">
        <f t="shared" si="2"/>
        <v>80.875</v>
      </c>
      <c r="Y68" s="110">
        <f t="shared" si="3"/>
        <v>78.375</v>
      </c>
      <c r="Z68" s="110">
        <f t="shared" si="4"/>
        <v>82.125</v>
      </c>
      <c r="AA68" s="110">
        <f t="shared" si="7"/>
        <v>70</v>
      </c>
      <c r="AB68" s="110">
        <f t="shared" si="8"/>
        <v>70</v>
      </c>
      <c r="AC68" s="110">
        <f t="shared" si="9"/>
        <v>50</v>
      </c>
      <c r="AD68" s="110">
        <f t="shared" si="10"/>
        <v>65</v>
      </c>
      <c r="AE68" s="110">
        <f t="shared" si="11"/>
        <v>60</v>
      </c>
      <c r="AF68" s="110">
        <f t="shared" si="12"/>
        <v>71.099999999999994</v>
      </c>
      <c r="AG68" s="110">
        <f t="shared" si="13"/>
        <v>73.599999999999994</v>
      </c>
      <c r="AH68" s="110">
        <f t="shared" si="14"/>
        <v>62.35</v>
      </c>
      <c r="AI68" s="110">
        <f t="shared" si="15"/>
        <v>70.349999999999994</v>
      </c>
      <c r="AJ68" s="110">
        <f t="shared" si="16"/>
        <v>68.849999999999994</v>
      </c>
    </row>
    <row r="69" spans="1:36" s="85" customFormat="1" ht="52.5" customHeight="1" x14ac:dyDescent="0.25">
      <c r="A69" s="83">
        <v>51</v>
      </c>
      <c r="B69" s="83" t="s">
        <v>391</v>
      </c>
      <c r="C69" s="84" t="s">
        <v>392</v>
      </c>
      <c r="D69" s="93" t="s">
        <v>393</v>
      </c>
      <c r="E69" s="83">
        <v>3</v>
      </c>
      <c r="F69" s="83">
        <v>29</v>
      </c>
      <c r="G69" s="83">
        <v>22</v>
      </c>
      <c r="H69" s="83">
        <v>31</v>
      </c>
      <c r="I69" s="83">
        <v>24</v>
      </c>
      <c r="J69" s="83">
        <v>8</v>
      </c>
      <c r="K69" s="83">
        <v>8</v>
      </c>
      <c r="L69" s="83">
        <v>8</v>
      </c>
      <c r="M69" s="83">
        <v>8</v>
      </c>
      <c r="N69" s="83">
        <v>8</v>
      </c>
      <c r="O69" s="83">
        <v>86</v>
      </c>
      <c r="P69" s="83">
        <v>98</v>
      </c>
      <c r="Q69" s="122">
        <v>3</v>
      </c>
      <c r="R69" s="122">
        <v>6</v>
      </c>
      <c r="S69" s="122">
        <v>3</v>
      </c>
      <c r="T69" s="122">
        <v>10</v>
      </c>
      <c r="U69" s="122">
        <v>6</v>
      </c>
      <c r="V69" s="110">
        <f t="shared" si="0"/>
        <v>67.875</v>
      </c>
      <c r="W69" s="110">
        <f t="shared" si="1"/>
        <v>84.125</v>
      </c>
      <c r="X69" s="110">
        <f t="shared" si="2"/>
        <v>79.75</v>
      </c>
      <c r="Y69" s="110">
        <f t="shared" si="3"/>
        <v>85.375</v>
      </c>
      <c r="Z69" s="110">
        <f t="shared" si="4"/>
        <v>81</v>
      </c>
      <c r="AA69" s="110">
        <f t="shared" si="7"/>
        <v>15</v>
      </c>
      <c r="AB69" s="110">
        <f t="shared" si="8"/>
        <v>30</v>
      </c>
      <c r="AC69" s="110">
        <f t="shared" si="9"/>
        <v>15</v>
      </c>
      <c r="AD69" s="110">
        <f t="shared" si="10"/>
        <v>50</v>
      </c>
      <c r="AE69" s="110">
        <f t="shared" si="11"/>
        <v>30</v>
      </c>
      <c r="AF69" s="110">
        <f t="shared" si="12"/>
        <v>36.150000000000006</v>
      </c>
      <c r="AG69" s="110">
        <f t="shared" si="13"/>
        <v>51.65</v>
      </c>
      <c r="AH69" s="110">
        <f t="shared" si="14"/>
        <v>40.900000000000006</v>
      </c>
      <c r="AI69" s="110">
        <f t="shared" si="15"/>
        <v>64.150000000000006</v>
      </c>
      <c r="AJ69" s="110">
        <f t="shared" si="16"/>
        <v>50.4</v>
      </c>
    </row>
    <row r="70" spans="1:36" s="85" customFormat="1" ht="52.5" customHeight="1" x14ac:dyDescent="0.25">
      <c r="A70" s="83">
        <v>52</v>
      </c>
      <c r="B70" s="83" t="s">
        <v>394</v>
      </c>
      <c r="C70" s="84" t="s">
        <v>395</v>
      </c>
      <c r="D70" s="93" t="s">
        <v>396</v>
      </c>
      <c r="E70" s="83">
        <v>27</v>
      </c>
      <c r="F70" s="83">
        <v>32</v>
      </c>
      <c r="G70" s="83">
        <v>31</v>
      </c>
      <c r="H70" s="83">
        <v>35</v>
      </c>
      <c r="I70" s="83">
        <v>33</v>
      </c>
      <c r="J70" s="83">
        <v>10</v>
      </c>
      <c r="K70" s="83">
        <v>10</v>
      </c>
      <c r="L70" s="83">
        <v>10</v>
      </c>
      <c r="M70" s="83">
        <v>10</v>
      </c>
      <c r="N70" s="83">
        <v>10</v>
      </c>
      <c r="O70" s="83">
        <v>92</v>
      </c>
      <c r="P70" s="83">
        <v>100</v>
      </c>
      <c r="Q70" s="122">
        <v>17</v>
      </c>
      <c r="R70" s="122">
        <v>15</v>
      </c>
      <c r="S70" s="122">
        <v>16</v>
      </c>
      <c r="T70" s="122">
        <v>17</v>
      </c>
      <c r="U70" s="122">
        <v>16</v>
      </c>
      <c r="V70" s="110">
        <f t="shared" si="0"/>
        <v>89.875</v>
      </c>
      <c r="W70" s="110">
        <f t="shared" si="1"/>
        <v>93</v>
      </c>
      <c r="X70" s="110">
        <f t="shared" si="2"/>
        <v>92.375</v>
      </c>
      <c r="Y70" s="110">
        <f t="shared" si="3"/>
        <v>94.875</v>
      </c>
      <c r="Z70" s="110">
        <f t="shared" si="4"/>
        <v>93.625</v>
      </c>
      <c r="AA70" s="110">
        <f t="shared" si="7"/>
        <v>85</v>
      </c>
      <c r="AB70" s="110">
        <f t="shared" si="8"/>
        <v>75</v>
      </c>
      <c r="AC70" s="110">
        <f t="shared" si="9"/>
        <v>80</v>
      </c>
      <c r="AD70" s="110">
        <f t="shared" si="10"/>
        <v>85</v>
      </c>
      <c r="AE70" s="110">
        <f t="shared" si="11"/>
        <v>80</v>
      </c>
      <c r="AF70" s="110">
        <f t="shared" si="12"/>
        <v>86.95</v>
      </c>
      <c r="AG70" s="110">
        <f t="shared" si="13"/>
        <v>82.2</v>
      </c>
      <c r="AH70" s="110">
        <f t="shared" si="14"/>
        <v>84.95</v>
      </c>
      <c r="AI70" s="110">
        <f t="shared" si="15"/>
        <v>88.95</v>
      </c>
      <c r="AJ70" s="110">
        <f t="shared" si="16"/>
        <v>85.45</v>
      </c>
    </row>
    <row r="71" spans="1:36" s="85" customFormat="1" ht="52.5" customHeight="1" x14ac:dyDescent="0.25">
      <c r="A71" s="83">
        <v>53</v>
      </c>
      <c r="B71" s="83" t="s">
        <v>397</v>
      </c>
      <c r="C71" s="84" t="s">
        <v>398</v>
      </c>
      <c r="D71" s="93" t="s">
        <v>399</v>
      </c>
      <c r="E71" s="83">
        <v>29</v>
      </c>
      <c r="F71" s="83">
        <v>30</v>
      </c>
      <c r="G71" s="83">
        <v>34</v>
      </c>
      <c r="H71" s="83">
        <v>36</v>
      </c>
      <c r="I71" s="83">
        <v>34</v>
      </c>
      <c r="J71" s="83">
        <v>9</v>
      </c>
      <c r="K71" s="83">
        <v>9</v>
      </c>
      <c r="L71" s="83">
        <v>9</v>
      </c>
      <c r="M71" s="83">
        <v>9</v>
      </c>
      <c r="N71" s="83">
        <v>9</v>
      </c>
      <c r="O71" s="83">
        <v>88</v>
      </c>
      <c r="P71" s="83">
        <v>100</v>
      </c>
      <c r="Q71" s="122">
        <v>17</v>
      </c>
      <c r="R71" s="122">
        <v>17</v>
      </c>
      <c r="S71" s="122">
        <v>17</v>
      </c>
      <c r="T71" s="122">
        <v>17</v>
      </c>
      <c r="U71" s="122">
        <v>17</v>
      </c>
      <c r="V71" s="110">
        <f t="shared" si="0"/>
        <v>87.625</v>
      </c>
      <c r="W71" s="110">
        <f t="shared" si="1"/>
        <v>88.25</v>
      </c>
      <c r="X71" s="110">
        <f t="shared" si="2"/>
        <v>90.75</v>
      </c>
      <c r="Y71" s="110">
        <f t="shared" si="3"/>
        <v>92</v>
      </c>
      <c r="Z71" s="110">
        <f t="shared" si="4"/>
        <v>90.75</v>
      </c>
      <c r="AA71" s="110">
        <f t="shared" si="7"/>
        <v>85</v>
      </c>
      <c r="AB71" s="110">
        <f t="shared" si="8"/>
        <v>85</v>
      </c>
      <c r="AC71" s="110">
        <f t="shared" si="9"/>
        <v>85</v>
      </c>
      <c r="AD71" s="110">
        <f t="shared" si="10"/>
        <v>85</v>
      </c>
      <c r="AE71" s="110">
        <f t="shared" si="11"/>
        <v>85</v>
      </c>
      <c r="AF71" s="110">
        <f t="shared" si="12"/>
        <v>86.050000000000011</v>
      </c>
      <c r="AG71" s="110">
        <f t="shared" si="13"/>
        <v>86.300000000000011</v>
      </c>
      <c r="AH71" s="110">
        <f t="shared" si="14"/>
        <v>87.300000000000011</v>
      </c>
      <c r="AI71" s="110">
        <f t="shared" si="15"/>
        <v>87.800000000000011</v>
      </c>
      <c r="AJ71" s="110">
        <f t="shared" si="16"/>
        <v>87.300000000000011</v>
      </c>
    </row>
    <row r="72" spans="1:36" s="85" customFormat="1" ht="52.5" customHeight="1" x14ac:dyDescent="0.25">
      <c r="A72" s="83">
        <v>54</v>
      </c>
      <c r="B72" s="83" t="s">
        <v>400</v>
      </c>
      <c r="C72" s="84" t="s">
        <v>401</v>
      </c>
      <c r="D72" s="93" t="s">
        <v>402</v>
      </c>
      <c r="E72" s="83">
        <v>30</v>
      </c>
      <c r="F72" s="83">
        <v>31</v>
      </c>
      <c r="G72" s="83">
        <v>36</v>
      </c>
      <c r="H72" s="83">
        <v>36</v>
      </c>
      <c r="I72" s="83">
        <v>29</v>
      </c>
      <c r="J72" s="83">
        <v>8</v>
      </c>
      <c r="K72" s="83">
        <v>8</v>
      </c>
      <c r="L72" s="83">
        <v>8</v>
      </c>
      <c r="M72" s="83">
        <v>8</v>
      </c>
      <c r="N72" s="83">
        <v>8</v>
      </c>
      <c r="O72" s="83">
        <v>94</v>
      </c>
      <c r="P72" s="83">
        <v>95</v>
      </c>
      <c r="Q72" s="122">
        <v>18</v>
      </c>
      <c r="R72" s="122">
        <v>16</v>
      </c>
      <c r="S72" s="122">
        <v>18</v>
      </c>
      <c r="T72" s="122">
        <v>18</v>
      </c>
      <c r="U72" s="122">
        <v>17</v>
      </c>
      <c r="V72" s="110">
        <f t="shared" si="0"/>
        <v>86</v>
      </c>
      <c r="W72" s="110">
        <f t="shared" si="1"/>
        <v>86.625</v>
      </c>
      <c r="X72" s="110">
        <f t="shared" si="2"/>
        <v>89.75</v>
      </c>
      <c r="Y72" s="110">
        <f t="shared" si="3"/>
        <v>89.75</v>
      </c>
      <c r="Z72" s="110">
        <f t="shared" si="4"/>
        <v>85.375</v>
      </c>
      <c r="AA72" s="110">
        <f t="shared" si="7"/>
        <v>90</v>
      </c>
      <c r="AB72" s="110">
        <f t="shared" si="8"/>
        <v>80</v>
      </c>
      <c r="AC72" s="110">
        <f t="shared" si="9"/>
        <v>90</v>
      </c>
      <c r="AD72" s="110">
        <f t="shared" si="10"/>
        <v>90</v>
      </c>
      <c r="AE72" s="110">
        <f t="shared" si="11"/>
        <v>85</v>
      </c>
      <c r="AF72" s="110">
        <f t="shared" si="12"/>
        <v>88.4</v>
      </c>
      <c r="AG72" s="110">
        <f t="shared" si="13"/>
        <v>82.65</v>
      </c>
      <c r="AH72" s="110">
        <f t="shared" si="14"/>
        <v>89.9</v>
      </c>
      <c r="AI72" s="110">
        <f t="shared" si="15"/>
        <v>89.9</v>
      </c>
      <c r="AJ72" s="110">
        <f t="shared" si="16"/>
        <v>85.15</v>
      </c>
    </row>
    <row r="73" spans="1:36" s="85" customFormat="1" ht="52.5" customHeight="1" x14ac:dyDescent="0.25">
      <c r="A73" s="83">
        <v>55</v>
      </c>
      <c r="B73" s="83" t="s">
        <v>403</v>
      </c>
      <c r="C73" s="84" t="s">
        <v>404</v>
      </c>
      <c r="D73" s="93" t="s">
        <v>405</v>
      </c>
      <c r="E73" s="83">
        <v>29</v>
      </c>
      <c r="F73" s="83">
        <v>38</v>
      </c>
      <c r="G73" s="83">
        <v>33</v>
      </c>
      <c r="H73" s="83">
        <v>35</v>
      </c>
      <c r="I73" s="83">
        <v>36</v>
      </c>
      <c r="J73" s="83">
        <v>9</v>
      </c>
      <c r="K73" s="83">
        <v>9</v>
      </c>
      <c r="L73" s="83">
        <v>9</v>
      </c>
      <c r="M73" s="83">
        <v>9</v>
      </c>
      <c r="N73" s="83">
        <v>9</v>
      </c>
      <c r="O73" s="83">
        <v>94</v>
      </c>
      <c r="P73" s="83">
        <v>100</v>
      </c>
      <c r="Q73" s="122">
        <v>17</v>
      </c>
      <c r="R73" s="122">
        <v>17</v>
      </c>
      <c r="S73" s="122">
        <v>15</v>
      </c>
      <c r="T73" s="122">
        <v>15</v>
      </c>
      <c r="U73" s="122">
        <v>15</v>
      </c>
      <c r="V73" s="110">
        <f t="shared" si="0"/>
        <v>89.125</v>
      </c>
      <c r="W73" s="110">
        <f t="shared" si="1"/>
        <v>94.75</v>
      </c>
      <c r="X73" s="110">
        <f t="shared" si="2"/>
        <v>91.625</v>
      </c>
      <c r="Y73" s="110">
        <f t="shared" si="3"/>
        <v>92.875</v>
      </c>
      <c r="Z73" s="110">
        <f t="shared" si="4"/>
        <v>93.5</v>
      </c>
      <c r="AA73" s="110">
        <f t="shared" si="7"/>
        <v>85</v>
      </c>
      <c r="AB73" s="110">
        <f t="shared" si="8"/>
        <v>85</v>
      </c>
      <c r="AC73" s="110">
        <f t="shared" si="9"/>
        <v>75</v>
      </c>
      <c r="AD73" s="110">
        <f t="shared" si="10"/>
        <v>75</v>
      </c>
      <c r="AE73" s="110">
        <f t="shared" si="11"/>
        <v>75</v>
      </c>
      <c r="AF73" s="110">
        <f t="shared" si="12"/>
        <v>86.65</v>
      </c>
      <c r="AG73" s="110">
        <f t="shared" si="13"/>
        <v>88.9</v>
      </c>
      <c r="AH73" s="110">
        <f t="shared" si="14"/>
        <v>81.650000000000006</v>
      </c>
      <c r="AI73" s="110">
        <f t="shared" si="15"/>
        <v>82.15</v>
      </c>
      <c r="AJ73" s="110">
        <f t="shared" si="16"/>
        <v>82.4</v>
      </c>
    </row>
    <row r="74" spans="1:36" s="85" customFormat="1" ht="52.5" customHeight="1" x14ac:dyDescent="0.25">
      <c r="A74" s="83">
        <v>56</v>
      </c>
      <c r="B74" s="83" t="s">
        <v>406</v>
      </c>
      <c r="C74" s="84" t="s">
        <v>407</v>
      </c>
      <c r="D74" s="93" t="s">
        <v>408</v>
      </c>
      <c r="E74" s="83">
        <v>14</v>
      </c>
      <c r="F74" s="83">
        <v>22</v>
      </c>
      <c r="G74" s="83">
        <v>26</v>
      </c>
      <c r="H74" s="83">
        <v>34</v>
      </c>
      <c r="I74" s="83">
        <v>19</v>
      </c>
      <c r="J74" s="83">
        <v>9</v>
      </c>
      <c r="K74" s="83">
        <v>9</v>
      </c>
      <c r="L74" s="83">
        <v>9</v>
      </c>
      <c r="M74" s="83">
        <v>9</v>
      </c>
      <c r="N74" s="83">
        <v>9</v>
      </c>
      <c r="O74" s="83">
        <v>86</v>
      </c>
      <c r="P74" s="83">
        <v>100</v>
      </c>
      <c r="Q74" s="122">
        <v>15</v>
      </c>
      <c r="R74" s="122">
        <v>14</v>
      </c>
      <c r="S74" s="122">
        <v>11</v>
      </c>
      <c r="T74" s="122">
        <v>13</v>
      </c>
      <c r="U74" s="122">
        <v>12</v>
      </c>
      <c r="V74" s="110">
        <f t="shared" si="0"/>
        <v>77.75</v>
      </c>
      <c r="W74" s="110">
        <f t="shared" si="1"/>
        <v>82.75</v>
      </c>
      <c r="X74" s="110">
        <f t="shared" si="2"/>
        <v>85.25</v>
      </c>
      <c r="Y74" s="110">
        <f t="shared" si="3"/>
        <v>90.25</v>
      </c>
      <c r="Z74" s="110">
        <f t="shared" si="4"/>
        <v>80.875</v>
      </c>
      <c r="AA74" s="110">
        <f t="shared" si="7"/>
        <v>75</v>
      </c>
      <c r="AB74" s="110">
        <f t="shared" si="8"/>
        <v>70</v>
      </c>
      <c r="AC74" s="110">
        <f t="shared" si="9"/>
        <v>55.000000000000007</v>
      </c>
      <c r="AD74" s="110">
        <f t="shared" si="10"/>
        <v>65</v>
      </c>
      <c r="AE74" s="110">
        <f t="shared" si="11"/>
        <v>60</v>
      </c>
      <c r="AF74" s="110">
        <f t="shared" si="12"/>
        <v>76.099999999999994</v>
      </c>
      <c r="AG74" s="110">
        <f t="shared" si="13"/>
        <v>75.099999999999994</v>
      </c>
      <c r="AH74" s="110">
        <f t="shared" si="14"/>
        <v>67.099999999999994</v>
      </c>
      <c r="AI74" s="110">
        <f t="shared" si="15"/>
        <v>75.099999999999994</v>
      </c>
      <c r="AJ74" s="110">
        <f t="shared" si="16"/>
        <v>68.349999999999994</v>
      </c>
    </row>
    <row r="75" spans="1:36" s="85" customFormat="1" ht="52.5" customHeight="1" x14ac:dyDescent="0.25">
      <c r="A75" s="83">
        <v>57</v>
      </c>
      <c r="B75" s="83" t="s">
        <v>409</v>
      </c>
      <c r="C75" s="84" t="s">
        <v>410</v>
      </c>
      <c r="D75" s="93" t="s">
        <v>411</v>
      </c>
      <c r="E75" s="83">
        <v>31</v>
      </c>
      <c r="F75" s="83">
        <v>30</v>
      </c>
      <c r="G75" s="83">
        <v>32</v>
      </c>
      <c r="H75" s="83">
        <v>29</v>
      </c>
      <c r="I75" s="83">
        <v>29</v>
      </c>
      <c r="J75" s="83">
        <v>9</v>
      </c>
      <c r="K75" s="83">
        <v>9</v>
      </c>
      <c r="L75" s="83">
        <v>9</v>
      </c>
      <c r="M75" s="83">
        <v>9</v>
      </c>
      <c r="N75" s="83">
        <v>9</v>
      </c>
      <c r="O75" s="83">
        <v>96</v>
      </c>
      <c r="P75" s="83">
        <v>95</v>
      </c>
      <c r="Q75" s="122">
        <v>18</v>
      </c>
      <c r="R75" s="122">
        <v>16</v>
      </c>
      <c r="S75" s="122">
        <v>14</v>
      </c>
      <c r="T75" s="122">
        <v>15</v>
      </c>
      <c r="U75" s="122">
        <v>14</v>
      </c>
      <c r="V75" s="110">
        <f t="shared" si="0"/>
        <v>89.625</v>
      </c>
      <c r="W75" s="110">
        <f t="shared" si="1"/>
        <v>89</v>
      </c>
      <c r="X75" s="110">
        <f t="shared" si="2"/>
        <v>90.25</v>
      </c>
      <c r="Y75" s="110">
        <f t="shared" si="3"/>
        <v>88.375</v>
      </c>
      <c r="Z75" s="110">
        <f t="shared" si="4"/>
        <v>88.375</v>
      </c>
      <c r="AA75" s="110">
        <f t="shared" si="7"/>
        <v>90</v>
      </c>
      <c r="AB75" s="110">
        <f t="shared" si="8"/>
        <v>80</v>
      </c>
      <c r="AC75" s="110">
        <f t="shared" si="9"/>
        <v>70</v>
      </c>
      <c r="AD75" s="110">
        <f t="shared" si="10"/>
        <v>75</v>
      </c>
      <c r="AE75" s="110">
        <f t="shared" si="11"/>
        <v>70</v>
      </c>
      <c r="AF75" s="110">
        <f t="shared" si="12"/>
        <v>89.85</v>
      </c>
      <c r="AG75" s="110">
        <f t="shared" si="13"/>
        <v>83.6</v>
      </c>
      <c r="AH75" s="110">
        <f t="shared" si="14"/>
        <v>78.099999999999994</v>
      </c>
      <c r="AI75" s="110">
        <f t="shared" si="15"/>
        <v>80.349999999999994</v>
      </c>
      <c r="AJ75" s="110">
        <f t="shared" si="16"/>
        <v>77.349999999999994</v>
      </c>
    </row>
    <row r="76" spans="1:36" s="85" customFormat="1" ht="52.5" customHeight="1" x14ac:dyDescent="0.25">
      <c r="A76" s="83">
        <v>58</v>
      </c>
      <c r="B76" s="83" t="s">
        <v>412</v>
      </c>
      <c r="C76" s="84" t="s">
        <v>413</v>
      </c>
      <c r="D76" s="93" t="s">
        <v>414</v>
      </c>
      <c r="E76" s="83">
        <v>24</v>
      </c>
      <c r="F76" s="83">
        <v>29</v>
      </c>
      <c r="G76" s="83">
        <v>27</v>
      </c>
      <c r="H76" s="83">
        <v>32</v>
      </c>
      <c r="I76" s="83">
        <v>30</v>
      </c>
      <c r="J76" s="83">
        <v>9</v>
      </c>
      <c r="K76" s="83">
        <v>9</v>
      </c>
      <c r="L76" s="83">
        <v>9</v>
      </c>
      <c r="M76" s="83">
        <v>9</v>
      </c>
      <c r="N76" s="83">
        <v>9</v>
      </c>
      <c r="O76" s="83">
        <v>90</v>
      </c>
      <c r="P76" s="83">
        <v>100</v>
      </c>
      <c r="Q76" s="122">
        <v>16</v>
      </c>
      <c r="R76" s="122">
        <v>16</v>
      </c>
      <c r="S76" s="122">
        <v>13</v>
      </c>
      <c r="T76" s="122">
        <v>14</v>
      </c>
      <c r="U76" s="122">
        <v>13</v>
      </c>
      <c r="V76" s="110">
        <f t="shared" si="0"/>
        <v>85</v>
      </c>
      <c r="W76" s="110">
        <f t="shared" si="1"/>
        <v>88.125</v>
      </c>
      <c r="X76" s="110">
        <f t="shared" si="2"/>
        <v>86.875</v>
      </c>
      <c r="Y76" s="110">
        <f t="shared" si="3"/>
        <v>90</v>
      </c>
      <c r="Z76" s="110">
        <f t="shared" si="4"/>
        <v>88.75</v>
      </c>
      <c r="AA76" s="110">
        <f t="shared" si="7"/>
        <v>80</v>
      </c>
      <c r="AB76" s="110">
        <f t="shared" si="8"/>
        <v>80</v>
      </c>
      <c r="AC76" s="110">
        <f t="shared" si="9"/>
        <v>65</v>
      </c>
      <c r="AD76" s="110">
        <f t="shared" si="10"/>
        <v>70</v>
      </c>
      <c r="AE76" s="110">
        <f t="shared" si="11"/>
        <v>65</v>
      </c>
      <c r="AF76" s="110">
        <f t="shared" si="12"/>
        <v>82</v>
      </c>
      <c r="AG76" s="110">
        <f t="shared" si="13"/>
        <v>83.25</v>
      </c>
      <c r="AH76" s="110">
        <f t="shared" si="14"/>
        <v>73.75</v>
      </c>
      <c r="AI76" s="110">
        <f t="shared" si="15"/>
        <v>78</v>
      </c>
      <c r="AJ76" s="110">
        <f t="shared" si="16"/>
        <v>74.5</v>
      </c>
    </row>
    <row r="77" spans="1:36" s="85" customFormat="1" ht="52.5" customHeight="1" x14ac:dyDescent="0.25">
      <c r="A77" s="83">
        <v>59</v>
      </c>
      <c r="B77" s="83" t="s">
        <v>415</v>
      </c>
      <c r="C77" s="84" t="s">
        <v>416</v>
      </c>
      <c r="D77" s="93" t="s">
        <v>417</v>
      </c>
      <c r="E77" s="83">
        <v>10</v>
      </c>
      <c r="F77" s="83">
        <v>8</v>
      </c>
      <c r="G77" s="83">
        <v>12</v>
      </c>
      <c r="H77" s="83">
        <v>30</v>
      </c>
      <c r="I77" s="83">
        <v>30</v>
      </c>
      <c r="J77" s="83">
        <v>9</v>
      </c>
      <c r="K77" s="83">
        <v>9</v>
      </c>
      <c r="L77" s="83">
        <v>9</v>
      </c>
      <c r="M77" s="83">
        <v>9</v>
      </c>
      <c r="N77" s="83">
        <v>9</v>
      </c>
      <c r="O77" s="83">
        <v>86</v>
      </c>
      <c r="P77" s="83">
        <v>97</v>
      </c>
      <c r="Q77" s="122">
        <v>16</v>
      </c>
      <c r="R77" s="122">
        <v>14</v>
      </c>
      <c r="S77" s="122">
        <v>16</v>
      </c>
      <c r="T77" s="122">
        <v>4</v>
      </c>
      <c r="U77" s="122">
        <v>12</v>
      </c>
      <c r="V77" s="110">
        <f t="shared" si="0"/>
        <v>74.5</v>
      </c>
      <c r="W77" s="110">
        <f t="shared" si="1"/>
        <v>73.25</v>
      </c>
      <c r="X77" s="110">
        <f t="shared" si="2"/>
        <v>75.75</v>
      </c>
      <c r="Y77" s="110">
        <f t="shared" si="3"/>
        <v>87</v>
      </c>
      <c r="Z77" s="110">
        <f t="shared" si="4"/>
        <v>87</v>
      </c>
      <c r="AA77" s="110">
        <f t="shared" si="7"/>
        <v>80</v>
      </c>
      <c r="AB77" s="110">
        <f t="shared" si="8"/>
        <v>70</v>
      </c>
      <c r="AC77" s="110">
        <f t="shared" si="9"/>
        <v>80</v>
      </c>
      <c r="AD77" s="110">
        <f t="shared" si="10"/>
        <v>20</v>
      </c>
      <c r="AE77" s="110">
        <f t="shared" si="11"/>
        <v>60</v>
      </c>
      <c r="AF77" s="110">
        <f t="shared" si="12"/>
        <v>77.8</v>
      </c>
      <c r="AG77" s="110">
        <f t="shared" si="13"/>
        <v>71.3</v>
      </c>
      <c r="AH77" s="110">
        <f t="shared" si="14"/>
        <v>78.3</v>
      </c>
      <c r="AI77" s="110">
        <f t="shared" si="15"/>
        <v>46.800000000000004</v>
      </c>
      <c r="AJ77" s="110">
        <f t="shared" si="16"/>
        <v>70.800000000000011</v>
      </c>
    </row>
    <row r="78" spans="1:36" s="85" customFormat="1" ht="52.5" customHeight="1" x14ac:dyDescent="0.25">
      <c r="A78" s="83">
        <v>60</v>
      </c>
      <c r="B78" s="83" t="s">
        <v>418</v>
      </c>
      <c r="C78" s="84" t="s">
        <v>419</v>
      </c>
      <c r="D78" s="93" t="s">
        <v>420</v>
      </c>
      <c r="E78" s="83">
        <v>32</v>
      </c>
      <c r="F78" s="83">
        <v>12</v>
      </c>
      <c r="G78" s="83">
        <v>23</v>
      </c>
      <c r="H78" s="83">
        <v>14</v>
      </c>
      <c r="I78" s="83">
        <v>5</v>
      </c>
      <c r="J78" s="83">
        <v>9</v>
      </c>
      <c r="K78" s="83">
        <v>9</v>
      </c>
      <c r="L78" s="83">
        <v>9</v>
      </c>
      <c r="M78" s="83">
        <v>9</v>
      </c>
      <c r="N78" s="83">
        <v>9</v>
      </c>
      <c r="O78" s="83">
        <v>92</v>
      </c>
      <c r="P78" s="83">
        <v>97</v>
      </c>
      <c r="Q78" s="122">
        <v>12</v>
      </c>
      <c r="R78" s="122">
        <v>8</v>
      </c>
      <c r="S78" s="122">
        <v>8</v>
      </c>
      <c r="T78" s="122">
        <v>9</v>
      </c>
      <c r="U78" s="122">
        <v>9</v>
      </c>
      <c r="V78" s="110">
        <f t="shared" si="0"/>
        <v>89.75</v>
      </c>
      <c r="W78" s="110">
        <f t="shared" si="1"/>
        <v>77.25</v>
      </c>
      <c r="X78" s="110">
        <f t="shared" si="2"/>
        <v>84.125</v>
      </c>
      <c r="Y78" s="110">
        <f t="shared" si="3"/>
        <v>78.5</v>
      </c>
      <c r="Z78" s="110">
        <f t="shared" si="4"/>
        <v>72.875</v>
      </c>
      <c r="AA78" s="110">
        <f t="shared" si="7"/>
        <v>60</v>
      </c>
      <c r="AB78" s="110">
        <f t="shared" si="8"/>
        <v>40</v>
      </c>
      <c r="AC78" s="110">
        <f t="shared" si="9"/>
        <v>40</v>
      </c>
      <c r="AD78" s="110">
        <f t="shared" si="10"/>
        <v>45</v>
      </c>
      <c r="AE78" s="110">
        <f t="shared" si="11"/>
        <v>45</v>
      </c>
      <c r="AF78" s="110">
        <f t="shared" si="12"/>
        <v>71.900000000000006</v>
      </c>
      <c r="AG78" s="110">
        <f t="shared" si="13"/>
        <v>54.900000000000006</v>
      </c>
      <c r="AH78" s="110">
        <f t="shared" si="14"/>
        <v>57.65</v>
      </c>
      <c r="AI78" s="110">
        <f t="shared" si="15"/>
        <v>58.400000000000006</v>
      </c>
      <c r="AJ78" s="110">
        <f t="shared" si="16"/>
        <v>56.150000000000006</v>
      </c>
    </row>
    <row r="79" spans="1:36" s="85" customFormat="1" ht="52.5" customHeight="1" x14ac:dyDescent="0.25">
      <c r="A79" s="83">
        <v>61</v>
      </c>
      <c r="B79" s="83" t="s">
        <v>421</v>
      </c>
      <c r="C79" s="84" t="s">
        <v>422</v>
      </c>
      <c r="D79" s="93" t="s">
        <v>423</v>
      </c>
      <c r="E79" s="83">
        <v>32</v>
      </c>
      <c r="F79" s="83">
        <v>32</v>
      </c>
      <c r="G79" s="83">
        <v>25</v>
      </c>
      <c r="H79" s="83">
        <v>29</v>
      </c>
      <c r="I79" s="83">
        <v>26</v>
      </c>
      <c r="J79" s="83">
        <v>9</v>
      </c>
      <c r="K79" s="83">
        <v>9</v>
      </c>
      <c r="L79" s="83">
        <v>9</v>
      </c>
      <c r="M79" s="83">
        <v>9</v>
      </c>
      <c r="N79" s="83">
        <v>9</v>
      </c>
      <c r="O79" s="83">
        <v>92</v>
      </c>
      <c r="P79" s="83">
        <v>97</v>
      </c>
      <c r="Q79" s="122">
        <v>18</v>
      </c>
      <c r="R79" s="122">
        <v>18</v>
      </c>
      <c r="S79" s="122">
        <v>16</v>
      </c>
      <c r="T79" s="122">
        <v>13</v>
      </c>
      <c r="U79" s="122">
        <v>13</v>
      </c>
      <c r="V79" s="110">
        <f t="shared" si="0"/>
        <v>89.75</v>
      </c>
      <c r="W79" s="110">
        <f t="shared" si="1"/>
        <v>89.75</v>
      </c>
      <c r="X79" s="110">
        <f t="shared" si="2"/>
        <v>85.375</v>
      </c>
      <c r="Y79" s="110">
        <f t="shared" si="3"/>
        <v>87.875</v>
      </c>
      <c r="Z79" s="110">
        <f t="shared" si="4"/>
        <v>86</v>
      </c>
      <c r="AA79" s="110">
        <f t="shared" si="7"/>
        <v>90</v>
      </c>
      <c r="AB79" s="110">
        <f t="shared" si="8"/>
        <v>90</v>
      </c>
      <c r="AC79" s="110">
        <f t="shared" si="9"/>
        <v>80</v>
      </c>
      <c r="AD79" s="110">
        <f t="shared" si="10"/>
        <v>65</v>
      </c>
      <c r="AE79" s="110">
        <f t="shared" si="11"/>
        <v>65</v>
      </c>
      <c r="AF79" s="110">
        <f t="shared" si="12"/>
        <v>89.9</v>
      </c>
      <c r="AG79" s="110">
        <f t="shared" si="13"/>
        <v>89.9</v>
      </c>
      <c r="AH79" s="110">
        <f t="shared" si="14"/>
        <v>82.15</v>
      </c>
      <c r="AI79" s="110">
        <f t="shared" si="15"/>
        <v>74.150000000000006</v>
      </c>
      <c r="AJ79" s="110">
        <f t="shared" si="16"/>
        <v>73.400000000000006</v>
      </c>
    </row>
    <row r="80" spans="1:36" s="85" customFormat="1" ht="52.5" customHeight="1" x14ac:dyDescent="0.25">
      <c r="A80" s="83">
        <v>62</v>
      </c>
      <c r="B80" s="83" t="s">
        <v>424</v>
      </c>
      <c r="C80" s="84" t="s">
        <v>425</v>
      </c>
      <c r="D80" s="93" t="s">
        <v>426</v>
      </c>
      <c r="E80" s="83">
        <v>23</v>
      </c>
      <c r="F80" s="83">
        <v>20</v>
      </c>
      <c r="G80" s="83">
        <v>20</v>
      </c>
      <c r="H80" s="83">
        <v>22</v>
      </c>
      <c r="I80" s="83">
        <v>27</v>
      </c>
      <c r="J80" s="83">
        <v>9</v>
      </c>
      <c r="K80" s="83">
        <v>9</v>
      </c>
      <c r="L80" s="83">
        <v>9</v>
      </c>
      <c r="M80" s="83">
        <v>9</v>
      </c>
      <c r="N80" s="83">
        <v>9</v>
      </c>
      <c r="O80" s="83">
        <v>88</v>
      </c>
      <c r="P80" s="83">
        <v>97</v>
      </c>
      <c r="Q80" s="122">
        <v>17</v>
      </c>
      <c r="R80" s="122">
        <v>16</v>
      </c>
      <c r="S80" s="122">
        <v>16</v>
      </c>
      <c r="T80" s="122">
        <v>16</v>
      </c>
      <c r="U80" s="122">
        <v>15</v>
      </c>
      <c r="V80" s="110">
        <f t="shared" si="0"/>
        <v>83.125</v>
      </c>
      <c r="W80" s="110">
        <f t="shared" si="1"/>
        <v>81.25</v>
      </c>
      <c r="X80" s="110">
        <f t="shared" si="2"/>
        <v>81.25</v>
      </c>
      <c r="Y80" s="110">
        <f t="shared" si="3"/>
        <v>82.5</v>
      </c>
      <c r="Z80" s="110">
        <f t="shared" si="4"/>
        <v>85.625</v>
      </c>
      <c r="AA80" s="110">
        <f t="shared" si="7"/>
        <v>85</v>
      </c>
      <c r="AB80" s="110">
        <f t="shared" si="8"/>
        <v>80</v>
      </c>
      <c r="AC80" s="110">
        <f t="shared" si="9"/>
        <v>80</v>
      </c>
      <c r="AD80" s="110">
        <f t="shared" si="10"/>
        <v>80</v>
      </c>
      <c r="AE80" s="110">
        <f t="shared" si="11"/>
        <v>75</v>
      </c>
      <c r="AF80" s="110">
        <f t="shared" si="12"/>
        <v>84.25</v>
      </c>
      <c r="AG80" s="110">
        <f t="shared" si="13"/>
        <v>80.5</v>
      </c>
      <c r="AH80" s="110">
        <f t="shared" si="14"/>
        <v>80.5</v>
      </c>
      <c r="AI80" s="110">
        <f t="shared" si="15"/>
        <v>81</v>
      </c>
      <c r="AJ80" s="110">
        <f t="shared" si="16"/>
        <v>79.25</v>
      </c>
    </row>
    <row r="81" spans="1:36" s="85" customFormat="1" ht="52.5" customHeight="1" x14ac:dyDescent="0.25">
      <c r="A81" s="83">
        <v>63</v>
      </c>
      <c r="B81" s="83" t="s">
        <v>427</v>
      </c>
      <c r="C81" s="84" t="s">
        <v>428</v>
      </c>
      <c r="D81" s="93" t="s">
        <v>429</v>
      </c>
      <c r="E81" s="83">
        <v>11</v>
      </c>
      <c r="F81" s="83">
        <v>9</v>
      </c>
      <c r="G81" s="83">
        <v>16</v>
      </c>
      <c r="H81" s="83">
        <v>27</v>
      </c>
      <c r="I81" s="83">
        <v>32</v>
      </c>
      <c r="J81" s="83">
        <v>9</v>
      </c>
      <c r="K81" s="83">
        <v>9</v>
      </c>
      <c r="L81" s="83">
        <v>9</v>
      </c>
      <c r="M81" s="83">
        <v>9</v>
      </c>
      <c r="N81" s="83">
        <v>9</v>
      </c>
      <c r="O81" s="83">
        <v>90</v>
      </c>
      <c r="P81" s="83">
        <v>97</v>
      </c>
      <c r="Q81" s="122">
        <v>16</v>
      </c>
      <c r="R81" s="122">
        <v>14</v>
      </c>
      <c r="S81" s="122">
        <v>13</v>
      </c>
      <c r="T81" s="122">
        <v>11</v>
      </c>
      <c r="U81" s="122">
        <v>12</v>
      </c>
      <c r="V81" s="110">
        <f t="shared" si="0"/>
        <v>76.125</v>
      </c>
      <c r="W81" s="110">
        <f t="shared" si="1"/>
        <v>74.875</v>
      </c>
      <c r="X81" s="110">
        <f t="shared" si="2"/>
        <v>79.25</v>
      </c>
      <c r="Y81" s="110">
        <f t="shared" si="3"/>
        <v>86.125</v>
      </c>
      <c r="Z81" s="110">
        <f t="shared" si="4"/>
        <v>89.25</v>
      </c>
      <c r="AA81" s="110">
        <f t="shared" si="7"/>
        <v>80</v>
      </c>
      <c r="AB81" s="110">
        <f t="shared" si="8"/>
        <v>70</v>
      </c>
      <c r="AC81" s="110">
        <f t="shared" si="9"/>
        <v>65</v>
      </c>
      <c r="AD81" s="110">
        <f t="shared" si="10"/>
        <v>55.000000000000007</v>
      </c>
      <c r="AE81" s="110">
        <f t="shared" si="11"/>
        <v>60</v>
      </c>
      <c r="AF81" s="110">
        <f t="shared" si="12"/>
        <v>78.45</v>
      </c>
      <c r="AG81" s="110">
        <f t="shared" si="13"/>
        <v>71.95</v>
      </c>
      <c r="AH81" s="110">
        <f t="shared" si="14"/>
        <v>70.7</v>
      </c>
      <c r="AI81" s="110">
        <f t="shared" si="15"/>
        <v>67.45</v>
      </c>
      <c r="AJ81" s="110">
        <f t="shared" si="16"/>
        <v>71.7</v>
      </c>
    </row>
    <row r="82" spans="1:36" s="85" customFormat="1" ht="52.5" customHeight="1" x14ac:dyDescent="0.25">
      <c r="A82" s="83">
        <v>64</v>
      </c>
      <c r="B82" s="83" t="s">
        <v>430</v>
      </c>
      <c r="C82" s="84" t="s">
        <v>431</v>
      </c>
      <c r="D82" s="93" t="s">
        <v>432</v>
      </c>
      <c r="E82" s="83">
        <v>9</v>
      </c>
      <c r="F82" s="83">
        <v>9</v>
      </c>
      <c r="G82" s="83">
        <v>15</v>
      </c>
      <c r="H82" s="83">
        <v>32</v>
      </c>
      <c r="I82" s="83">
        <v>30</v>
      </c>
      <c r="J82" s="83">
        <v>8</v>
      </c>
      <c r="K82" s="83">
        <v>8</v>
      </c>
      <c r="L82" s="83">
        <v>8</v>
      </c>
      <c r="M82" s="83">
        <v>8</v>
      </c>
      <c r="N82" s="83">
        <v>8</v>
      </c>
      <c r="O82" s="83">
        <v>88</v>
      </c>
      <c r="P82" s="83">
        <v>100</v>
      </c>
      <c r="Q82" s="122">
        <v>12</v>
      </c>
      <c r="R82" s="122">
        <v>13</v>
      </c>
      <c r="S82" s="122">
        <v>12</v>
      </c>
      <c r="T82" s="122">
        <v>13</v>
      </c>
      <c r="U82" s="122">
        <v>10</v>
      </c>
      <c r="V82" s="110">
        <f t="shared" si="0"/>
        <v>72.625</v>
      </c>
      <c r="W82" s="110">
        <f t="shared" si="1"/>
        <v>72.625</v>
      </c>
      <c r="X82" s="110">
        <f t="shared" si="2"/>
        <v>76.375</v>
      </c>
      <c r="Y82" s="110">
        <f t="shared" si="3"/>
        <v>87</v>
      </c>
      <c r="Z82" s="110">
        <f t="shared" si="4"/>
        <v>85.75</v>
      </c>
      <c r="AA82" s="110">
        <f t="shared" si="7"/>
        <v>60</v>
      </c>
      <c r="AB82" s="110">
        <f t="shared" si="8"/>
        <v>65</v>
      </c>
      <c r="AC82" s="110">
        <f t="shared" si="9"/>
        <v>60</v>
      </c>
      <c r="AD82" s="110">
        <f t="shared" si="10"/>
        <v>65</v>
      </c>
      <c r="AE82" s="110">
        <f t="shared" si="11"/>
        <v>50</v>
      </c>
      <c r="AF82" s="110">
        <f t="shared" si="12"/>
        <v>65.05</v>
      </c>
      <c r="AG82" s="110">
        <f t="shared" si="13"/>
        <v>68.05</v>
      </c>
      <c r="AH82" s="110">
        <f t="shared" si="14"/>
        <v>66.55</v>
      </c>
      <c r="AI82" s="110">
        <f t="shared" si="15"/>
        <v>73.800000000000011</v>
      </c>
      <c r="AJ82" s="110">
        <f t="shared" si="16"/>
        <v>64.300000000000011</v>
      </c>
    </row>
    <row r="83" spans="1:36" s="85" customFormat="1" ht="52.5" customHeight="1" x14ac:dyDescent="0.25">
      <c r="A83" s="83">
        <v>65</v>
      </c>
      <c r="B83" s="83" t="s">
        <v>433</v>
      </c>
      <c r="C83" s="84" t="s">
        <v>434</v>
      </c>
      <c r="D83" s="93" t="s">
        <v>435</v>
      </c>
      <c r="E83" s="83">
        <v>16</v>
      </c>
      <c r="F83" s="83">
        <v>8</v>
      </c>
      <c r="G83" s="83">
        <v>22</v>
      </c>
      <c r="H83" s="83">
        <v>32</v>
      </c>
      <c r="I83" s="83">
        <v>29</v>
      </c>
      <c r="J83" s="83">
        <v>8</v>
      </c>
      <c r="K83" s="83">
        <v>8</v>
      </c>
      <c r="L83" s="83">
        <v>8</v>
      </c>
      <c r="M83" s="83">
        <v>8</v>
      </c>
      <c r="N83" s="83">
        <v>8</v>
      </c>
      <c r="O83" s="83">
        <v>92</v>
      </c>
      <c r="P83" s="83">
        <v>90</v>
      </c>
      <c r="Q83" s="122">
        <v>18</v>
      </c>
      <c r="R83" s="122">
        <v>16</v>
      </c>
      <c r="S83" s="122">
        <v>16</v>
      </c>
      <c r="T83" s="122">
        <v>16</v>
      </c>
      <c r="U83" s="122">
        <v>16</v>
      </c>
      <c r="V83" s="110">
        <f t="shared" ref="V83:V146" si="17">((((E83*2.5)+(J83*10)+O83+P83)/(400))*100)</f>
        <v>75.5</v>
      </c>
      <c r="W83" s="110">
        <f t="shared" ref="W83:W146" si="18">((((F83*2.5)+(K83*10)+O83+P83)/(400))*100)</f>
        <v>70.5</v>
      </c>
      <c r="X83" s="110">
        <f t="shared" ref="X83:X146" si="19">((((G83*2.5)+(L83*10)+O83+P83)/(400))*100)</f>
        <v>79.25</v>
      </c>
      <c r="Y83" s="110">
        <f t="shared" ref="Y83:Y146" si="20">((((H83*2.5)+(M83*10)+O83+P83)/(400))*100)</f>
        <v>85.5</v>
      </c>
      <c r="Z83" s="110">
        <f t="shared" ref="Z83:Z146" si="21">((((I83*2.5)+(N83*10)+O83+P83)/(400))*100)</f>
        <v>83.625</v>
      </c>
      <c r="AA83" s="110">
        <f t="shared" si="7"/>
        <v>90</v>
      </c>
      <c r="AB83" s="110">
        <f t="shared" si="8"/>
        <v>80</v>
      </c>
      <c r="AC83" s="110">
        <f t="shared" si="9"/>
        <v>80</v>
      </c>
      <c r="AD83" s="110">
        <f t="shared" si="10"/>
        <v>80</v>
      </c>
      <c r="AE83" s="110">
        <f t="shared" si="11"/>
        <v>80</v>
      </c>
      <c r="AF83" s="110">
        <f t="shared" si="12"/>
        <v>84.2</v>
      </c>
      <c r="AG83" s="110">
        <f t="shared" si="13"/>
        <v>76.2</v>
      </c>
      <c r="AH83" s="110">
        <f t="shared" si="14"/>
        <v>79.7</v>
      </c>
      <c r="AI83" s="110">
        <f t="shared" si="15"/>
        <v>82.2</v>
      </c>
      <c r="AJ83" s="110">
        <f t="shared" si="16"/>
        <v>81.45</v>
      </c>
    </row>
    <row r="84" spans="1:36" s="85" customFormat="1" ht="52.5" hidden="1" customHeight="1" x14ac:dyDescent="0.25">
      <c r="A84" s="83">
        <v>66</v>
      </c>
      <c r="B84" s="83"/>
      <c r="C84" s="84"/>
      <c r="D84" s="93"/>
      <c r="E84" s="83"/>
      <c r="F84" s="83"/>
      <c r="G84" s="83"/>
      <c r="H84" s="83"/>
      <c r="I84" s="83"/>
      <c r="J84" s="83"/>
      <c r="K84" s="83"/>
      <c r="L84" s="83"/>
      <c r="M84" s="83"/>
      <c r="N84" s="83"/>
      <c r="O84" s="83"/>
      <c r="P84" s="83"/>
      <c r="Q84" s="83"/>
      <c r="R84" s="83"/>
      <c r="S84" s="83"/>
      <c r="T84" s="83"/>
      <c r="U84" s="83"/>
      <c r="V84" s="110">
        <f t="shared" si="17"/>
        <v>0</v>
      </c>
      <c r="W84" s="110">
        <f t="shared" si="18"/>
        <v>0</v>
      </c>
      <c r="X84" s="110">
        <f t="shared" si="19"/>
        <v>0</v>
      </c>
      <c r="Y84" s="110">
        <f t="shared" si="20"/>
        <v>0</v>
      </c>
      <c r="Z84" s="110">
        <f t="shared" si="21"/>
        <v>0</v>
      </c>
      <c r="AA84" s="110">
        <f t="shared" ref="AA84:AA147" si="22">(Q84/20)*100</f>
        <v>0</v>
      </c>
      <c r="AB84" s="110">
        <f t="shared" ref="AB84:AB147" si="23">(R84/20)*100</f>
        <v>0</v>
      </c>
      <c r="AC84" s="110">
        <f t="shared" ref="AC84:AC147" si="24">(S84/20)*100</f>
        <v>0</v>
      </c>
      <c r="AD84" s="110">
        <f t="shared" ref="AD84:AD147" si="25">(T84/20)*100</f>
        <v>0</v>
      </c>
      <c r="AE84" s="110">
        <f t="shared" ref="AE84:AE147" si="26">(U84/20)*100</f>
        <v>0</v>
      </c>
      <c r="AF84" s="110">
        <f t="shared" ref="AF84:AF147" si="27">(V84*0.4+AA84*0.6)</f>
        <v>0</v>
      </c>
      <c r="AG84" s="110">
        <f t="shared" ref="AG84:AG147" si="28">(W84*0.4+AB84*0.6)</f>
        <v>0</v>
      </c>
      <c r="AH84" s="110">
        <f t="shared" ref="AH84:AH147" si="29">(X84*0.4+AC84*0.6)</f>
        <v>0</v>
      </c>
      <c r="AI84" s="110">
        <f t="shared" ref="AI84:AI147" si="30">(Y84*0.4+AD84*0.6)</f>
        <v>0</v>
      </c>
      <c r="AJ84" s="110">
        <f t="shared" ref="AJ84:AJ147" si="31">(Z84*0.4+AE84*0.6)</f>
        <v>0</v>
      </c>
    </row>
    <row r="85" spans="1:36" s="85" customFormat="1" ht="52.5" hidden="1" customHeight="1" x14ac:dyDescent="0.25">
      <c r="A85" s="83">
        <v>67</v>
      </c>
      <c r="B85" s="83"/>
      <c r="C85" s="84"/>
      <c r="D85" s="93"/>
      <c r="E85" s="83"/>
      <c r="F85" s="83"/>
      <c r="G85" s="83"/>
      <c r="H85" s="83"/>
      <c r="I85" s="83"/>
      <c r="J85" s="83"/>
      <c r="K85" s="83"/>
      <c r="L85" s="83"/>
      <c r="M85" s="83"/>
      <c r="N85" s="83"/>
      <c r="O85" s="83"/>
      <c r="P85" s="83"/>
      <c r="Q85" s="83"/>
      <c r="R85" s="83"/>
      <c r="S85" s="83"/>
      <c r="T85" s="83"/>
      <c r="U85" s="83"/>
      <c r="V85" s="110">
        <f t="shared" si="17"/>
        <v>0</v>
      </c>
      <c r="W85" s="110">
        <f t="shared" si="18"/>
        <v>0</v>
      </c>
      <c r="X85" s="110">
        <f t="shared" si="19"/>
        <v>0</v>
      </c>
      <c r="Y85" s="110">
        <f t="shared" si="20"/>
        <v>0</v>
      </c>
      <c r="Z85" s="110">
        <f t="shared" si="21"/>
        <v>0</v>
      </c>
      <c r="AA85" s="110">
        <f t="shared" si="22"/>
        <v>0</v>
      </c>
      <c r="AB85" s="110">
        <f t="shared" si="23"/>
        <v>0</v>
      </c>
      <c r="AC85" s="110">
        <f t="shared" si="24"/>
        <v>0</v>
      </c>
      <c r="AD85" s="110">
        <f t="shared" si="25"/>
        <v>0</v>
      </c>
      <c r="AE85" s="110">
        <f t="shared" si="26"/>
        <v>0</v>
      </c>
      <c r="AF85" s="110">
        <f t="shared" si="27"/>
        <v>0</v>
      </c>
      <c r="AG85" s="110">
        <f t="shared" si="28"/>
        <v>0</v>
      </c>
      <c r="AH85" s="110">
        <f t="shared" si="29"/>
        <v>0</v>
      </c>
      <c r="AI85" s="110">
        <f t="shared" si="30"/>
        <v>0</v>
      </c>
      <c r="AJ85" s="110">
        <f t="shared" si="31"/>
        <v>0</v>
      </c>
    </row>
    <row r="86" spans="1:36" s="85" customFormat="1" ht="52.5" hidden="1" customHeight="1" x14ac:dyDescent="0.25">
      <c r="A86" s="83">
        <v>68</v>
      </c>
      <c r="B86" s="83"/>
      <c r="C86" s="84"/>
      <c r="D86" s="93"/>
      <c r="E86" s="83"/>
      <c r="F86" s="83"/>
      <c r="G86" s="83"/>
      <c r="H86" s="83"/>
      <c r="I86" s="83"/>
      <c r="J86" s="83"/>
      <c r="K86" s="83"/>
      <c r="L86" s="83"/>
      <c r="M86" s="83"/>
      <c r="N86" s="83"/>
      <c r="O86" s="83"/>
      <c r="P86" s="83"/>
      <c r="Q86" s="83"/>
      <c r="R86" s="83"/>
      <c r="S86" s="83"/>
      <c r="T86" s="83"/>
      <c r="U86" s="83"/>
      <c r="V86" s="110">
        <f t="shared" si="17"/>
        <v>0</v>
      </c>
      <c r="W86" s="110">
        <f t="shared" si="18"/>
        <v>0</v>
      </c>
      <c r="X86" s="110">
        <f t="shared" si="19"/>
        <v>0</v>
      </c>
      <c r="Y86" s="110">
        <f t="shared" si="20"/>
        <v>0</v>
      </c>
      <c r="Z86" s="110">
        <f t="shared" si="21"/>
        <v>0</v>
      </c>
      <c r="AA86" s="110">
        <f t="shared" si="22"/>
        <v>0</v>
      </c>
      <c r="AB86" s="110">
        <f t="shared" si="23"/>
        <v>0</v>
      </c>
      <c r="AC86" s="110">
        <f t="shared" si="24"/>
        <v>0</v>
      </c>
      <c r="AD86" s="110">
        <f t="shared" si="25"/>
        <v>0</v>
      </c>
      <c r="AE86" s="110">
        <f t="shared" si="26"/>
        <v>0</v>
      </c>
      <c r="AF86" s="110">
        <f t="shared" si="27"/>
        <v>0</v>
      </c>
      <c r="AG86" s="110">
        <f t="shared" si="28"/>
        <v>0</v>
      </c>
      <c r="AH86" s="110">
        <f t="shared" si="29"/>
        <v>0</v>
      </c>
      <c r="AI86" s="110">
        <f t="shared" si="30"/>
        <v>0</v>
      </c>
      <c r="AJ86" s="110">
        <f t="shared" si="31"/>
        <v>0</v>
      </c>
    </row>
    <row r="87" spans="1:36" s="85" customFormat="1" ht="52.5" hidden="1" customHeight="1" x14ac:dyDescent="0.25">
      <c r="A87" s="83">
        <v>69</v>
      </c>
      <c r="B87" s="83"/>
      <c r="C87" s="84"/>
      <c r="D87" s="93"/>
      <c r="E87" s="83"/>
      <c r="F87" s="83"/>
      <c r="G87" s="83"/>
      <c r="H87" s="83"/>
      <c r="I87" s="83"/>
      <c r="J87" s="83"/>
      <c r="K87" s="83"/>
      <c r="L87" s="83"/>
      <c r="M87" s="83"/>
      <c r="N87" s="83"/>
      <c r="O87" s="83"/>
      <c r="P87" s="83"/>
      <c r="Q87" s="83"/>
      <c r="R87" s="83"/>
      <c r="S87" s="83"/>
      <c r="T87" s="83"/>
      <c r="U87" s="83"/>
      <c r="V87" s="110">
        <f t="shared" si="17"/>
        <v>0</v>
      </c>
      <c r="W87" s="110">
        <f t="shared" si="18"/>
        <v>0</v>
      </c>
      <c r="X87" s="110">
        <f t="shared" si="19"/>
        <v>0</v>
      </c>
      <c r="Y87" s="110">
        <f t="shared" si="20"/>
        <v>0</v>
      </c>
      <c r="Z87" s="110">
        <f t="shared" si="21"/>
        <v>0</v>
      </c>
      <c r="AA87" s="110">
        <f t="shared" si="22"/>
        <v>0</v>
      </c>
      <c r="AB87" s="110">
        <f t="shared" si="23"/>
        <v>0</v>
      </c>
      <c r="AC87" s="110">
        <f t="shared" si="24"/>
        <v>0</v>
      </c>
      <c r="AD87" s="110">
        <f t="shared" si="25"/>
        <v>0</v>
      </c>
      <c r="AE87" s="110">
        <f t="shared" si="26"/>
        <v>0</v>
      </c>
      <c r="AF87" s="110">
        <f t="shared" si="27"/>
        <v>0</v>
      </c>
      <c r="AG87" s="110">
        <f t="shared" si="28"/>
        <v>0</v>
      </c>
      <c r="AH87" s="110">
        <f t="shared" si="29"/>
        <v>0</v>
      </c>
      <c r="AI87" s="110">
        <f t="shared" si="30"/>
        <v>0</v>
      </c>
      <c r="AJ87" s="110">
        <f t="shared" si="31"/>
        <v>0</v>
      </c>
    </row>
    <row r="88" spans="1:36" s="85" customFormat="1" ht="52.5" hidden="1" customHeight="1" x14ac:dyDescent="0.25">
      <c r="A88" s="83">
        <v>70</v>
      </c>
      <c r="B88" s="83"/>
      <c r="C88" s="84"/>
      <c r="D88" s="93"/>
      <c r="E88" s="83"/>
      <c r="F88" s="83"/>
      <c r="G88" s="83"/>
      <c r="H88" s="83"/>
      <c r="I88" s="83"/>
      <c r="J88" s="83"/>
      <c r="K88" s="83"/>
      <c r="L88" s="83"/>
      <c r="M88" s="83"/>
      <c r="N88" s="83"/>
      <c r="O88" s="83"/>
      <c r="P88" s="83"/>
      <c r="Q88" s="83"/>
      <c r="R88" s="83"/>
      <c r="S88" s="83"/>
      <c r="T88" s="83"/>
      <c r="U88" s="83"/>
      <c r="V88" s="110">
        <f t="shared" si="17"/>
        <v>0</v>
      </c>
      <c r="W88" s="110">
        <f t="shared" si="18"/>
        <v>0</v>
      </c>
      <c r="X88" s="110">
        <f t="shared" si="19"/>
        <v>0</v>
      </c>
      <c r="Y88" s="110">
        <f t="shared" si="20"/>
        <v>0</v>
      </c>
      <c r="Z88" s="110">
        <f t="shared" si="21"/>
        <v>0</v>
      </c>
      <c r="AA88" s="110">
        <f t="shared" si="22"/>
        <v>0</v>
      </c>
      <c r="AB88" s="110">
        <f t="shared" si="23"/>
        <v>0</v>
      </c>
      <c r="AC88" s="110">
        <f t="shared" si="24"/>
        <v>0</v>
      </c>
      <c r="AD88" s="110">
        <f t="shared" si="25"/>
        <v>0</v>
      </c>
      <c r="AE88" s="110">
        <f t="shared" si="26"/>
        <v>0</v>
      </c>
      <c r="AF88" s="110">
        <f t="shared" si="27"/>
        <v>0</v>
      </c>
      <c r="AG88" s="110">
        <f t="shared" si="28"/>
        <v>0</v>
      </c>
      <c r="AH88" s="110">
        <f t="shared" si="29"/>
        <v>0</v>
      </c>
      <c r="AI88" s="110">
        <f t="shared" si="30"/>
        <v>0</v>
      </c>
      <c r="AJ88" s="110">
        <f t="shared" si="31"/>
        <v>0</v>
      </c>
    </row>
    <row r="89" spans="1:36" s="85" customFormat="1" ht="52.5" hidden="1" customHeight="1" x14ac:dyDescent="0.25">
      <c r="A89" s="83">
        <v>71</v>
      </c>
      <c r="B89" s="83"/>
      <c r="C89" s="84"/>
      <c r="D89" s="93"/>
      <c r="E89" s="83"/>
      <c r="F89" s="83"/>
      <c r="G89" s="83"/>
      <c r="H89" s="83"/>
      <c r="I89" s="83"/>
      <c r="J89" s="83"/>
      <c r="K89" s="83"/>
      <c r="L89" s="83"/>
      <c r="M89" s="83"/>
      <c r="N89" s="83"/>
      <c r="O89" s="83"/>
      <c r="P89" s="83"/>
      <c r="Q89" s="83"/>
      <c r="R89" s="83"/>
      <c r="S89" s="83"/>
      <c r="T89" s="83"/>
      <c r="U89" s="83"/>
      <c r="V89" s="110">
        <f t="shared" si="17"/>
        <v>0</v>
      </c>
      <c r="W89" s="110">
        <f t="shared" si="18"/>
        <v>0</v>
      </c>
      <c r="X89" s="110">
        <f t="shared" si="19"/>
        <v>0</v>
      </c>
      <c r="Y89" s="110">
        <f t="shared" si="20"/>
        <v>0</v>
      </c>
      <c r="Z89" s="110">
        <f t="shared" si="21"/>
        <v>0</v>
      </c>
      <c r="AA89" s="110">
        <f t="shared" si="22"/>
        <v>0</v>
      </c>
      <c r="AB89" s="110">
        <f t="shared" si="23"/>
        <v>0</v>
      </c>
      <c r="AC89" s="110">
        <f t="shared" si="24"/>
        <v>0</v>
      </c>
      <c r="AD89" s="110">
        <f t="shared" si="25"/>
        <v>0</v>
      </c>
      <c r="AE89" s="110">
        <f t="shared" si="26"/>
        <v>0</v>
      </c>
      <c r="AF89" s="110">
        <f t="shared" si="27"/>
        <v>0</v>
      </c>
      <c r="AG89" s="110">
        <f t="shared" si="28"/>
        <v>0</v>
      </c>
      <c r="AH89" s="110">
        <f t="shared" si="29"/>
        <v>0</v>
      </c>
      <c r="AI89" s="110">
        <f t="shared" si="30"/>
        <v>0</v>
      </c>
      <c r="AJ89" s="110">
        <f t="shared" si="31"/>
        <v>0</v>
      </c>
    </row>
    <row r="90" spans="1:36" s="85" customFormat="1" ht="52.5" hidden="1" customHeight="1" x14ac:dyDescent="0.25">
      <c r="A90" s="83">
        <v>72</v>
      </c>
      <c r="B90" s="83"/>
      <c r="C90" s="84"/>
      <c r="D90" s="93"/>
      <c r="E90" s="83"/>
      <c r="F90" s="83"/>
      <c r="G90" s="83"/>
      <c r="H90" s="83"/>
      <c r="I90" s="83"/>
      <c r="J90" s="83"/>
      <c r="K90" s="83"/>
      <c r="L90" s="83"/>
      <c r="M90" s="83"/>
      <c r="N90" s="83"/>
      <c r="O90" s="83"/>
      <c r="P90" s="83"/>
      <c r="Q90" s="83"/>
      <c r="R90" s="83"/>
      <c r="S90" s="83"/>
      <c r="T90" s="83"/>
      <c r="U90" s="83"/>
      <c r="V90" s="110">
        <f t="shared" si="17"/>
        <v>0</v>
      </c>
      <c r="W90" s="110">
        <f t="shared" si="18"/>
        <v>0</v>
      </c>
      <c r="X90" s="110">
        <f t="shared" si="19"/>
        <v>0</v>
      </c>
      <c r="Y90" s="110">
        <f t="shared" si="20"/>
        <v>0</v>
      </c>
      <c r="Z90" s="110">
        <f t="shared" si="21"/>
        <v>0</v>
      </c>
      <c r="AA90" s="110">
        <f t="shared" si="22"/>
        <v>0</v>
      </c>
      <c r="AB90" s="110">
        <f t="shared" si="23"/>
        <v>0</v>
      </c>
      <c r="AC90" s="110">
        <f t="shared" si="24"/>
        <v>0</v>
      </c>
      <c r="AD90" s="110">
        <f t="shared" si="25"/>
        <v>0</v>
      </c>
      <c r="AE90" s="110">
        <f t="shared" si="26"/>
        <v>0</v>
      </c>
      <c r="AF90" s="110">
        <f t="shared" si="27"/>
        <v>0</v>
      </c>
      <c r="AG90" s="110">
        <f t="shared" si="28"/>
        <v>0</v>
      </c>
      <c r="AH90" s="110">
        <f t="shared" si="29"/>
        <v>0</v>
      </c>
      <c r="AI90" s="110">
        <f t="shared" si="30"/>
        <v>0</v>
      </c>
      <c r="AJ90" s="110">
        <f t="shared" si="31"/>
        <v>0</v>
      </c>
    </row>
    <row r="91" spans="1:36" s="85" customFormat="1" ht="52.5" hidden="1" customHeight="1" x14ac:dyDescent="0.25">
      <c r="A91" s="83">
        <v>73</v>
      </c>
      <c r="B91" s="83"/>
      <c r="C91" s="84"/>
      <c r="D91" s="93"/>
      <c r="E91" s="83"/>
      <c r="F91" s="83"/>
      <c r="G91" s="83"/>
      <c r="H91" s="83"/>
      <c r="I91" s="83"/>
      <c r="J91" s="83"/>
      <c r="K91" s="83"/>
      <c r="L91" s="83"/>
      <c r="M91" s="83"/>
      <c r="N91" s="83"/>
      <c r="O91" s="83"/>
      <c r="P91" s="83"/>
      <c r="Q91" s="83"/>
      <c r="R91" s="83"/>
      <c r="S91" s="83"/>
      <c r="T91" s="83"/>
      <c r="U91" s="83"/>
      <c r="V91" s="110">
        <f t="shared" si="17"/>
        <v>0</v>
      </c>
      <c r="W91" s="110">
        <f t="shared" si="18"/>
        <v>0</v>
      </c>
      <c r="X91" s="110">
        <f t="shared" si="19"/>
        <v>0</v>
      </c>
      <c r="Y91" s="110">
        <f t="shared" si="20"/>
        <v>0</v>
      </c>
      <c r="Z91" s="110">
        <f t="shared" si="21"/>
        <v>0</v>
      </c>
      <c r="AA91" s="110">
        <f t="shared" si="22"/>
        <v>0</v>
      </c>
      <c r="AB91" s="110">
        <f t="shared" si="23"/>
        <v>0</v>
      </c>
      <c r="AC91" s="110">
        <f t="shared" si="24"/>
        <v>0</v>
      </c>
      <c r="AD91" s="110">
        <f t="shared" si="25"/>
        <v>0</v>
      </c>
      <c r="AE91" s="110">
        <f t="shared" si="26"/>
        <v>0</v>
      </c>
      <c r="AF91" s="110">
        <f t="shared" si="27"/>
        <v>0</v>
      </c>
      <c r="AG91" s="110">
        <f t="shared" si="28"/>
        <v>0</v>
      </c>
      <c r="AH91" s="110">
        <f t="shared" si="29"/>
        <v>0</v>
      </c>
      <c r="AI91" s="110">
        <f t="shared" si="30"/>
        <v>0</v>
      </c>
      <c r="AJ91" s="110">
        <f t="shared" si="31"/>
        <v>0</v>
      </c>
    </row>
    <row r="92" spans="1:36" s="85" customFormat="1" ht="52.5" hidden="1" customHeight="1" x14ac:dyDescent="0.25">
      <c r="A92" s="83">
        <v>74</v>
      </c>
      <c r="B92" s="83"/>
      <c r="C92" s="84"/>
      <c r="D92" s="93"/>
      <c r="E92" s="83"/>
      <c r="F92" s="83"/>
      <c r="G92" s="83"/>
      <c r="H92" s="83"/>
      <c r="I92" s="83"/>
      <c r="J92" s="83"/>
      <c r="K92" s="83"/>
      <c r="L92" s="83"/>
      <c r="M92" s="83"/>
      <c r="N92" s="83"/>
      <c r="O92" s="83"/>
      <c r="P92" s="83"/>
      <c r="Q92" s="83"/>
      <c r="R92" s="83"/>
      <c r="S92" s="83"/>
      <c r="T92" s="83"/>
      <c r="U92" s="83"/>
      <c r="V92" s="110">
        <f t="shared" si="17"/>
        <v>0</v>
      </c>
      <c r="W92" s="110">
        <f t="shared" si="18"/>
        <v>0</v>
      </c>
      <c r="X92" s="110">
        <f t="shared" si="19"/>
        <v>0</v>
      </c>
      <c r="Y92" s="110">
        <f t="shared" si="20"/>
        <v>0</v>
      </c>
      <c r="Z92" s="110">
        <f t="shared" si="21"/>
        <v>0</v>
      </c>
      <c r="AA92" s="110">
        <f t="shared" si="22"/>
        <v>0</v>
      </c>
      <c r="AB92" s="110">
        <f t="shared" si="23"/>
        <v>0</v>
      </c>
      <c r="AC92" s="110">
        <f t="shared" si="24"/>
        <v>0</v>
      </c>
      <c r="AD92" s="110">
        <f t="shared" si="25"/>
        <v>0</v>
      </c>
      <c r="AE92" s="110">
        <f t="shared" si="26"/>
        <v>0</v>
      </c>
      <c r="AF92" s="110">
        <f t="shared" si="27"/>
        <v>0</v>
      </c>
      <c r="AG92" s="110">
        <f t="shared" si="28"/>
        <v>0</v>
      </c>
      <c r="AH92" s="110">
        <f t="shared" si="29"/>
        <v>0</v>
      </c>
      <c r="AI92" s="110">
        <f t="shared" si="30"/>
        <v>0</v>
      </c>
      <c r="AJ92" s="110">
        <f t="shared" si="31"/>
        <v>0</v>
      </c>
    </row>
    <row r="93" spans="1:36" s="85" customFormat="1" ht="52.5" hidden="1" customHeight="1" x14ac:dyDescent="0.25">
      <c r="A93" s="83">
        <v>75</v>
      </c>
      <c r="B93" s="83"/>
      <c r="C93" s="84"/>
      <c r="D93" s="93"/>
      <c r="E93" s="83"/>
      <c r="F93" s="83"/>
      <c r="G93" s="83"/>
      <c r="H93" s="83"/>
      <c r="I93" s="83"/>
      <c r="J93" s="83"/>
      <c r="K93" s="83"/>
      <c r="L93" s="83"/>
      <c r="M93" s="83"/>
      <c r="N93" s="83"/>
      <c r="O93" s="83"/>
      <c r="P93" s="83"/>
      <c r="Q93" s="83"/>
      <c r="R93" s="83"/>
      <c r="S93" s="83"/>
      <c r="T93" s="83"/>
      <c r="U93" s="83"/>
      <c r="V93" s="110">
        <f t="shared" si="17"/>
        <v>0</v>
      </c>
      <c r="W93" s="110">
        <f t="shared" si="18"/>
        <v>0</v>
      </c>
      <c r="X93" s="110">
        <f t="shared" si="19"/>
        <v>0</v>
      </c>
      <c r="Y93" s="110">
        <f t="shared" si="20"/>
        <v>0</v>
      </c>
      <c r="Z93" s="110">
        <f t="shared" si="21"/>
        <v>0</v>
      </c>
      <c r="AA93" s="110">
        <f t="shared" si="22"/>
        <v>0</v>
      </c>
      <c r="AB93" s="110">
        <f t="shared" si="23"/>
        <v>0</v>
      </c>
      <c r="AC93" s="110">
        <f t="shared" si="24"/>
        <v>0</v>
      </c>
      <c r="AD93" s="110">
        <f t="shared" si="25"/>
        <v>0</v>
      </c>
      <c r="AE93" s="110">
        <f t="shared" si="26"/>
        <v>0</v>
      </c>
      <c r="AF93" s="110">
        <f t="shared" si="27"/>
        <v>0</v>
      </c>
      <c r="AG93" s="110">
        <f t="shared" si="28"/>
        <v>0</v>
      </c>
      <c r="AH93" s="110">
        <f t="shared" si="29"/>
        <v>0</v>
      </c>
      <c r="AI93" s="110">
        <f t="shared" si="30"/>
        <v>0</v>
      </c>
      <c r="AJ93" s="110">
        <f t="shared" si="31"/>
        <v>0</v>
      </c>
    </row>
    <row r="94" spans="1:36" s="85" customFormat="1" ht="52.5" hidden="1" customHeight="1" x14ac:dyDescent="0.25">
      <c r="A94" s="83">
        <v>76</v>
      </c>
      <c r="B94" s="83"/>
      <c r="C94" s="84"/>
      <c r="D94" s="93"/>
      <c r="E94" s="83"/>
      <c r="F94" s="83"/>
      <c r="G94" s="83"/>
      <c r="H94" s="83"/>
      <c r="I94" s="83"/>
      <c r="J94" s="83"/>
      <c r="K94" s="83"/>
      <c r="L94" s="83"/>
      <c r="M94" s="83"/>
      <c r="N94" s="83"/>
      <c r="O94" s="83"/>
      <c r="P94" s="83"/>
      <c r="Q94" s="83"/>
      <c r="R94" s="83"/>
      <c r="S94" s="83"/>
      <c r="T94" s="83"/>
      <c r="U94" s="83"/>
      <c r="V94" s="110">
        <f t="shared" si="17"/>
        <v>0</v>
      </c>
      <c r="W94" s="110">
        <f t="shared" si="18"/>
        <v>0</v>
      </c>
      <c r="X94" s="110">
        <f t="shared" si="19"/>
        <v>0</v>
      </c>
      <c r="Y94" s="110">
        <f t="shared" si="20"/>
        <v>0</v>
      </c>
      <c r="Z94" s="110">
        <f t="shared" si="21"/>
        <v>0</v>
      </c>
      <c r="AA94" s="110">
        <f t="shared" si="22"/>
        <v>0</v>
      </c>
      <c r="AB94" s="110">
        <f t="shared" si="23"/>
        <v>0</v>
      </c>
      <c r="AC94" s="110">
        <f t="shared" si="24"/>
        <v>0</v>
      </c>
      <c r="AD94" s="110">
        <f t="shared" si="25"/>
        <v>0</v>
      </c>
      <c r="AE94" s="110">
        <f t="shared" si="26"/>
        <v>0</v>
      </c>
      <c r="AF94" s="110">
        <f t="shared" si="27"/>
        <v>0</v>
      </c>
      <c r="AG94" s="110">
        <f t="shared" si="28"/>
        <v>0</v>
      </c>
      <c r="AH94" s="110">
        <f t="shared" si="29"/>
        <v>0</v>
      </c>
      <c r="AI94" s="110">
        <f t="shared" si="30"/>
        <v>0</v>
      </c>
      <c r="AJ94" s="110">
        <f t="shared" si="31"/>
        <v>0</v>
      </c>
    </row>
    <row r="95" spans="1:36" s="85" customFormat="1" ht="52.5" hidden="1" customHeight="1" x14ac:dyDescent="0.25">
      <c r="A95" s="83">
        <v>77</v>
      </c>
      <c r="B95" s="83"/>
      <c r="C95" s="84"/>
      <c r="D95" s="93"/>
      <c r="E95" s="83"/>
      <c r="F95" s="83"/>
      <c r="G95" s="83"/>
      <c r="H95" s="83"/>
      <c r="I95" s="83"/>
      <c r="J95" s="83"/>
      <c r="K95" s="83"/>
      <c r="L95" s="83"/>
      <c r="M95" s="83"/>
      <c r="N95" s="83"/>
      <c r="O95" s="83"/>
      <c r="P95" s="83"/>
      <c r="Q95" s="83"/>
      <c r="R95" s="83"/>
      <c r="S95" s="83"/>
      <c r="T95" s="83"/>
      <c r="U95" s="83"/>
      <c r="V95" s="110">
        <f t="shared" si="17"/>
        <v>0</v>
      </c>
      <c r="W95" s="110">
        <f t="shared" si="18"/>
        <v>0</v>
      </c>
      <c r="X95" s="110">
        <f t="shared" si="19"/>
        <v>0</v>
      </c>
      <c r="Y95" s="110">
        <f t="shared" si="20"/>
        <v>0</v>
      </c>
      <c r="Z95" s="110">
        <f t="shared" si="21"/>
        <v>0</v>
      </c>
      <c r="AA95" s="110">
        <f t="shared" si="22"/>
        <v>0</v>
      </c>
      <c r="AB95" s="110">
        <f t="shared" si="23"/>
        <v>0</v>
      </c>
      <c r="AC95" s="110">
        <f t="shared" si="24"/>
        <v>0</v>
      </c>
      <c r="AD95" s="110">
        <f t="shared" si="25"/>
        <v>0</v>
      </c>
      <c r="AE95" s="110">
        <f t="shared" si="26"/>
        <v>0</v>
      </c>
      <c r="AF95" s="110">
        <f t="shared" si="27"/>
        <v>0</v>
      </c>
      <c r="AG95" s="110">
        <f t="shared" si="28"/>
        <v>0</v>
      </c>
      <c r="AH95" s="110">
        <f t="shared" si="29"/>
        <v>0</v>
      </c>
      <c r="AI95" s="110">
        <f t="shared" si="30"/>
        <v>0</v>
      </c>
      <c r="AJ95" s="110">
        <f t="shared" si="31"/>
        <v>0</v>
      </c>
    </row>
    <row r="96" spans="1:36" s="85" customFormat="1" ht="52.5" hidden="1" customHeight="1" x14ac:dyDescent="0.25">
      <c r="A96" s="83">
        <v>78</v>
      </c>
      <c r="B96" s="83"/>
      <c r="C96" s="84"/>
      <c r="D96" s="93"/>
      <c r="E96" s="83"/>
      <c r="F96" s="83"/>
      <c r="G96" s="83"/>
      <c r="H96" s="83"/>
      <c r="I96" s="83"/>
      <c r="J96" s="83"/>
      <c r="K96" s="83"/>
      <c r="L96" s="83"/>
      <c r="M96" s="83"/>
      <c r="N96" s="83"/>
      <c r="O96" s="83"/>
      <c r="P96" s="83"/>
      <c r="Q96" s="83"/>
      <c r="R96" s="83"/>
      <c r="S96" s="83"/>
      <c r="T96" s="83"/>
      <c r="U96" s="83"/>
      <c r="V96" s="110">
        <f t="shared" si="17"/>
        <v>0</v>
      </c>
      <c r="W96" s="110">
        <f t="shared" si="18"/>
        <v>0</v>
      </c>
      <c r="X96" s="110">
        <f t="shared" si="19"/>
        <v>0</v>
      </c>
      <c r="Y96" s="110">
        <f t="shared" si="20"/>
        <v>0</v>
      </c>
      <c r="Z96" s="110">
        <f t="shared" si="21"/>
        <v>0</v>
      </c>
      <c r="AA96" s="110">
        <f t="shared" si="22"/>
        <v>0</v>
      </c>
      <c r="AB96" s="110">
        <f t="shared" si="23"/>
        <v>0</v>
      </c>
      <c r="AC96" s="110">
        <f t="shared" si="24"/>
        <v>0</v>
      </c>
      <c r="AD96" s="110">
        <f t="shared" si="25"/>
        <v>0</v>
      </c>
      <c r="AE96" s="110">
        <f t="shared" si="26"/>
        <v>0</v>
      </c>
      <c r="AF96" s="110">
        <f t="shared" si="27"/>
        <v>0</v>
      </c>
      <c r="AG96" s="110">
        <f t="shared" si="28"/>
        <v>0</v>
      </c>
      <c r="AH96" s="110">
        <f t="shared" si="29"/>
        <v>0</v>
      </c>
      <c r="AI96" s="110">
        <f t="shared" si="30"/>
        <v>0</v>
      </c>
      <c r="AJ96" s="110">
        <f t="shared" si="31"/>
        <v>0</v>
      </c>
    </row>
    <row r="97" spans="1:36" s="85" customFormat="1" ht="52.5" hidden="1" customHeight="1" x14ac:dyDescent="0.25">
      <c r="A97" s="83">
        <v>79</v>
      </c>
      <c r="B97" s="83"/>
      <c r="C97" s="84"/>
      <c r="D97" s="93"/>
      <c r="E97" s="83"/>
      <c r="F97" s="83"/>
      <c r="G97" s="83"/>
      <c r="H97" s="83"/>
      <c r="I97" s="83"/>
      <c r="J97" s="83"/>
      <c r="K97" s="83"/>
      <c r="L97" s="83"/>
      <c r="M97" s="83"/>
      <c r="N97" s="83"/>
      <c r="O97" s="83"/>
      <c r="P97" s="83"/>
      <c r="Q97" s="83"/>
      <c r="R97" s="83"/>
      <c r="S97" s="83"/>
      <c r="T97" s="83"/>
      <c r="U97" s="83"/>
      <c r="V97" s="110">
        <f t="shared" si="17"/>
        <v>0</v>
      </c>
      <c r="W97" s="110">
        <f t="shared" si="18"/>
        <v>0</v>
      </c>
      <c r="X97" s="110">
        <f t="shared" si="19"/>
        <v>0</v>
      </c>
      <c r="Y97" s="110">
        <f t="shared" si="20"/>
        <v>0</v>
      </c>
      <c r="Z97" s="110">
        <f t="shared" si="21"/>
        <v>0</v>
      </c>
      <c r="AA97" s="110">
        <f t="shared" si="22"/>
        <v>0</v>
      </c>
      <c r="AB97" s="110">
        <f t="shared" si="23"/>
        <v>0</v>
      </c>
      <c r="AC97" s="110">
        <f t="shared" si="24"/>
        <v>0</v>
      </c>
      <c r="AD97" s="110">
        <f t="shared" si="25"/>
        <v>0</v>
      </c>
      <c r="AE97" s="110">
        <f t="shared" si="26"/>
        <v>0</v>
      </c>
      <c r="AF97" s="110">
        <f t="shared" si="27"/>
        <v>0</v>
      </c>
      <c r="AG97" s="110">
        <f t="shared" si="28"/>
        <v>0</v>
      </c>
      <c r="AH97" s="110">
        <f t="shared" si="29"/>
        <v>0</v>
      </c>
      <c r="AI97" s="110">
        <f t="shared" si="30"/>
        <v>0</v>
      </c>
      <c r="AJ97" s="110">
        <f t="shared" si="31"/>
        <v>0</v>
      </c>
    </row>
    <row r="98" spans="1:36" s="85" customFormat="1" ht="52.5" hidden="1" customHeight="1" x14ac:dyDescent="0.25">
      <c r="A98" s="83">
        <v>80</v>
      </c>
      <c r="B98" s="83"/>
      <c r="C98" s="84"/>
      <c r="D98" s="93"/>
      <c r="E98" s="83"/>
      <c r="F98" s="83"/>
      <c r="G98" s="83"/>
      <c r="H98" s="83"/>
      <c r="I98" s="83"/>
      <c r="J98" s="83"/>
      <c r="K98" s="83"/>
      <c r="L98" s="83"/>
      <c r="M98" s="83"/>
      <c r="N98" s="83"/>
      <c r="O98" s="83"/>
      <c r="P98" s="83"/>
      <c r="Q98" s="83"/>
      <c r="R98" s="83"/>
      <c r="S98" s="83"/>
      <c r="T98" s="83"/>
      <c r="U98" s="83"/>
      <c r="V98" s="110">
        <f t="shared" si="17"/>
        <v>0</v>
      </c>
      <c r="W98" s="110">
        <f t="shared" si="18"/>
        <v>0</v>
      </c>
      <c r="X98" s="110">
        <f t="shared" si="19"/>
        <v>0</v>
      </c>
      <c r="Y98" s="110">
        <f t="shared" si="20"/>
        <v>0</v>
      </c>
      <c r="Z98" s="110">
        <f t="shared" si="21"/>
        <v>0</v>
      </c>
      <c r="AA98" s="110">
        <f t="shared" si="22"/>
        <v>0</v>
      </c>
      <c r="AB98" s="110">
        <f t="shared" si="23"/>
        <v>0</v>
      </c>
      <c r="AC98" s="110">
        <f t="shared" si="24"/>
        <v>0</v>
      </c>
      <c r="AD98" s="110">
        <f t="shared" si="25"/>
        <v>0</v>
      </c>
      <c r="AE98" s="110">
        <f t="shared" si="26"/>
        <v>0</v>
      </c>
      <c r="AF98" s="110">
        <f t="shared" si="27"/>
        <v>0</v>
      </c>
      <c r="AG98" s="110">
        <f t="shared" si="28"/>
        <v>0</v>
      </c>
      <c r="AH98" s="110">
        <f t="shared" si="29"/>
        <v>0</v>
      </c>
      <c r="AI98" s="110">
        <f t="shared" si="30"/>
        <v>0</v>
      </c>
      <c r="AJ98" s="110">
        <f t="shared" si="31"/>
        <v>0</v>
      </c>
    </row>
    <row r="99" spans="1:36" s="85" customFormat="1" ht="52.5" hidden="1" customHeight="1" x14ac:dyDescent="0.25">
      <c r="A99" s="83">
        <v>81</v>
      </c>
      <c r="B99" s="83"/>
      <c r="C99" s="84"/>
      <c r="D99" s="93"/>
      <c r="E99" s="83"/>
      <c r="F99" s="83"/>
      <c r="G99" s="83"/>
      <c r="H99" s="83"/>
      <c r="I99" s="83"/>
      <c r="J99" s="83"/>
      <c r="K99" s="83"/>
      <c r="L99" s="83"/>
      <c r="M99" s="83"/>
      <c r="N99" s="83"/>
      <c r="O99" s="83"/>
      <c r="P99" s="83"/>
      <c r="Q99" s="83"/>
      <c r="R99" s="83"/>
      <c r="S99" s="83"/>
      <c r="T99" s="83"/>
      <c r="U99" s="83"/>
      <c r="V99" s="110">
        <f t="shared" si="17"/>
        <v>0</v>
      </c>
      <c r="W99" s="110">
        <f t="shared" si="18"/>
        <v>0</v>
      </c>
      <c r="X99" s="110">
        <f t="shared" si="19"/>
        <v>0</v>
      </c>
      <c r="Y99" s="110">
        <f t="shared" si="20"/>
        <v>0</v>
      </c>
      <c r="Z99" s="110">
        <f t="shared" si="21"/>
        <v>0</v>
      </c>
      <c r="AA99" s="110">
        <f t="shared" si="22"/>
        <v>0</v>
      </c>
      <c r="AB99" s="110">
        <f t="shared" si="23"/>
        <v>0</v>
      </c>
      <c r="AC99" s="110">
        <f t="shared" si="24"/>
        <v>0</v>
      </c>
      <c r="AD99" s="110">
        <f t="shared" si="25"/>
        <v>0</v>
      </c>
      <c r="AE99" s="110">
        <f t="shared" si="26"/>
        <v>0</v>
      </c>
      <c r="AF99" s="110">
        <f t="shared" si="27"/>
        <v>0</v>
      </c>
      <c r="AG99" s="110">
        <f t="shared" si="28"/>
        <v>0</v>
      </c>
      <c r="AH99" s="110">
        <f t="shared" si="29"/>
        <v>0</v>
      </c>
      <c r="AI99" s="110">
        <f t="shared" si="30"/>
        <v>0</v>
      </c>
      <c r="AJ99" s="110">
        <f t="shared" si="31"/>
        <v>0</v>
      </c>
    </row>
    <row r="100" spans="1:36" s="85" customFormat="1" ht="52.5" hidden="1" customHeight="1" x14ac:dyDescent="0.25">
      <c r="A100" s="83">
        <v>82</v>
      </c>
      <c r="B100" s="83"/>
      <c r="C100" s="84"/>
      <c r="D100" s="93"/>
      <c r="E100" s="83"/>
      <c r="F100" s="83"/>
      <c r="G100" s="83"/>
      <c r="H100" s="83"/>
      <c r="I100" s="83"/>
      <c r="J100" s="83"/>
      <c r="K100" s="83"/>
      <c r="L100" s="83"/>
      <c r="M100" s="83"/>
      <c r="N100" s="83"/>
      <c r="O100" s="83"/>
      <c r="P100" s="83"/>
      <c r="Q100" s="83"/>
      <c r="R100" s="83"/>
      <c r="S100" s="83"/>
      <c r="T100" s="83"/>
      <c r="U100" s="83"/>
      <c r="V100" s="110">
        <f t="shared" si="17"/>
        <v>0</v>
      </c>
      <c r="W100" s="110">
        <f t="shared" si="18"/>
        <v>0</v>
      </c>
      <c r="X100" s="110">
        <f t="shared" si="19"/>
        <v>0</v>
      </c>
      <c r="Y100" s="110">
        <f t="shared" si="20"/>
        <v>0</v>
      </c>
      <c r="Z100" s="110">
        <f t="shared" si="21"/>
        <v>0</v>
      </c>
      <c r="AA100" s="110">
        <f t="shared" si="22"/>
        <v>0</v>
      </c>
      <c r="AB100" s="110">
        <f t="shared" si="23"/>
        <v>0</v>
      </c>
      <c r="AC100" s="110">
        <f t="shared" si="24"/>
        <v>0</v>
      </c>
      <c r="AD100" s="110">
        <f t="shared" si="25"/>
        <v>0</v>
      </c>
      <c r="AE100" s="110">
        <f t="shared" si="26"/>
        <v>0</v>
      </c>
      <c r="AF100" s="110">
        <f t="shared" si="27"/>
        <v>0</v>
      </c>
      <c r="AG100" s="110">
        <f t="shared" si="28"/>
        <v>0</v>
      </c>
      <c r="AH100" s="110">
        <f t="shared" si="29"/>
        <v>0</v>
      </c>
      <c r="AI100" s="110">
        <f t="shared" si="30"/>
        <v>0</v>
      </c>
      <c r="AJ100" s="110">
        <f t="shared" si="31"/>
        <v>0</v>
      </c>
    </row>
    <row r="101" spans="1:36" s="85" customFormat="1" ht="52.5" hidden="1" customHeight="1" x14ac:dyDescent="0.25">
      <c r="A101" s="83">
        <v>83</v>
      </c>
      <c r="B101" s="83"/>
      <c r="C101" s="84"/>
      <c r="D101" s="93"/>
      <c r="E101" s="83"/>
      <c r="F101" s="83"/>
      <c r="G101" s="83"/>
      <c r="H101" s="83"/>
      <c r="I101" s="83"/>
      <c r="J101" s="83"/>
      <c r="K101" s="83"/>
      <c r="L101" s="83"/>
      <c r="M101" s="83"/>
      <c r="N101" s="83"/>
      <c r="O101" s="83"/>
      <c r="P101" s="83"/>
      <c r="Q101" s="83"/>
      <c r="R101" s="83"/>
      <c r="S101" s="83"/>
      <c r="T101" s="83"/>
      <c r="U101" s="83"/>
      <c r="V101" s="110">
        <f t="shared" si="17"/>
        <v>0</v>
      </c>
      <c r="W101" s="110">
        <f t="shared" si="18"/>
        <v>0</v>
      </c>
      <c r="X101" s="110">
        <f t="shared" si="19"/>
        <v>0</v>
      </c>
      <c r="Y101" s="110">
        <f t="shared" si="20"/>
        <v>0</v>
      </c>
      <c r="Z101" s="110">
        <f t="shared" si="21"/>
        <v>0</v>
      </c>
      <c r="AA101" s="110">
        <f t="shared" si="22"/>
        <v>0</v>
      </c>
      <c r="AB101" s="110">
        <f t="shared" si="23"/>
        <v>0</v>
      </c>
      <c r="AC101" s="110">
        <f t="shared" si="24"/>
        <v>0</v>
      </c>
      <c r="AD101" s="110">
        <f t="shared" si="25"/>
        <v>0</v>
      </c>
      <c r="AE101" s="110">
        <f t="shared" si="26"/>
        <v>0</v>
      </c>
      <c r="AF101" s="110">
        <f t="shared" si="27"/>
        <v>0</v>
      </c>
      <c r="AG101" s="110">
        <f t="shared" si="28"/>
        <v>0</v>
      </c>
      <c r="AH101" s="110">
        <f t="shared" si="29"/>
        <v>0</v>
      </c>
      <c r="AI101" s="110">
        <f t="shared" si="30"/>
        <v>0</v>
      </c>
      <c r="AJ101" s="110">
        <f t="shared" si="31"/>
        <v>0</v>
      </c>
    </row>
    <row r="102" spans="1:36" s="85" customFormat="1" ht="52.5" hidden="1" customHeight="1" x14ac:dyDescent="0.25">
      <c r="A102" s="83">
        <v>84</v>
      </c>
      <c r="B102" s="83"/>
      <c r="C102" s="84"/>
      <c r="D102" s="93"/>
      <c r="E102" s="83"/>
      <c r="F102" s="83"/>
      <c r="G102" s="83"/>
      <c r="H102" s="83"/>
      <c r="I102" s="83"/>
      <c r="J102" s="83"/>
      <c r="K102" s="83"/>
      <c r="L102" s="83"/>
      <c r="M102" s="83"/>
      <c r="N102" s="83"/>
      <c r="O102" s="83"/>
      <c r="P102" s="83"/>
      <c r="Q102" s="83"/>
      <c r="R102" s="83"/>
      <c r="S102" s="83"/>
      <c r="T102" s="83"/>
      <c r="U102" s="83"/>
      <c r="V102" s="110">
        <f t="shared" si="17"/>
        <v>0</v>
      </c>
      <c r="W102" s="110">
        <f t="shared" si="18"/>
        <v>0</v>
      </c>
      <c r="X102" s="110">
        <f t="shared" si="19"/>
        <v>0</v>
      </c>
      <c r="Y102" s="110">
        <f t="shared" si="20"/>
        <v>0</v>
      </c>
      <c r="Z102" s="110">
        <f t="shared" si="21"/>
        <v>0</v>
      </c>
      <c r="AA102" s="110">
        <f t="shared" si="22"/>
        <v>0</v>
      </c>
      <c r="AB102" s="110">
        <f t="shared" si="23"/>
        <v>0</v>
      </c>
      <c r="AC102" s="110">
        <f t="shared" si="24"/>
        <v>0</v>
      </c>
      <c r="AD102" s="110">
        <f t="shared" si="25"/>
        <v>0</v>
      </c>
      <c r="AE102" s="110">
        <f t="shared" si="26"/>
        <v>0</v>
      </c>
      <c r="AF102" s="110">
        <f t="shared" si="27"/>
        <v>0</v>
      </c>
      <c r="AG102" s="110">
        <f t="shared" si="28"/>
        <v>0</v>
      </c>
      <c r="AH102" s="110">
        <f t="shared" si="29"/>
        <v>0</v>
      </c>
      <c r="AI102" s="110">
        <f t="shared" si="30"/>
        <v>0</v>
      </c>
      <c r="AJ102" s="110">
        <f t="shared" si="31"/>
        <v>0</v>
      </c>
    </row>
    <row r="103" spans="1:36" s="85" customFormat="1" ht="52.5" hidden="1" customHeight="1" x14ac:dyDescent="0.25">
      <c r="A103" s="83">
        <v>85</v>
      </c>
      <c r="B103" s="83"/>
      <c r="C103" s="84"/>
      <c r="D103" s="93"/>
      <c r="E103" s="83"/>
      <c r="F103" s="83"/>
      <c r="G103" s="83"/>
      <c r="H103" s="83"/>
      <c r="I103" s="83"/>
      <c r="J103" s="83"/>
      <c r="K103" s="83"/>
      <c r="L103" s="83"/>
      <c r="M103" s="83"/>
      <c r="N103" s="83"/>
      <c r="O103" s="83"/>
      <c r="P103" s="83"/>
      <c r="Q103" s="83"/>
      <c r="R103" s="83"/>
      <c r="S103" s="83"/>
      <c r="T103" s="83"/>
      <c r="U103" s="83"/>
      <c r="V103" s="110">
        <f t="shared" si="17"/>
        <v>0</v>
      </c>
      <c r="W103" s="110">
        <f t="shared" si="18"/>
        <v>0</v>
      </c>
      <c r="X103" s="110">
        <f t="shared" si="19"/>
        <v>0</v>
      </c>
      <c r="Y103" s="110">
        <f t="shared" si="20"/>
        <v>0</v>
      </c>
      <c r="Z103" s="110">
        <f t="shared" si="21"/>
        <v>0</v>
      </c>
      <c r="AA103" s="110">
        <f t="shared" si="22"/>
        <v>0</v>
      </c>
      <c r="AB103" s="110">
        <f t="shared" si="23"/>
        <v>0</v>
      </c>
      <c r="AC103" s="110">
        <f t="shared" si="24"/>
        <v>0</v>
      </c>
      <c r="AD103" s="110">
        <f t="shared" si="25"/>
        <v>0</v>
      </c>
      <c r="AE103" s="110">
        <f t="shared" si="26"/>
        <v>0</v>
      </c>
      <c r="AF103" s="110">
        <f t="shared" si="27"/>
        <v>0</v>
      </c>
      <c r="AG103" s="110">
        <f t="shared" si="28"/>
        <v>0</v>
      </c>
      <c r="AH103" s="110">
        <f t="shared" si="29"/>
        <v>0</v>
      </c>
      <c r="AI103" s="110">
        <f t="shared" si="30"/>
        <v>0</v>
      </c>
      <c r="AJ103" s="110">
        <f t="shared" si="31"/>
        <v>0</v>
      </c>
    </row>
    <row r="104" spans="1:36" s="85" customFormat="1" ht="52.5" hidden="1" customHeight="1" x14ac:dyDescent="0.25">
      <c r="A104" s="83">
        <v>86</v>
      </c>
      <c r="B104" s="83"/>
      <c r="C104" s="84"/>
      <c r="D104" s="93"/>
      <c r="E104" s="83"/>
      <c r="F104" s="83"/>
      <c r="G104" s="83"/>
      <c r="H104" s="83"/>
      <c r="I104" s="83"/>
      <c r="J104" s="83"/>
      <c r="K104" s="83"/>
      <c r="L104" s="83"/>
      <c r="M104" s="83"/>
      <c r="N104" s="83"/>
      <c r="O104" s="83"/>
      <c r="P104" s="83"/>
      <c r="Q104" s="83"/>
      <c r="R104" s="83"/>
      <c r="S104" s="83"/>
      <c r="T104" s="83"/>
      <c r="U104" s="83"/>
      <c r="V104" s="110">
        <f t="shared" si="17"/>
        <v>0</v>
      </c>
      <c r="W104" s="110">
        <f t="shared" si="18"/>
        <v>0</v>
      </c>
      <c r="X104" s="110">
        <f t="shared" si="19"/>
        <v>0</v>
      </c>
      <c r="Y104" s="110">
        <f t="shared" si="20"/>
        <v>0</v>
      </c>
      <c r="Z104" s="110">
        <f t="shared" si="21"/>
        <v>0</v>
      </c>
      <c r="AA104" s="110">
        <f t="shared" si="22"/>
        <v>0</v>
      </c>
      <c r="AB104" s="110">
        <f t="shared" si="23"/>
        <v>0</v>
      </c>
      <c r="AC104" s="110">
        <f t="shared" si="24"/>
        <v>0</v>
      </c>
      <c r="AD104" s="110">
        <f t="shared" si="25"/>
        <v>0</v>
      </c>
      <c r="AE104" s="110">
        <f t="shared" si="26"/>
        <v>0</v>
      </c>
      <c r="AF104" s="110">
        <f t="shared" si="27"/>
        <v>0</v>
      </c>
      <c r="AG104" s="110">
        <f t="shared" si="28"/>
        <v>0</v>
      </c>
      <c r="AH104" s="110">
        <f t="shared" si="29"/>
        <v>0</v>
      </c>
      <c r="AI104" s="110">
        <f t="shared" si="30"/>
        <v>0</v>
      </c>
      <c r="AJ104" s="110">
        <f t="shared" si="31"/>
        <v>0</v>
      </c>
    </row>
    <row r="105" spans="1:36" s="85" customFormat="1" ht="52.5" hidden="1" customHeight="1" x14ac:dyDescent="0.25">
      <c r="A105" s="83">
        <v>87</v>
      </c>
      <c r="B105" s="83"/>
      <c r="C105" s="84"/>
      <c r="D105" s="93"/>
      <c r="E105" s="83"/>
      <c r="F105" s="83"/>
      <c r="G105" s="83"/>
      <c r="H105" s="83"/>
      <c r="I105" s="83"/>
      <c r="J105" s="83"/>
      <c r="K105" s="83"/>
      <c r="L105" s="83"/>
      <c r="M105" s="83"/>
      <c r="N105" s="83"/>
      <c r="O105" s="83"/>
      <c r="P105" s="83"/>
      <c r="Q105" s="83"/>
      <c r="R105" s="83"/>
      <c r="S105" s="83"/>
      <c r="T105" s="83"/>
      <c r="U105" s="83"/>
      <c r="V105" s="110">
        <f t="shared" si="17"/>
        <v>0</v>
      </c>
      <c r="W105" s="110">
        <f t="shared" si="18"/>
        <v>0</v>
      </c>
      <c r="X105" s="110">
        <f t="shared" si="19"/>
        <v>0</v>
      </c>
      <c r="Y105" s="110">
        <f t="shared" si="20"/>
        <v>0</v>
      </c>
      <c r="Z105" s="110">
        <f t="shared" si="21"/>
        <v>0</v>
      </c>
      <c r="AA105" s="110">
        <f t="shared" si="22"/>
        <v>0</v>
      </c>
      <c r="AB105" s="110">
        <f t="shared" si="23"/>
        <v>0</v>
      </c>
      <c r="AC105" s="110">
        <f t="shared" si="24"/>
        <v>0</v>
      </c>
      <c r="AD105" s="110">
        <f t="shared" si="25"/>
        <v>0</v>
      </c>
      <c r="AE105" s="110">
        <f t="shared" si="26"/>
        <v>0</v>
      </c>
      <c r="AF105" s="110">
        <f t="shared" si="27"/>
        <v>0</v>
      </c>
      <c r="AG105" s="110">
        <f t="shared" si="28"/>
        <v>0</v>
      </c>
      <c r="AH105" s="110">
        <f t="shared" si="29"/>
        <v>0</v>
      </c>
      <c r="AI105" s="110">
        <f t="shared" si="30"/>
        <v>0</v>
      </c>
      <c r="AJ105" s="110">
        <f t="shared" si="31"/>
        <v>0</v>
      </c>
    </row>
    <row r="106" spans="1:36" s="85" customFormat="1" ht="52.5" hidden="1" customHeight="1" x14ac:dyDescent="0.25">
      <c r="A106" s="83">
        <v>88</v>
      </c>
      <c r="B106" s="83"/>
      <c r="C106" s="84"/>
      <c r="D106" s="93"/>
      <c r="E106" s="83"/>
      <c r="F106" s="83"/>
      <c r="G106" s="83"/>
      <c r="H106" s="83"/>
      <c r="I106" s="83"/>
      <c r="J106" s="83"/>
      <c r="K106" s="83"/>
      <c r="L106" s="83"/>
      <c r="M106" s="83"/>
      <c r="N106" s="83"/>
      <c r="O106" s="83"/>
      <c r="P106" s="83"/>
      <c r="Q106" s="83"/>
      <c r="R106" s="83"/>
      <c r="S106" s="83"/>
      <c r="T106" s="83"/>
      <c r="U106" s="83"/>
      <c r="V106" s="110">
        <f t="shared" si="17"/>
        <v>0</v>
      </c>
      <c r="W106" s="110">
        <f t="shared" si="18"/>
        <v>0</v>
      </c>
      <c r="X106" s="110">
        <f t="shared" si="19"/>
        <v>0</v>
      </c>
      <c r="Y106" s="110">
        <f t="shared" si="20"/>
        <v>0</v>
      </c>
      <c r="Z106" s="110">
        <f t="shared" si="21"/>
        <v>0</v>
      </c>
      <c r="AA106" s="110">
        <f t="shared" si="22"/>
        <v>0</v>
      </c>
      <c r="AB106" s="110">
        <f t="shared" si="23"/>
        <v>0</v>
      </c>
      <c r="AC106" s="110">
        <f t="shared" si="24"/>
        <v>0</v>
      </c>
      <c r="AD106" s="110">
        <f t="shared" si="25"/>
        <v>0</v>
      </c>
      <c r="AE106" s="110">
        <f t="shared" si="26"/>
        <v>0</v>
      </c>
      <c r="AF106" s="110">
        <f t="shared" si="27"/>
        <v>0</v>
      </c>
      <c r="AG106" s="110">
        <f t="shared" si="28"/>
        <v>0</v>
      </c>
      <c r="AH106" s="110">
        <f t="shared" si="29"/>
        <v>0</v>
      </c>
      <c r="AI106" s="110">
        <f t="shared" si="30"/>
        <v>0</v>
      </c>
      <c r="AJ106" s="110">
        <f t="shared" si="31"/>
        <v>0</v>
      </c>
    </row>
    <row r="107" spans="1:36" s="85" customFormat="1" ht="52.5" hidden="1" customHeight="1" x14ac:dyDescent="0.25">
      <c r="A107" s="83">
        <v>89</v>
      </c>
      <c r="B107" s="83"/>
      <c r="C107" s="84"/>
      <c r="D107" s="93"/>
      <c r="E107" s="83"/>
      <c r="F107" s="83"/>
      <c r="G107" s="83"/>
      <c r="H107" s="83"/>
      <c r="I107" s="83"/>
      <c r="J107" s="83"/>
      <c r="K107" s="83"/>
      <c r="L107" s="83"/>
      <c r="M107" s="83"/>
      <c r="N107" s="83"/>
      <c r="O107" s="83"/>
      <c r="P107" s="83"/>
      <c r="Q107" s="83"/>
      <c r="R107" s="83"/>
      <c r="S107" s="83"/>
      <c r="T107" s="83"/>
      <c r="U107" s="83"/>
      <c r="V107" s="110">
        <f t="shared" si="17"/>
        <v>0</v>
      </c>
      <c r="W107" s="110">
        <f t="shared" si="18"/>
        <v>0</v>
      </c>
      <c r="X107" s="110">
        <f t="shared" si="19"/>
        <v>0</v>
      </c>
      <c r="Y107" s="110">
        <f t="shared" si="20"/>
        <v>0</v>
      </c>
      <c r="Z107" s="110">
        <f t="shared" si="21"/>
        <v>0</v>
      </c>
      <c r="AA107" s="110">
        <f t="shared" si="22"/>
        <v>0</v>
      </c>
      <c r="AB107" s="110">
        <f t="shared" si="23"/>
        <v>0</v>
      </c>
      <c r="AC107" s="110">
        <f t="shared" si="24"/>
        <v>0</v>
      </c>
      <c r="AD107" s="110">
        <f t="shared" si="25"/>
        <v>0</v>
      </c>
      <c r="AE107" s="110">
        <f t="shared" si="26"/>
        <v>0</v>
      </c>
      <c r="AF107" s="110">
        <f t="shared" si="27"/>
        <v>0</v>
      </c>
      <c r="AG107" s="110">
        <f t="shared" si="28"/>
        <v>0</v>
      </c>
      <c r="AH107" s="110">
        <f t="shared" si="29"/>
        <v>0</v>
      </c>
      <c r="AI107" s="110">
        <f t="shared" si="30"/>
        <v>0</v>
      </c>
      <c r="AJ107" s="110">
        <f t="shared" si="31"/>
        <v>0</v>
      </c>
    </row>
    <row r="108" spans="1:36" s="85" customFormat="1" ht="52.5" hidden="1" customHeight="1" x14ac:dyDescent="0.25">
      <c r="A108" s="83">
        <v>90</v>
      </c>
      <c r="B108" s="83"/>
      <c r="C108" s="84"/>
      <c r="D108" s="93"/>
      <c r="E108" s="83"/>
      <c r="F108" s="83"/>
      <c r="G108" s="83"/>
      <c r="H108" s="83"/>
      <c r="I108" s="83"/>
      <c r="J108" s="83"/>
      <c r="K108" s="83"/>
      <c r="L108" s="83"/>
      <c r="M108" s="83"/>
      <c r="N108" s="83"/>
      <c r="O108" s="83"/>
      <c r="P108" s="83"/>
      <c r="Q108" s="83"/>
      <c r="R108" s="83"/>
      <c r="S108" s="83"/>
      <c r="T108" s="83"/>
      <c r="U108" s="83"/>
      <c r="V108" s="110">
        <f t="shared" si="17"/>
        <v>0</v>
      </c>
      <c r="W108" s="110">
        <f t="shared" si="18"/>
        <v>0</v>
      </c>
      <c r="X108" s="110">
        <f t="shared" si="19"/>
        <v>0</v>
      </c>
      <c r="Y108" s="110">
        <f t="shared" si="20"/>
        <v>0</v>
      </c>
      <c r="Z108" s="110">
        <f t="shared" si="21"/>
        <v>0</v>
      </c>
      <c r="AA108" s="110">
        <f t="shared" si="22"/>
        <v>0</v>
      </c>
      <c r="AB108" s="110">
        <f t="shared" si="23"/>
        <v>0</v>
      </c>
      <c r="AC108" s="110">
        <f t="shared" si="24"/>
        <v>0</v>
      </c>
      <c r="AD108" s="110">
        <f t="shared" si="25"/>
        <v>0</v>
      </c>
      <c r="AE108" s="110">
        <f t="shared" si="26"/>
        <v>0</v>
      </c>
      <c r="AF108" s="110">
        <f t="shared" si="27"/>
        <v>0</v>
      </c>
      <c r="AG108" s="110">
        <f t="shared" si="28"/>
        <v>0</v>
      </c>
      <c r="AH108" s="110">
        <f t="shared" si="29"/>
        <v>0</v>
      </c>
      <c r="AI108" s="110">
        <f t="shared" si="30"/>
        <v>0</v>
      </c>
      <c r="AJ108" s="110">
        <f t="shared" si="31"/>
        <v>0</v>
      </c>
    </row>
    <row r="109" spans="1:36" s="85" customFormat="1" ht="52.5" hidden="1" customHeight="1" x14ac:dyDescent="0.25">
      <c r="A109" s="83">
        <v>91</v>
      </c>
      <c r="B109" s="83"/>
      <c r="C109" s="84"/>
      <c r="D109" s="93"/>
      <c r="E109" s="83"/>
      <c r="F109" s="83"/>
      <c r="G109" s="83"/>
      <c r="H109" s="83"/>
      <c r="I109" s="83"/>
      <c r="J109" s="83"/>
      <c r="K109" s="83"/>
      <c r="L109" s="83"/>
      <c r="M109" s="83"/>
      <c r="N109" s="83"/>
      <c r="O109" s="83"/>
      <c r="P109" s="83"/>
      <c r="Q109" s="83"/>
      <c r="R109" s="83"/>
      <c r="S109" s="83"/>
      <c r="T109" s="83"/>
      <c r="U109" s="83"/>
      <c r="V109" s="110">
        <f t="shared" si="17"/>
        <v>0</v>
      </c>
      <c r="W109" s="110">
        <f t="shared" si="18"/>
        <v>0</v>
      </c>
      <c r="X109" s="110">
        <f t="shared" si="19"/>
        <v>0</v>
      </c>
      <c r="Y109" s="110">
        <f t="shared" si="20"/>
        <v>0</v>
      </c>
      <c r="Z109" s="110">
        <f t="shared" si="21"/>
        <v>0</v>
      </c>
      <c r="AA109" s="110">
        <f t="shared" si="22"/>
        <v>0</v>
      </c>
      <c r="AB109" s="110">
        <f t="shared" si="23"/>
        <v>0</v>
      </c>
      <c r="AC109" s="110">
        <f t="shared" si="24"/>
        <v>0</v>
      </c>
      <c r="AD109" s="110">
        <f t="shared" si="25"/>
        <v>0</v>
      </c>
      <c r="AE109" s="110">
        <f t="shared" si="26"/>
        <v>0</v>
      </c>
      <c r="AF109" s="110">
        <f t="shared" si="27"/>
        <v>0</v>
      </c>
      <c r="AG109" s="110">
        <f t="shared" si="28"/>
        <v>0</v>
      </c>
      <c r="AH109" s="110">
        <f t="shared" si="29"/>
        <v>0</v>
      </c>
      <c r="AI109" s="110">
        <f t="shared" si="30"/>
        <v>0</v>
      </c>
      <c r="AJ109" s="110">
        <f t="shared" si="31"/>
        <v>0</v>
      </c>
    </row>
    <row r="110" spans="1:36" s="85" customFormat="1" ht="52.5" hidden="1" customHeight="1" x14ac:dyDescent="0.25">
      <c r="A110" s="83">
        <v>92</v>
      </c>
      <c r="B110" s="83"/>
      <c r="C110" s="84"/>
      <c r="D110" s="93"/>
      <c r="E110" s="83"/>
      <c r="F110" s="83"/>
      <c r="G110" s="83"/>
      <c r="H110" s="83"/>
      <c r="I110" s="83"/>
      <c r="J110" s="83"/>
      <c r="K110" s="83"/>
      <c r="L110" s="83"/>
      <c r="M110" s="83"/>
      <c r="N110" s="83"/>
      <c r="O110" s="83"/>
      <c r="P110" s="83"/>
      <c r="Q110" s="83"/>
      <c r="R110" s="83"/>
      <c r="S110" s="83"/>
      <c r="T110" s="83"/>
      <c r="U110" s="83"/>
      <c r="V110" s="110">
        <f t="shared" si="17"/>
        <v>0</v>
      </c>
      <c r="W110" s="110">
        <f t="shared" si="18"/>
        <v>0</v>
      </c>
      <c r="X110" s="110">
        <f t="shared" si="19"/>
        <v>0</v>
      </c>
      <c r="Y110" s="110">
        <f t="shared" si="20"/>
        <v>0</v>
      </c>
      <c r="Z110" s="110">
        <f t="shared" si="21"/>
        <v>0</v>
      </c>
      <c r="AA110" s="110">
        <f t="shared" si="22"/>
        <v>0</v>
      </c>
      <c r="AB110" s="110">
        <f t="shared" si="23"/>
        <v>0</v>
      </c>
      <c r="AC110" s="110">
        <f t="shared" si="24"/>
        <v>0</v>
      </c>
      <c r="AD110" s="110">
        <f t="shared" si="25"/>
        <v>0</v>
      </c>
      <c r="AE110" s="110">
        <f t="shared" si="26"/>
        <v>0</v>
      </c>
      <c r="AF110" s="110">
        <f t="shared" si="27"/>
        <v>0</v>
      </c>
      <c r="AG110" s="110">
        <f t="shared" si="28"/>
        <v>0</v>
      </c>
      <c r="AH110" s="110">
        <f t="shared" si="29"/>
        <v>0</v>
      </c>
      <c r="AI110" s="110">
        <f t="shared" si="30"/>
        <v>0</v>
      </c>
      <c r="AJ110" s="110">
        <f t="shared" si="31"/>
        <v>0</v>
      </c>
    </row>
    <row r="111" spans="1:36" s="85" customFormat="1" ht="52.5" hidden="1" customHeight="1" x14ac:dyDescent="0.25">
      <c r="A111" s="83">
        <v>93</v>
      </c>
      <c r="B111" s="83"/>
      <c r="C111" s="84"/>
      <c r="D111" s="93"/>
      <c r="E111" s="83"/>
      <c r="F111" s="83"/>
      <c r="G111" s="83"/>
      <c r="H111" s="83"/>
      <c r="I111" s="83"/>
      <c r="J111" s="83"/>
      <c r="K111" s="83"/>
      <c r="L111" s="83"/>
      <c r="M111" s="83"/>
      <c r="N111" s="83"/>
      <c r="O111" s="83"/>
      <c r="P111" s="83"/>
      <c r="Q111" s="83"/>
      <c r="R111" s="83"/>
      <c r="S111" s="83"/>
      <c r="T111" s="83"/>
      <c r="U111" s="83"/>
      <c r="V111" s="110">
        <f t="shared" si="17"/>
        <v>0</v>
      </c>
      <c r="W111" s="110">
        <f t="shared" si="18"/>
        <v>0</v>
      </c>
      <c r="X111" s="110">
        <f t="shared" si="19"/>
        <v>0</v>
      </c>
      <c r="Y111" s="110">
        <f t="shared" si="20"/>
        <v>0</v>
      </c>
      <c r="Z111" s="110">
        <f t="shared" si="21"/>
        <v>0</v>
      </c>
      <c r="AA111" s="110">
        <f t="shared" si="22"/>
        <v>0</v>
      </c>
      <c r="AB111" s="110">
        <f t="shared" si="23"/>
        <v>0</v>
      </c>
      <c r="AC111" s="110">
        <f t="shared" si="24"/>
        <v>0</v>
      </c>
      <c r="AD111" s="110">
        <f t="shared" si="25"/>
        <v>0</v>
      </c>
      <c r="AE111" s="110">
        <f t="shared" si="26"/>
        <v>0</v>
      </c>
      <c r="AF111" s="110">
        <f t="shared" si="27"/>
        <v>0</v>
      </c>
      <c r="AG111" s="110">
        <f t="shared" si="28"/>
        <v>0</v>
      </c>
      <c r="AH111" s="110">
        <f t="shared" si="29"/>
        <v>0</v>
      </c>
      <c r="AI111" s="110">
        <f t="shared" si="30"/>
        <v>0</v>
      </c>
      <c r="AJ111" s="110">
        <f t="shared" si="31"/>
        <v>0</v>
      </c>
    </row>
    <row r="112" spans="1:36" s="85" customFormat="1" ht="52.5" hidden="1" customHeight="1" x14ac:dyDescent="0.25">
      <c r="A112" s="83">
        <v>94</v>
      </c>
      <c r="B112" s="83"/>
      <c r="C112" s="84"/>
      <c r="D112" s="93"/>
      <c r="E112" s="83"/>
      <c r="F112" s="83"/>
      <c r="G112" s="83"/>
      <c r="H112" s="83"/>
      <c r="I112" s="83"/>
      <c r="J112" s="83"/>
      <c r="K112" s="83"/>
      <c r="L112" s="83"/>
      <c r="M112" s="83"/>
      <c r="N112" s="83"/>
      <c r="O112" s="83"/>
      <c r="P112" s="83"/>
      <c r="Q112" s="83"/>
      <c r="R112" s="83"/>
      <c r="S112" s="83"/>
      <c r="T112" s="83"/>
      <c r="U112" s="83"/>
      <c r="V112" s="110">
        <f t="shared" si="17"/>
        <v>0</v>
      </c>
      <c r="W112" s="110">
        <f t="shared" si="18"/>
        <v>0</v>
      </c>
      <c r="X112" s="110">
        <f t="shared" si="19"/>
        <v>0</v>
      </c>
      <c r="Y112" s="110">
        <f t="shared" si="20"/>
        <v>0</v>
      </c>
      <c r="Z112" s="110">
        <f t="shared" si="21"/>
        <v>0</v>
      </c>
      <c r="AA112" s="110">
        <f t="shared" si="22"/>
        <v>0</v>
      </c>
      <c r="AB112" s="110">
        <f t="shared" si="23"/>
        <v>0</v>
      </c>
      <c r="AC112" s="110">
        <f t="shared" si="24"/>
        <v>0</v>
      </c>
      <c r="AD112" s="110">
        <f t="shared" si="25"/>
        <v>0</v>
      </c>
      <c r="AE112" s="110">
        <f t="shared" si="26"/>
        <v>0</v>
      </c>
      <c r="AF112" s="110">
        <f t="shared" si="27"/>
        <v>0</v>
      </c>
      <c r="AG112" s="110">
        <f t="shared" si="28"/>
        <v>0</v>
      </c>
      <c r="AH112" s="110">
        <f t="shared" si="29"/>
        <v>0</v>
      </c>
      <c r="AI112" s="110">
        <f t="shared" si="30"/>
        <v>0</v>
      </c>
      <c r="AJ112" s="110">
        <f t="shared" si="31"/>
        <v>0</v>
      </c>
    </row>
    <row r="113" spans="1:36" s="85" customFormat="1" ht="52.5" hidden="1" customHeight="1" x14ac:dyDescent="0.25">
      <c r="A113" s="83">
        <v>95</v>
      </c>
      <c r="B113" s="83"/>
      <c r="C113" s="84"/>
      <c r="D113" s="93"/>
      <c r="E113" s="83"/>
      <c r="F113" s="83"/>
      <c r="G113" s="83"/>
      <c r="H113" s="83"/>
      <c r="I113" s="83"/>
      <c r="J113" s="83"/>
      <c r="K113" s="83"/>
      <c r="L113" s="83"/>
      <c r="M113" s="83"/>
      <c r="N113" s="83"/>
      <c r="O113" s="83"/>
      <c r="P113" s="83"/>
      <c r="Q113" s="83"/>
      <c r="R113" s="83"/>
      <c r="S113" s="83"/>
      <c r="T113" s="83"/>
      <c r="U113" s="83"/>
      <c r="V113" s="110">
        <f t="shared" si="17"/>
        <v>0</v>
      </c>
      <c r="W113" s="110">
        <f t="shared" si="18"/>
        <v>0</v>
      </c>
      <c r="X113" s="110">
        <f t="shared" si="19"/>
        <v>0</v>
      </c>
      <c r="Y113" s="110">
        <f t="shared" si="20"/>
        <v>0</v>
      </c>
      <c r="Z113" s="110">
        <f t="shared" si="21"/>
        <v>0</v>
      </c>
      <c r="AA113" s="110">
        <f t="shared" si="22"/>
        <v>0</v>
      </c>
      <c r="AB113" s="110">
        <f t="shared" si="23"/>
        <v>0</v>
      </c>
      <c r="AC113" s="110">
        <f t="shared" si="24"/>
        <v>0</v>
      </c>
      <c r="AD113" s="110">
        <f t="shared" si="25"/>
        <v>0</v>
      </c>
      <c r="AE113" s="110">
        <f t="shared" si="26"/>
        <v>0</v>
      </c>
      <c r="AF113" s="110">
        <f t="shared" si="27"/>
        <v>0</v>
      </c>
      <c r="AG113" s="110">
        <f t="shared" si="28"/>
        <v>0</v>
      </c>
      <c r="AH113" s="110">
        <f t="shared" si="29"/>
        <v>0</v>
      </c>
      <c r="AI113" s="110">
        <f t="shared" si="30"/>
        <v>0</v>
      </c>
      <c r="AJ113" s="110">
        <f t="shared" si="31"/>
        <v>0</v>
      </c>
    </row>
    <row r="114" spans="1:36" s="85" customFormat="1" ht="52.5" hidden="1" customHeight="1" x14ac:dyDescent="0.25">
      <c r="A114" s="83">
        <v>96</v>
      </c>
      <c r="B114" s="83"/>
      <c r="C114" s="84"/>
      <c r="D114" s="93"/>
      <c r="E114" s="83"/>
      <c r="F114" s="83"/>
      <c r="G114" s="83"/>
      <c r="H114" s="83"/>
      <c r="I114" s="83"/>
      <c r="J114" s="83"/>
      <c r="K114" s="83"/>
      <c r="L114" s="83"/>
      <c r="M114" s="83"/>
      <c r="N114" s="83"/>
      <c r="O114" s="83"/>
      <c r="P114" s="83"/>
      <c r="Q114" s="83"/>
      <c r="R114" s="83"/>
      <c r="S114" s="83"/>
      <c r="T114" s="83"/>
      <c r="U114" s="83"/>
      <c r="V114" s="110">
        <f t="shared" si="17"/>
        <v>0</v>
      </c>
      <c r="W114" s="110">
        <f t="shared" si="18"/>
        <v>0</v>
      </c>
      <c r="X114" s="110">
        <f t="shared" si="19"/>
        <v>0</v>
      </c>
      <c r="Y114" s="110">
        <f t="shared" si="20"/>
        <v>0</v>
      </c>
      <c r="Z114" s="110">
        <f t="shared" si="21"/>
        <v>0</v>
      </c>
      <c r="AA114" s="110">
        <f t="shared" si="22"/>
        <v>0</v>
      </c>
      <c r="AB114" s="110">
        <f t="shared" si="23"/>
        <v>0</v>
      </c>
      <c r="AC114" s="110">
        <f t="shared" si="24"/>
        <v>0</v>
      </c>
      <c r="AD114" s="110">
        <f t="shared" si="25"/>
        <v>0</v>
      </c>
      <c r="AE114" s="110">
        <f t="shared" si="26"/>
        <v>0</v>
      </c>
      <c r="AF114" s="110">
        <f t="shared" si="27"/>
        <v>0</v>
      </c>
      <c r="AG114" s="110">
        <f t="shared" si="28"/>
        <v>0</v>
      </c>
      <c r="AH114" s="110">
        <f t="shared" si="29"/>
        <v>0</v>
      </c>
      <c r="AI114" s="110">
        <f t="shared" si="30"/>
        <v>0</v>
      </c>
      <c r="AJ114" s="110">
        <f t="shared" si="31"/>
        <v>0</v>
      </c>
    </row>
    <row r="115" spans="1:36" s="85" customFormat="1" ht="52.5" hidden="1" customHeight="1" x14ac:dyDescent="0.25">
      <c r="A115" s="83">
        <v>97</v>
      </c>
      <c r="B115" s="83"/>
      <c r="C115" s="84"/>
      <c r="D115" s="93"/>
      <c r="E115" s="83"/>
      <c r="F115" s="83"/>
      <c r="G115" s="83"/>
      <c r="H115" s="83"/>
      <c r="I115" s="83"/>
      <c r="J115" s="83"/>
      <c r="K115" s="83"/>
      <c r="L115" s="83"/>
      <c r="M115" s="83"/>
      <c r="N115" s="83"/>
      <c r="O115" s="83"/>
      <c r="P115" s="83"/>
      <c r="Q115" s="83"/>
      <c r="R115" s="83"/>
      <c r="S115" s="83"/>
      <c r="T115" s="83"/>
      <c r="U115" s="83"/>
      <c r="V115" s="110">
        <f t="shared" si="17"/>
        <v>0</v>
      </c>
      <c r="W115" s="110">
        <f t="shared" si="18"/>
        <v>0</v>
      </c>
      <c r="X115" s="110">
        <f t="shared" si="19"/>
        <v>0</v>
      </c>
      <c r="Y115" s="110">
        <f t="shared" si="20"/>
        <v>0</v>
      </c>
      <c r="Z115" s="110">
        <f t="shared" si="21"/>
        <v>0</v>
      </c>
      <c r="AA115" s="110">
        <f t="shared" si="22"/>
        <v>0</v>
      </c>
      <c r="AB115" s="110">
        <f t="shared" si="23"/>
        <v>0</v>
      </c>
      <c r="AC115" s="110">
        <f t="shared" si="24"/>
        <v>0</v>
      </c>
      <c r="AD115" s="110">
        <f t="shared" si="25"/>
        <v>0</v>
      </c>
      <c r="AE115" s="110">
        <f t="shared" si="26"/>
        <v>0</v>
      </c>
      <c r="AF115" s="110">
        <f t="shared" si="27"/>
        <v>0</v>
      </c>
      <c r="AG115" s="110">
        <f t="shared" si="28"/>
        <v>0</v>
      </c>
      <c r="AH115" s="110">
        <f t="shared" si="29"/>
        <v>0</v>
      </c>
      <c r="AI115" s="110">
        <f t="shared" si="30"/>
        <v>0</v>
      </c>
      <c r="AJ115" s="110">
        <f t="shared" si="31"/>
        <v>0</v>
      </c>
    </row>
    <row r="116" spans="1:36" s="85" customFormat="1" ht="52.5" hidden="1" customHeight="1" x14ac:dyDescent="0.25">
      <c r="A116" s="83">
        <v>98</v>
      </c>
      <c r="B116" s="83"/>
      <c r="C116" s="84"/>
      <c r="D116" s="93"/>
      <c r="E116" s="83"/>
      <c r="F116" s="83"/>
      <c r="G116" s="83"/>
      <c r="H116" s="83"/>
      <c r="I116" s="83"/>
      <c r="J116" s="83"/>
      <c r="K116" s="83"/>
      <c r="L116" s="83"/>
      <c r="M116" s="83"/>
      <c r="N116" s="83"/>
      <c r="O116" s="83"/>
      <c r="P116" s="83"/>
      <c r="Q116" s="83"/>
      <c r="R116" s="83"/>
      <c r="S116" s="83"/>
      <c r="T116" s="83"/>
      <c r="U116" s="83"/>
      <c r="V116" s="110">
        <f t="shared" si="17"/>
        <v>0</v>
      </c>
      <c r="W116" s="110">
        <f t="shared" si="18"/>
        <v>0</v>
      </c>
      <c r="X116" s="110">
        <f t="shared" si="19"/>
        <v>0</v>
      </c>
      <c r="Y116" s="110">
        <f t="shared" si="20"/>
        <v>0</v>
      </c>
      <c r="Z116" s="110">
        <f t="shared" si="21"/>
        <v>0</v>
      </c>
      <c r="AA116" s="110">
        <f t="shared" si="22"/>
        <v>0</v>
      </c>
      <c r="AB116" s="110">
        <f t="shared" si="23"/>
        <v>0</v>
      </c>
      <c r="AC116" s="110">
        <f t="shared" si="24"/>
        <v>0</v>
      </c>
      <c r="AD116" s="110">
        <f t="shared" si="25"/>
        <v>0</v>
      </c>
      <c r="AE116" s="110">
        <f t="shared" si="26"/>
        <v>0</v>
      </c>
      <c r="AF116" s="110">
        <f t="shared" si="27"/>
        <v>0</v>
      </c>
      <c r="AG116" s="110">
        <f t="shared" si="28"/>
        <v>0</v>
      </c>
      <c r="AH116" s="110">
        <f t="shared" si="29"/>
        <v>0</v>
      </c>
      <c r="AI116" s="110">
        <f t="shared" si="30"/>
        <v>0</v>
      </c>
      <c r="AJ116" s="110">
        <f t="shared" si="31"/>
        <v>0</v>
      </c>
    </row>
    <row r="117" spans="1:36" s="85" customFormat="1" ht="52.5" hidden="1" customHeight="1" x14ac:dyDescent="0.25">
      <c r="A117" s="83">
        <v>99</v>
      </c>
      <c r="B117" s="83"/>
      <c r="C117" s="84"/>
      <c r="D117" s="93"/>
      <c r="E117" s="83"/>
      <c r="F117" s="83"/>
      <c r="G117" s="83"/>
      <c r="H117" s="83"/>
      <c r="I117" s="83"/>
      <c r="J117" s="83"/>
      <c r="K117" s="83"/>
      <c r="L117" s="83"/>
      <c r="M117" s="83"/>
      <c r="N117" s="83"/>
      <c r="O117" s="83"/>
      <c r="P117" s="83"/>
      <c r="Q117" s="83"/>
      <c r="R117" s="83"/>
      <c r="S117" s="83"/>
      <c r="T117" s="83"/>
      <c r="U117" s="83"/>
      <c r="V117" s="110">
        <f t="shared" si="17"/>
        <v>0</v>
      </c>
      <c r="W117" s="110">
        <f t="shared" si="18"/>
        <v>0</v>
      </c>
      <c r="X117" s="110">
        <f t="shared" si="19"/>
        <v>0</v>
      </c>
      <c r="Y117" s="110">
        <f t="shared" si="20"/>
        <v>0</v>
      </c>
      <c r="Z117" s="110">
        <f t="shared" si="21"/>
        <v>0</v>
      </c>
      <c r="AA117" s="110">
        <f t="shared" si="22"/>
        <v>0</v>
      </c>
      <c r="AB117" s="110">
        <f t="shared" si="23"/>
        <v>0</v>
      </c>
      <c r="AC117" s="110">
        <f t="shared" si="24"/>
        <v>0</v>
      </c>
      <c r="AD117" s="110">
        <f t="shared" si="25"/>
        <v>0</v>
      </c>
      <c r="AE117" s="110">
        <f t="shared" si="26"/>
        <v>0</v>
      </c>
      <c r="AF117" s="110">
        <f t="shared" si="27"/>
        <v>0</v>
      </c>
      <c r="AG117" s="110">
        <f t="shared" si="28"/>
        <v>0</v>
      </c>
      <c r="AH117" s="110">
        <f t="shared" si="29"/>
        <v>0</v>
      </c>
      <c r="AI117" s="110">
        <f t="shared" si="30"/>
        <v>0</v>
      </c>
      <c r="AJ117" s="110">
        <f t="shared" si="31"/>
        <v>0</v>
      </c>
    </row>
    <row r="118" spans="1:36" s="85" customFormat="1" ht="52.5" hidden="1" customHeight="1" x14ac:dyDescent="0.25">
      <c r="A118" s="83">
        <v>100</v>
      </c>
      <c r="B118" s="83"/>
      <c r="C118" s="84"/>
      <c r="D118" s="93"/>
      <c r="E118" s="83"/>
      <c r="F118" s="83"/>
      <c r="G118" s="83"/>
      <c r="H118" s="83"/>
      <c r="I118" s="83"/>
      <c r="J118" s="83"/>
      <c r="K118" s="83"/>
      <c r="L118" s="83"/>
      <c r="M118" s="83"/>
      <c r="N118" s="83"/>
      <c r="O118" s="83"/>
      <c r="P118" s="83"/>
      <c r="Q118" s="83"/>
      <c r="R118" s="83"/>
      <c r="S118" s="83"/>
      <c r="T118" s="83"/>
      <c r="U118" s="83"/>
      <c r="V118" s="110">
        <f t="shared" si="17"/>
        <v>0</v>
      </c>
      <c r="W118" s="110">
        <f t="shared" si="18"/>
        <v>0</v>
      </c>
      <c r="X118" s="110">
        <f t="shared" si="19"/>
        <v>0</v>
      </c>
      <c r="Y118" s="110">
        <f t="shared" si="20"/>
        <v>0</v>
      </c>
      <c r="Z118" s="110">
        <f t="shared" si="21"/>
        <v>0</v>
      </c>
      <c r="AA118" s="110">
        <f t="shared" si="22"/>
        <v>0</v>
      </c>
      <c r="AB118" s="110">
        <f t="shared" si="23"/>
        <v>0</v>
      </c>
      <c r="AC118" s="110">
        <f t="shared" si="24"/>
        <v>0</v>
      </c>
      <c r="AD118" s="110">
        <f t="shared" si="25"/>
        <v>0</v>
      </c>
      <c r="AE118" s="110">
        <f t="shared" si="26"/>
        <v>0</v>
      </c>
      <c r="AF118" s="110">
        <f t="shared" si="27"/>
        <v>0</v>
      </c>
      <c r="AG118" s="110">
        <f t="shared" si="28"/>
        <v>0</v>
      </c>
      <c r="AH118" s="110">
        <f t="shared" si="29"/>
        <v>0</v>
      </c>
      <c r="AI118" s="110">
        <f t="shared" si="30"/>
        <v>0</v>
      </c>
      <c r="AJ118" s="110">
        <f t="shared" si="31"/>
        <v>0</v>
      </c>
    </row>
    <row r="119" spans="1:36" s="85" customFormat="1" ht="52.5" hidden="1" customHeight="1" x14ac:dyDescent="0.25">
      <c r="A119" s="83">
        <v>101</v>
      </c>
      <c r="B119" s="83"/>
      <c r="C119" s="84"/>
      <c r="D119" s="93"/>
      <c r="E119" s="83"/>
      <c r="F119" s="83"/>
      <c r="G119" s="83"/>
      <c r="H119" s="83"/>
      <c r="I119" s="83"/>
      <c r="J119" s="83"/>
      <c r="K119" s="83"/>
      <c r="L119" s="83"/>
      <c r="M119" s="83"/>
      <c r="N119" s="83"/>
      <c r="O119" s="83"/>
      <c r="P119" s="83"/>
      <c r="Q119" s="83"/>
      <c r="R119" s="83"/>
      <c r="S119" s="83"/>
      <c r="T119" s="83"/>
      <c r="U119" s="83"/>
      <c r="V119" s="110">
        <f t="shared" si="17"/>
        <v>0</v>
      </c>
      <c r="W119" s="110">
        <f t="shared" si="18"/>
        <v>0</v>
      </c>
      <c r="X119" s="110">
        <f t="shared" si="19"/>
        <v>0</v>
      </c>
      <c r="Y119" s="110">
        <f t="shared" si="20"/>
        <v>0</v>
      </c>
      <c r="Z119" s="110">
        <f t="shared" si="21"/>
        <v>0</v>
      </c>
      <c r="AA119" s="110">
        <f t="shared" si="22"/>
        <v>0</v>
      </c>
      <c r="AB119" s="110">
        <f t="shared" si="23"/>
        <v>0</v>
      </c>
      <c r="AC119" s="110">
        <f t="shared" si="24"/>
        <v>0</v>
      </c>
      <c r="AD119" s="110">
        <f t="shared" si="25"/>
        <v>0</v>
      </c>
      <c r="AE119" s="110">
        <f t="shared" si="26"/>
        <v>0</v>
      </c>
      <c r="AF119" s="110">
        <f t="shared" si="27"/>
        <v>0</v>
      </c>
      <c r="AG119" s="110">
        <f t="shared" si="28"/>
        <v>0</v>
      </c>
      <c r="AH119" s="110">
        <f t="shared" si="29"/>
        <v>0</v>
      </c>
      <c r="AI119" s="110">
        <f t="shared" si="30"/>
        <v>0</v>
      </c>
      <c r="AJ119" s="110">
        <f t="shared" si="31"/>
        <v>0</v>
      </c>
    </row>
    <row r="120" spans="1:36" s="85" customFormat="1" ht="52.5" hidden="1" customHeight="1" x14ac:dyDescent="0.25">
      <c r="A120" s="83">
        <v>102</v>
      </c>
      <c r="B120" s="83"/>
      <c r="C120" s="84"/>
      <c r="D120" s="93"/>
      <c r="E120" s="83"/>
      <c r="F120" s="83"/>
      <c r="G120" s="83"/>
      <c r="H120" s="83"/>
      <c r="I120" s="83"/>
      <c r="J120" s="83"/>
      <c r="K120" s="83"/>
      <c r="L120" s="83"/>
      <c r="M120" s="83"/>
      <c r="N120" s="83"/>
      <c r="O120" s="83"/>
      <c r="P120" s="83"/>
      <c r="Q120" s="83"/>
      <c r="R120" s="83"/>
      <c r="S120" s="83"/>
      <c r="T120" s="83"/>
      <c r="U120" s="83"/>
      <c r="V120" s="110">
        <f t="shared" si="17"/>
        <v>0</v>
      </c>
      <c r="W120" s="110">
        <f t="shared" si="18"/>
        <v>0</v>
      </c>
      <c r="X120" s="110">
        <f t="shared" si="19"/>
        <v>0</v>
      </c>
      <c r="Y120" s="110">
        <f t="shared" si="20"/>
        <v>0</v>
      </c>
      <c r="Z120" s="110">
        <f t="shared" si="21"/>
        <v>0</v>
      </c>
      <c r="AA120" s="110">
        <f t="shared" si="22"/>
        <v>0</v>
      </c>
      <c r="AB120" s="110">
        <f t="shared" si="23"/>
        <v>0</v>
      </c>
      <c r="AC120" s="110">
        <f t="shared" si="24"/>
        <v>0</v>
      </c>
      <c r="AD120" s="110">
        <f t="shared" si="25"/>
        <v>0</v>
      </c>
      <c r="AE120" s="110">
        <f t="shared" si="26"/>
        <v>0</v>
      </c>
      <c r="AF120" s="110">
        <f t="shared" si="27"/>
        <v>0</v>
      </c>
      <c r="AG120" s="110">
        <f t="shared" si="28"/>
        <v>0</v>
      </c>
      <c r="AH120" s="110">
        <f t="shared" si="29"/>
        <v>0</v>
      </c>
      <c r="AI120" s="110">
        <f t="shared" si="30"/>
        <v>0</v>
      </c>
      <c r="AJ120" s="110">
        <f t="shared" si="31"/>
        <v>0</v>
      </c>
    </row>
    <row r="121" spans="1:36" s="85" customFormat="1" ht="52.5" hidden="1" customHeight="1" x14ac:dyDescent="0.25">
      <c r="A121" s="83">
        <v>103</v>
      </c>
      <c r="B121" s="83"/>
      <c r="C121" s="84"/>
      <c r="D121" s="93"/>
      <c r="E121" s="83"/>
      <c r="F121" s="83"/>
      <c r="G121" s="83"/>
      <c r="H121" s="83"/>
      <c r="I121" s="83"/>
      <c r="J121" s="83"/>
      <c r="K121" s="83"/>
      <c r="L121" s="83"/>
      <c r="M121" s="83"/>
      <c r="N121" s="83"/>
      <c r="O121" s="83"/>
      <c r="P121" s="83"/>
      <c r="Q121" s="83"/>
      <c r="R121" s="83"/>
      <c r="S121" s="83"/>
      <c r="T121" s="83"/>
      <c r="U121" s="83"/>
      <c r="V121" s="110">
        <f t="shared" si="17"/>
        <v>0</v>
      </c>
      <c r="W121" s="110">
        <f t="shared" si="18"/>
        <v>0</v>
      </c>
      <c r="X121" s="110">
        <f t="shared" si="19"/>
        <v>0</v>
      </c>
      <c r="Y121" s="110">
        <f t="shared" si="20"/>
        <v>0</v>
      </c>
      <c r="Z121" s="110">
        <f t="shared" si="21"/>
        <v>0</v>
      </c>
      <c r="AA121" s="110">
        <f t="shared" si="22"/>
        <v>0</v>
      </c>
      <c r="AB121" s="110">
        <f t="shared" si="23"/>
        <v>0</v>
      </c>
      <c r="AC121" s="110">
        <f t="shared" si="24"/>
        <v>0</v>
      </c>
      <c r="AD121" s="110">
        <f t="shared" si="25"/>
        <v>0</v>
      </c>
      <c r="AE121" s="110">
        <f t="shared" si="26"/>
        <v>0</v>
      </c>
      <c r="AF121" s="110">
        <f t="shared" si="27"/>
        <v>0</v>
      </c>
      <c r="AG121" s="110">
        <f t="shared" si="28"/>
        <v>0</v>
      </c>
      <c r="AH121" s="110">
        <f t="shared" si="29"/>
        <v>0</v>
      </c>
      <c r="AI121" s="110">
        <f t="shared" si="30"/>
        <v>0</v>
      </c>
      <c r="AJ121" s="110">
        <f t="shared" si="31"/>
        <v>0</v>
      </c>
    </row>
    <row r="122" spans="1:36" s="85" customFormat="1" ht="52.5" hidden="1" customHeight="1" x14ac:dyDescent="0.25">
      <c r="A122" s="83">
        <v>104</v>
      </c>
      <c r="B122" s="83"/>
      <c r="C122" s="84"/>
      <c r="D122" s="93"/>
      <c r="E122" s="83"/>
      <c r="F122" s="83"/>
      <c r="G122" s="83"/>
      <c r="H122" s="83"/>
      <c r="I122" s="83"/>
      <c r="J122" s="83"/>
      <c r="K122" s="83"/>
      <c r="L122" s="83"/>
      <c r="M122" s="83"/>
      <c r="N122" s="83"/>
      <c r="O122" s="83"/>
      <c r="P122" s="83"/>
      <c r="Q122" s="83"/>
      <c r="R122" s="83"/>
      <c r="S122" s="83"/>
      <c r="T122" s="83"/>
      <c r="U122" s="83"/>
      <c r="V122" s="110">
        <f t="shared" si="17"/>
        <v>0</v>
      </c>
      <c r="W122" s="110">
        <f t="shared" si="18"/>
        <v>0</v>
      </c>
      <c r="X122" s="110">
        <f t="shared" si="19"/>
        <v>0</v>
      </c>
      <c r="Y122" s="110">
        <f t="shared" si="20"/>
        <v>0</v>
      </c>
      <c r="Z122" s="110">
        <f t="shared" si="21"/>
        <v>0</v>
      </c>
      <c r="AA122" s="110">
        <f t="shared" si="22"/>
        <v>0</v>
      </c>
      <c r="AB122" s="110">
        <f t="shared" si="23"/>
        <v>0</v>
      </c>
      <c r="AC122" s="110">
        <f t="shared" si="24"/>
        <v>0</v>
      </c>
      <c r="AD122" s="110">
        <f t="shared" si="25"/>
        <v>0</v>
      </c>
      <c r="AE122" s="110">
        <f t="shared" si="26"/>
        <v>0</v>
      </c>
      <c r="AF122" s="110">
        <f t="shared" si="27"/>
        <v>0</v>
      </c>
      <c r="AG122" s="110">
        <f t="shared" si="28"/>
        <v>0</v>
      </c>
      <c r="AH122" s="110">
        <f t="shared" si="29"/>
        <v>0</v>
      </c>
      <c r="AI122" s="110">
        <f t="shared" si="30"/>
        <v>0</v>
      </c>
      <c r="AJ122" s="110">
        <f t="shared" si="31"/>
        <v>0</v>
      </c>
    </row>
    <row r="123" spans="1:36" s="85" customFormat="1" ht="52.5" hidden="1" customHeight="1" x14ac:dyDescent="0.25">
      <c r="A123" s="83">
        <v>105</v>
      </c>
      <c r="B123" s="83"/>
      <c r="C123" s="84"/>
      <c r="D123" s="93"/>
      <c r="E123" s="83"/>
      <c r="F123" s="83"/>
      <c r="G123" s="83"/>
      <c r="H123" s="83"/>
      <c r="I123" s="83"/>
      <c r="J123" s="83"/>
      <c r="K123" s="83"/>
      <c r="L123" s="83"/>
      <c r="M123" s="83"/>
      <c r="N123" s="83"/>
      <c r="O123" s="83"/>
      <c r="P123" s="83"/>
      <c r="Q123" s="83"/>
      <c r="R123" s="83"/>
      <c r="S123" s="83"/>
      <c r="T123" s="83"/>
      <c r="U123" s="83"/>
      <c r="V123" s="110">
        <f t="shared" si="17"/>
        <v>0</v>
      </c>
      <c r="W123" s="110">
        <f t="shared" si="18"/>
        <v>0</v>
      </c>
      <c r="X123" s="110">
        <f t="shared" si="19"/>
        <v>0</v>
      </c>
      <c r="Y123" s="110">
        <f t="shared" si="20"/>
        <v>0</v>
      </c>
      <c r="Z123" s="110">
        <f t="shared" si="21"/>
        <v>0</v>
      </c>
      <c r="AA123" s="110">
        <f t="shared" si="22"/>
        <v>0</v>
      </c>
      <c r="AB123" s="110">
        <f t="shared" si="23"/>
        <v>0</v>
      </c>
      <c r="AC123" s="110">
        <f t="shared" si="24"/>
        <v>0</v>
      </c>
      <c r="AD123" s="110">
        <f t="shared" si="25"/>
        <v>0</v>
      </c>
      <c r="AE123" s="110">
        <f t="shared" si="26"/>
        <v>0</v>
      </c>
      <c r="AF123" s="110">
        <f t="shared" si="27"/>
        <v>0</v>
      </c>
      <c r="AG123" s="110">
        <f t="shared" si="28"/>
        <v>0</v>
      </c>
      <c r="AH123" s="110">
        <f t="shared" si="29"/>
        <v>0</v>
      </c>
      <c r="AI123" s="110">
        <f t="shared" si="30"/>
        <v>0</v>
      </c>
      <c r="AJ123" s="110">
        <f t="shared" si="31"/>
        <v>0</v>
      </c>
    </row>
    <row r="124" spans="1:36" s="85" customFormat="1" ht="52.5" hidden="1" customHeight="1" x14ac:dyDescent="0.25">
      <c r="A124" s="83">
        <v>106</v>
      </c>
      <c r="B124" s="83"/>
      <c r="C124" s="84"/>
      <c r="D124" s="93"/>
      <c r="E124" s="83"/>
      <c r="F124" s="83"/>
      <c r="G124" s="83"/>
      <c r="H124" s="83"/>
      <c r="I124" s="83"/>
      <c r="J124" s="83"/>
      <c r="K124" s="83"/>
      <c r="L124" s="83"/>
      <c r="M124" s="83"/>
      <c r="N124" s="83"/>
      <c r="O124" s="83"/>
      <c r="P124" s="83"/>
      <c r="Q124" s="83"/>
      <c r="R124" s="83"/>
      <c r="S124" s="83"/>
      <c r="T124" s="83"/>
      <c r="U124" s="83"/>
      <c r="V124" s="110">
        <f t="shared" si="17"/>
        <v>0</v>
      </c>
      <c r="W124" s="110">
        <f t="shared" si="18"/>
        <v>0</v>
      </c>
      <c r="X124" s="110">
        <f t="shared" si="19"/>
        <v>0</v>
      </c>
      <c r="Y124" s="110">
        <f t="shared" si="20"/>
        <v>0</v>
      </c>
      <c r="Z124" s="110">
        <f t="shared" si="21"/>
        <v>0</v>
      </c>
      <c r="AA124" s="110">
        <f t="shared" si="22"/>
        <v>0</v>
      </c>
      <c r="AB124" s="110">
        <f t="shared" si="23"/>
        <v>0</v>
      </c>
      <c r="AC124" s="110">
        <f t="shared" si="24"/>
        <v>0</v>
      </c>
      <c r="AD124" s="110">
        <f t="shared" si="25"/>
        <v>0</v>
      </c>
      <c r="AE124" s="110">
        <f t="shared" si="26"/>
        <v>0</v>
      </c>
      <c r="AF124" s="110">
        <f t="shared" si="27"/>
        <v>0</v>
      </c>
      <c r="AG124" s="110">
        <f t="shared" si="28"/>
        <v>0</v>
      </c>
      <c r="AH124" s="110">
        <f t="shared" si="29"/>
        <v>0</v>
      </c>
      <c r="AI124" s="110">
        <f t="shared" si="30"/>
        <v>0</v>
      </c>
      <c r="AJ124" s="110">
        <f t="shared" si="31"/>
        <v>0</v>
      </c>
    </row>
    <row r="125" spans="1:36" s="85" customFormat="1" ht="52.5" hidden="1" customHeight="1" x14ac:dyDescent="0.25">
      <c r="A125" s="83">
        <v>107</v>
      </c>
      <c r="B125" s="83"/>
      <c r="C125" s="84"/>
      <c r="D125" s="93"/>
      <c r="E125" s="83"/>
      <c r="F125" s="83"/>
      <c r="G125" s="83"/>
      <c r="H125" s="83"/>
      <c r="I125" s="83"/>
      <c r="J125" s="83"/>
      <c r="K125" s="83"/>
      <c r="L125" s="83"/>
      <c r="M125" s="83"/>
      <c r="N125" s="83"/>
      <c r="O125" s="83"/>
      <c r="P125" s="83"/>
      <c r="Q125" s="83"/>
      <c r="R125" s="83"/>
      <c r="S125" s="83"/>
      <c r="T125" s="83"/>
      <c r="U125" s="83"/>
      <c r="V125" s="110">
        <f t="shared" si="17"/>
        <v>0</v>
      </c>
      <c r="W125" s="110">
        <f t="shared" si="18"/>
        <v>0</v>
      </c>
      <c r="X125" s="110">
        <f t="shared" si="19"/>
        <v>0</v>
      </c>
      <c r="Y125" s="110">
        <f t="shared" si="20"/>
        <v>0</v>
      </c>
      <c r="Z125" s="110">
        <f t="shared" si="21"/>
        <v>0</v>
      </c>
      <c r="AA125" s="110">
        <f t="shared" si="22"/>
        <v>0</v>
      </c>
      <c r="AB125" s="110">
        <f t="shared" si="23"/>
        <v>0</v>
      </c>
      <c r="AC125" s="110">
        <f t="shared" si="24"/>
        <v>0</v>
      </c>
      <c r="AD125" s="110">
        <f t="shared" si="25"/>
        <v>0</v>
      </c>
      <c r="AE125" s="110">
        <f t="shared" si="26"/>
        <v>0</v>
      </c>
      <c r="AF125" s="110">
        <f t="shared" si="27"/>
        <v>0</v>
      </c>
      <c r="AG125" s="110">
        <f t="shared" si="28"/>
        <v>0</v>
      </c>
      <c r="AH125" s="110">
        <f t="shared" si="29"/>
        <v>0</v>
      </c>
      <c r="AI125" s="110">
        <f t="shared" si="30"/>
        <v>0</v>
      </c>
      <c r="AJ125" s="110">
        <f t="shared" si="31"/>
        <v>0</v>
      </c>
    </row>
    <row r="126" spans="1:36" s="85" customFormat="1" ht="52.5" hidden="1" customHeight="1" x14ac:dyDescent="0.25">
      <c r="A126" s="83">
        <v>108</v>
      </c>
      <c r="B126" s="83"/>
      <c r="C126" s="84"/>
      <c r="D126" s="93"/>
      <c r="E126" s="83"/>
      <c r="F126" s="83"/>
      <c r="G126" s="83"/>
      <c r="H126" s="83"/>
      <c r="I126" s="83"/>
      <c r="J126" s="83"/>
      <c r="K126" s="83"/>
      <c r="L126" s="83"/>
      <c r="M126" s="83"/>
      <c r="N126" s="83"/>
      <c r="O126" s="83"/>
      <c r="P126" s="83"/>
      <c r="Q126" s="83"/>
      <c r="R126" s="83"/>
      <c r="S126" s="83"/>
      <c r="T126" s="83"/>
      <c r="U126" s="83"/>
      <c r="V126" s="110">
        <f t="shared" si="17"/>
        <v>0</v>
      </c>
      <c r="W126" s="110">
        <f t="shared" si="18"/>
        <v>0</v>
      </c>
      <c r="X126" s="110">
        <f t="shared" si="19"/>
        <v>0</v>
      </c>
      <c r="Y126" s="110">
        <f t="shared" si="20"/>
        <v>0</v>
      </c>
      <c r="Z126" s="110">
        <f t="shared" si="21"/>
        <v>0</v>
      </c>
      <c r="AA126" s="110">
        <f t="shared" si="22"/>
        <v>0</v>
      </c>
      <c r="AB126" s="110">
        <f t="shared" si="23"/>
        <v>0</v>
      </c>
      <c r="AC126" s="110">
        <f t="shared" si="24"/>
        <v>0</v>
      </c>
      <c r="AD126" s="110">
        <f t="shared" si="25"/>
        <v>0</v>
      </c>
      <c r="AE126" s="110">
        <f t="shared" si="26"/>
        <v>0</v>
      </c>
      <c r="AF126" s="110">
        <f t="shared" si="27"/>
        <v>0</v>
      </c>
      <c r="AG126" s="110">
        <f t="shared" si="28"/>
        <v>0</v>
      </c>
      <c r="AH126" s="110">
        <f t="shared" si="29"/>
        <v>0</v>
      </c>
      <c r="AI126" s="110">
        <f t="shared" si="30"/>
        <v>0</v>
      </c>
      <c r="AJ126" s="110">
        <f t="shared" si="31"/>
        <v>0</v>
      </c>
    </row>
    <row r="127" spans="1:36" s="85" customFormat="1" ht="52.5" hidden="1" customHeight="1" x14ac:dyDescent="0.25">
      <c r="A127" s="83">
        <v>109</v>
      </c>
      <c r="B127" s="83"/>
      <c r="C127" s="84"/>
      <c r="D127" s="93"/>
      <c r="E127" s="83"/>
      <c r="F127" s="83"/>
      <c r="G127" s="83"/>
      <c r="H127" s="83"/>
      <c r="I127" s="83"/>
      <c r="J127" s="83"/>
      <c r="K127" s="83"/>
      <c r="L127" s="83"/>
      <c r="M127" s="83"/>
      <c r="N127" s="83"/>
      <c r="O127" s="83"/>
      <c r="P127" s="83"/>
      <c r="Q127" s="83"/>
      <c r="R127" s="83"/>
      <c r="S127" s="83"/>
      <c r="T127" s="83"/>
      <c r="U127" s="83"/>
      <c r="V127" s="110">
        <f t="shared" si="17"/>
        <v>0</v>
      </c>
      <c r="W127" s="110">
        <f t="shared" si="18"/>
        <v>0</v>
      </c>
      <c r="X127" s="110">
        <f t="shared" si="19"/>
        <v>0</v>
      </c>
      <c r="Y127" s="110">
        <f t="shared" si="20"/>
        <v>0</v>
      </c>
      <c r="Z127" s="110">
        <f t="shared" si="21"/>
        <v>0</v>
      </c>
      <c r="AA127" s="110">
        <f t="shared" si="22"/>
        <v>0</v>
      </c>
      <c r="AB127" s="110">
        <f t="shared" si="23"/>
        <v>0</v>
      </c>
      <c r="AC127" s="110">
        <f t="shared" si="24"/>
        <v>0</v>
      </c>
      <c r="AD127" s="110">
        <f t="shared" si="25"/>
        <v>0</v>
      </c>
      <c r="AE127" s="110">
        <f t="shared" si="26"/>
        <v>0</v>
      </c>
      <c r="AF127" s="110">
        <f t="shared" si="27"/>
        <v>0</v>
      </c>
      <c r="AG127" s="110">
        <f t="shared" si="28"/>
        <v>0</v>
      </c>
      <c r="AH127" s="110">
        <f t="shared" si="29"/>
        <v>0</v>
      </c>
      <c r="AI127" s="110">
        <f t="shared" si="30"/>
        <v>0</v>
      </c>
      <c r="AJ127" s="110">
        <f t="shared" si="31"/>
        <v>0</v>
      </c>
    </row>
    <row r="128" spans="1:36" s="85" customFormat="1" ht="52.5" hidden="1" customHeight="1" x14ac:dyDescent="0.25">
      <c r="A128" s="83">
        <v>110</v>
      </c>
      <c r="B128" s="83"/>
      <c r="C128" s="84"/>
      <c r="D128" s="93"/>
      <c r="E128" s="83"/>
      <c r="F128" s="83"/>
      <c r="G128" s="83"/>
      <c r="H128" s="83"/>
      <c r="I128" s="83"/>
      <c r="J128" s="83"/>
      <c r="K128" s="83"/>
      <c r="L128" s="83"/>
      <c r="M128" s="83"/>
      <c r="N128" s="83"/>
      <c r="O128" s="83"/>
      <c r="P128" s="83"/>
      <c r="Q128" s="83"/>
      <c r="R128" s="83"/>
      <c r="S128" s="83"/>
      <c r="T128" s="83"/>
      <c r="U128" s="83"/>
      <c r="V128" s="110">
        <f t="shared" si="17"/>
        <v>0</v>
      </c>
      <c r="W128" s="110">
        <f t="shared" si="18"/>
        <v>0</v>
      </c>
      <c r="X128" s="110">
        <f t="shared" si="19"/>
        <v>0</v>
      </c>
      <c r="Y128" s="110">
        <f t="shared" si="20"/>
        <v>0</v>
      </c>
      <c r="Z128" s="110">
        <f t="shared" si="21"/>
        <v>0</v>
      </c>
      <c r="AA128" s="110">
        <f t="shared" si="22"/>
        <v>0</v>
      </c>
      <c r="AB128" s="110">
        <f t="shared" si="23"/>
        <v>0</v>
      </c>
      <c r="AC128" s="110">
        <f t="shared" si="24"/>
        <v>0</v>
      </c>
      <c r="AD128" s="110">
        <f t="shared" si="25"/>
        <v>0</v>
      </c>
      <c r="AE128" s="110">
        <f t="shared" si="26"/>
        <v>0</v>
      </c>
      <c r="AF128" s="110">
        <f t="shared" si="27"/>
        <v>0</v>
      </c>
      <c r="AG128" s="110">
        <f t="shared" si="28"/>
        <v>0</v>
      </c>
      <c r="AH128" s="110">
        <f t="shared" si="29"/>
        <v>0</v>
      </c>
      <c r="AI128" s="110">
        <f t="shared" si="30"/>
        <v>0</v>
      </c>
      <c r="AJ128" s="110">
        <f t="shared" si="31"/>
        <v>0</v>
      </c>
    </row>
    <row r="129" spans="1:36" s="85" customFormat="1" ht="52.5" hidden="1" customHeight="1" x14ac:dyDescent="0.25">
      <c r="A129" s="83">
        <v>111</v>
      </c>
      <c r="B129" s="83"/>
      <c r="C129" s="84"/>
      <c r="D129" s="93"/>
      <c r="E129" s="83"/>
      <c r="F129" s="83"/>
      <c r="G129" s="83"/>
      <c r="H129" s="83"/>
      <c r="I129" s="83"/>
      <c r="J129" s="83"/>
      <c r="K129" s="83"/>
      <c r="L129" s="83"/>
      <c r="M129" s="83"/>
      <c r="N129" s="83"/>
      <c r="O129" s="83"/>
      <c r="P129" s="83"/>
      <c r="Q129" s="83"/>
      <c r="R129" s="83"/>
      <c r="S129" s="83"/>
      <c r="T129" s="83"/>
      <c r="U129" s="83"/>
      <c r="V129" s="110">
        <f t="shared" si="17"/>
        <v>0</v>
      </c>
      <c r="W129" s="110">
        <f t="shared" si="18"/>
        <v>0</v>
      </c>
      <c r="X129" s="110">
        <f t="shared" si="19"/>
        <v>0</v>
      </c>
      <c r="Y129" s="110">
        <f t="shared" si="20"/>
        <v>0</v>
      </c>
      <c r="Z129" s="110">
        <f t="shared" si="21"/>
        <v>0</v>
      </c>
      <c r="AA129" s="110">
        <f t="shared" si="22"/>
        <v>0</v>
      </c>
      <c r="AB129" s="110">
        <f t="shared" si="23"/>
        <v>0</v>
      </c>
      <c r="AC129" s="110">
        <f t="shared" si="24"/>
        <v>0</v>
      </c>
      <c r="AD129" s="110">
        <f t="shared" si="25"/>
        <v>0</v>
      </c>
      <c r="AE129" s="110">
        <f t="shared" si="26"/>
        <v>0</v>
      </c>
      <c r="AF129" s="110">
        <f t="shared" si="27"/>
        <v>0</v>
      </c>
      <c r="AG129" s="110">
        <f t="shared" si="28"/>
        <v>0</v>
      </c>
      <c r="AH129" s="110">
        <f t="shared" si="29"/>
        <v>0</v>
      </c>
      <c r="AI129" s="110">
        <f t="shared" si="30"/>
        <v>0</v>
      </c>
      <c r="AJ129" s="110">
        <f t="shared" si="31"/>
        <v>0</v>
      </c>
    </row>
    <row r="130" spans="1:36" s="85" customFormat="1" ht="52.5" hidden="1" customHeight="1" x14ac:dyDescent="0.25">
      <c r="A130" s="83">
        <v>112</v>
      </c>
      <c r="B130" s="83"/>
      <c r="C130" s="84"/>
      <c r="D130" s="93"/>
      <c r="E130" s="83"/>
      <c r="F130" s="83"/>
      <c r="G130" s="83"/>
      <c r="H130" s="83"/>
      <c r="I130" s="83"/>
      <c r="J130" s="83"/>
      <c r="K130" s="83"/>
      <c r="L130" s="83"/>
      <c r="M130" s="83"/>
      <c r="N130" s="83"/>
      <c r="O130" s="83"/>
      <c r="P130" s="83"/>
      <c r="Q130" s="83"/>
      <c r="R130" s="83"/>
      <c r="S130" s="83"/>
      <c r="T130" s="83"/>
      <c r="U130" s="83"/>
      <c r="V130" s="110">
        <f t="shared" si="17"/>
        <v>0</v>
      </c>
      <c r="W130" s="110">
        <f t="shared" si="18"/>
        <v>0</v>
      </c>
      <c r="X130" s="110">
        <f t="shared" si="19"/>
        <v>0</v>
      </c>
      <c r="Y130" s="110">
        <f t="shared" si="20"/>
        <v>0</v>
      </c>
      <c r="Z130" s="110">
        <f t="shared" si="21"/>
        <v>0</v>
      </c>
      <c r="AA130" s="110">
        <f t="shared" si="22"/>
        <v>0</v>
      </c>
      <c r="AB130" s="110">
        <f t="shared" si="23"/>
        <v>0</v>
      </c>
      <c r="AC130" s="110">
        <f t="shared" si="24"/>
        <v>0</v>
      </c>
      <c r="AD130" s="110">
        <f t="shared" si="25"/>
        <v>0</v>
      </c>
      <c r="AE130" s="110">
        <f t="shared" si="26"/>
        <v>0</v>
      </c>
      <c r="AF130" s="110">
        <f t="shared" si="27"/>
        <v>0</v>
      </c>
      <c r="AG130" s="110">
        <f t="shared" si="28"/>
        <v>0</v>
      </c>
      <c r="AH130" s="110">
        <f t="shared" si="29"/>
        <v>0</v>
      </c>
      <c r="AI130" s="110">
        <f t="shared" si="30"/>
        <v>0</v>
      </c>
      <c r="AJ130" s="110">
        <f t="shared" si="31"/>
        <v>0</v>
      </c>
    </row>
    <row r="131" spans="1:36" s="85" customFormat="1" ht="52.5" hidden="1" customHeight="1" x14ac:dyDescent="0.25">
      <c r="A131" s="83">
        <v>113</v>
      </c>
      <c r="B131" s="83"/>
      <c r="C131" s="84"/>
      <c r="D131" s="93"/>
      <c r="E131" s="83"/>
      <c r="F131" s="83"/>
      <c r="G131" s="83"/>
      <c r="H131" s="83"/>
      <c r="I131" s="83"/>
      <c r="J131" s="83"/>
      <c r="K131" s="83"/>
      <c r="L131" s="83"/>
      <c r="M131" s="83"/>
      <c r="N131" s="83"/>
      <c r="O131" s="83"/>
      <c r="P131" s="83"/>
      <c r="Q131" s="83"/>
      <c r="R131" s="83"/>
      <c r="S131" s="83"/>
      <c r="T131" s="83"/>
      <c r="U131" s="83"/>
      <c r="V131" s="110">
        <f t="shared" si="17"/>
        <v>0</v>
      </c>
      <c r="W131" s="110">
        <f t="shared" si="18"/>
        <v>0</v>
      </c>
      <c r="X131" s="110">
        <f t="shared" si="19"/>
        <v>0</v>
      </c>
      <c r="Y131" s="110">
        <f t="shared" si="20"/>
        <v>0</v>
      </c>
      <c r="Z131" s="110">
        <f t="shared" si="21"/>
        <v>0</v>
      </c>
      <c r="AA131" s="110">
        <f t="shared" si="22"/>
        <v>0</v>
      </c>
      <c r="AB131" s="110">
        <f t="shared" si="23"/>
        <v>0</v>
      </c>
      <c r="AC131" s="110">
        <f t="shared" si="24"/>
        <v>0</v>
      </c>
      <c r="AD131" s="110">
        <f t="shared" si="25"/>
        <v>0</v>
      </c>
      <c r="AE131" s="110">
        <f t="shared" si="26"/>
        <v>0</v>
      </c>
      <c r="AF131" s="110">
        <f t="shared" si="27"/>
        <v>0</v>
      </c>
      <c r="AG131" s="110">
        <f t="shared" si="28"/>
        <v>0</v>
      </c>
      <c r="AH131" s="110">
        <f t="shared" si="29"/>
        <v>0</v>
      </c>
      <c r="AI131" s="110">
        <f t="shared" si="30"/>
        <v>0</v>
      </c>
      <c r="AJ131" s="110">
        <f t="shared" si="31"/>
        <v>0</v>
      </c>
    </row>
    <row r="132" spans="1:36" s="85" customFormat="1" ht="52.5" hidden="1" customHeight="1" x14ac:dyDescent="0.25">
      <c r="A132" s="83">
        <v>114</v>
      </c>
      <c r="B132" s="83"/>
      <c r="C132" s="84"/>
      <c r="D132" s="93"/>
      <c r="E132" s="83"/>
      <c r="F132" s="83"/>
      <c r="G132" s="83"/>
      <c r="H132" s="83"/>
      <c r="I132" s="83"/>
      <c r="J132" s="83"/>
      <c r="K132" s="83"/>
      <c r="L132" s="83"/>
      <c r="M132" s="83"/>
      <c r="N132" s="83"/>
      <c r="O132" s="83"/>
      <c r="P132" s="83"/>
      <c r="Q132" s="83"/>
      <c r="R132" s="83"/>
      <c r="S132" s="83"/>
      <c r="T132" s="83"/>
      <c r="U132" s="83"/>
      <c r="V132" s="110">
        <f t="shared" si="17"/>
        <v>0</v>
      </c>
      <c r="W132" s="110">
        <f t="shared" si="18"/>
        <v>0</v>
      </c>
      <c r="X132" s="110">
        <f t="shared" si="19"/>
        <v>0</v>
      </c>
      <c r="Y132" s="110">
        <f t="shared" si="20"/>
        <v>0</v>
      </c>
      <c r="Z132" s="110">
        <f t="shared" si="21"/>
        <v>0</v>
      </c>
      <c r="AA132" s="110">
        <f t="shared" si="22"/>
        <v>0</v>
      </c>
      <c r="AB132" s="110">
        <f t="shared" si="23"/>
        <v>0</v>
      </c>
      <c r="AC132" s="110">
        <f t="shared" si="24"/>
        <v>0</v>
      </c>
      <c r="AD132" s="110">
        <f t="shared" si="25"/>
        <v>0</v>
      </c>
      <c r="AE132" s="110">
        <f t="shared" si="26"/>
        <v>0</v>
      </c>
      <c r="AF132" s="110">
        <f t="shared" si="27"/>
        <v>0</v>
      </c>
      <c r="AG132" s="110">
        <f t="shared" si="28"/>
        <v>0</v>
      </c>
      <c r="AH132" s="110">
        <f t="shared" si="29"/>
        <v>0</v>
      </c>
      <c r="AI132" s="110">
        <f t="shared" si="30"/>
        <v>0</v>
      </c>
      <c r="AJ132" s="110">
        <f t="shared" si="31"/>
        <v>0</v>
      </c>
    </row>
    <row r="133" spans="1:36" s="85" customFormat="1" ht="52.5" hidden="1" customHeight="1" x14ac:dyDescent="0.25">
      <c r="A133" s="83">
        <v>115</v>
      </c>
      <c r="B133" s="83"/>
      <c r="C133" s="84"/>
      <c r="D133" s="93"/>
      <c r="E133" s="83"/>
      <c r="F133" s="83"/>
      <c r="G133" s="83"/>
      <c r="H133" s="83"/>
      <c r="I133" s="83"/>
      <c r="J133" s="83"/>
      <c r="K133" s="83"/>
      <c r="L133" s="83"/>
      <c r="M133" s="83"/>
      <c r="N133" s="83"/>
      <c r="O133" s="83"/>
      <c r="P133" s="83"/>
      <c r="Q133" s="83"/>
      <c r="R133" s="83"/>
      <c r="S133" s="83"/>
      <c r="T133" s="83"/>
      <c r="U133" s="83"/>
      <c r="V133" s="110">
        <f t="shared" si="17"/>
        <v>0</v>
      </c>
      <c r="W133" s="110">
        <f t="shared" si="18"/>
        <v>0</v>
      </c>
      <c r="X133" s="110">
        <f t="shared" si="19"/>
        <v>0</v>
      </c>
      <c r="Y133" s="110">
        <f t="shared" si="20"/>
        <v>0</v>
      </c>
      <c r="Z133" s="110">
        <f t="shared" si="21"/>
        <v>0</v>
      </c>
      <c r="AA133" s="110">
        <f t="shared" si="22"/>
        <v>0</v>
      </c>
      <c r="AB133" s="110">
        <f t="shared" si="23"/>
        <v>0</v>
      </c>
      <c r="AC133" s="110">
        <f t="shared" si="24"/>
        <v>0</v>
      </c>
      <c r="AD133" s="110">
        <f t="shared" si="25"/>
        <v>0</v>
      </c>
      <c r="AE133" s="110">
        <f t="shared" si="26"/>
        <v>0</v>
      </c>
      <c r="AF133" s="110">
        <f t="shared" si="27"/>
        <v>0</v>
      </c>
      <c r="AG133" s="110">
        <f t="shared" si="28"/>
        <v>0</v>
      </c>
      <c r="AH133" s="110">
        <f t="shared" si="29"/>
        <v>0</v>
      </c>
      <c r="AI133" s="110">
        <f t="shared" si="30"/>
        <v>0</v>
      </c>
      <c r="AJ133" s="110">
        <f t="shared" si="31"/>
        <v>0</v>
      </c>
    </row>
    <row r="134" spans="1:36" s="85" customFormat="1" ht="52.5" hidden="1" customHeight="1" x14ac:dyDescent="0.25">
      <c r="A134" s="83">
        <v>116</v>
      </c>
      <c r="B134" s="83"/>
      <c r="C134" s="84"/>
      <c r="D134" s="93"/>
      <c r="E134" s="83"/>
      <c r="F134" s="83"/>
      <c r="G134" s="83"/>
      <c r="H134" s="83"/>
      <c r="I134" s="83"/>
      <c r="J134" s="83"/>
      <c r="K134" s="83"/>
      <c r="L134" s="83"/>
      <c r="M134" s="83"/>
      <c r="N134" s="83"/>
      <c r="O134" s="83"/>
      <c r="P134" s="83"/>
      <c r="Q134" s="83"/>
      <c r="R134" s="83"/>
      <c r="S134" s="83"/>
      <c r="T134" s="83"/>
      <c r="U134" s="83"/>
      <c r="V134" s="110">
        <f t="shared" si="17"/>
        <v>0</v>
      </c>
      <c r="W134" s="110">
        <f t="shared" si="18"/>
        <v>0</v>
      </c>
      <c r="X134" s="110">
        <f t="shared" si="19"/>
        <v>0</v>
      </c>
      <c r="Y134" s="110">
        <f t="shared" si="20"/>
        <v>0</v>
      </c>
      <c r="Z134" s="110">
        <f t="shared" si="21"/>
        <v>0</v>
      </c>
      <c r="AA134" s="110">
        <f t="shared" si="22"/>
        <v>0</v>
      </c>
      <c r="AB134" s="110">
        <f t="shared" si="23"/>
        <v>0</v>
      </c>
      <c r="AC134" s="110">
        <f t="shared" si="24"/>
        <v>0</v>
      </c>
      <c r="AD134" s="110">
        <f t="shared" si="25"/>
        <v>0</v>
      </c>
      <c r="AE134" s="110">
        <f t="shared" si="26"/>
        <v>0</v>
      </c>
      <c r="AF134" s="110">
        <f t="shared" si="27"/>
        <v>0</v>
      </c>
      <c r="AG134" s="110">
        <f t="shared" si="28"/>
        <v>0</v>
      </c>
      <c r="AH134" s="110">
        <f t="shared" si="29"/>
        <v>0</v>
      </c>
      <c r="AI134" s="110">
        <f t="shared" si="30"/>
        <v>0</v>
      </c>
      <c r="AJ134" s="110">
        <f t="shared" si="31"/>
        <v>0</v>
      </c>
    </row>
    <row r="135" spans="1:36" s="85" customFormat="1" ht="52.5" hidden="1" customHeight="1" x14ac:dyDescent="0.25">
      <c r="A135" s="83">
        <v>117</v>
      </c>
      <c r="B135" s="83"/>
      <c r="C135" s="84"/>
      <c r="D135" s="93"/>
      <c r="E135" s="83"/>
      <c r="F135" s="83"/>
      <c r="G135" s="83"/>
      <c r="H135" s="83"/>
      <c r="I135" s="83"/>
      <c r="J135" s="83"/>
      <c r="K135" s="83"/>
      <c r="L135" s="83"/>
      <c r="M135" s="83"/>
      <c r="N135" s="83"/>
      <c r="O135" s="83"/>
      <c r="P135" s="83"/>
      <c r="Q135" s="83"/>
      <c r="R135" s="83"/>
      <c r="S135" s="83"/>
      <c r="T135" s="83"/>
      <c r="U135" s="83"/>
      <c r="V135" s="110">
        <f t="shared" si="17"/>
        <v>0</v>
      </c>
      <c r="W135" s="110">
        <f t="shared" si="18"/>
        <v>0</v>
      </c>
      <c r="X135" s="110">
        <f t="shared" si="19"/>
        <v>0</v>
      </c>
      <c r="Y135" s="110">
        <f t="shared" si="20"/>
        <v>0</v>
      </c>
      <c r="Z135" s="110">
        <f t="shared" si="21"/>
        <v>0</v>
      </c>
      <c r="AA135" s="110">
        <f t="shared" si="22"/>
        <v>0</v>
      </c>
      <c r="AB135" s="110">
        <f t="shared" si="23"/>
        <v>0</v>
      </c>
      <c r="AC135" s="110">
        <f t="shared" si="24"/>
        <v>0</v>
      </c>
      <c r="AD135" s="110">
        <f t="shared" si="25"/>
        <v>0</v>
      </c>
      <c r="AE135" s="110">
        <f t="shared" si="26"/>
        <v>0</v>
      </c>
      <c r="AF135" s="110">
        <f t="shared" si="27"/>
        <v>0</v>
      </c>
      <c r="AG135" s="110">
        <f t="shared" si="28"/>
        <v>0</v>
      </c>
      <c r="AH135" s="110">
        <f t="shared" si="29"/>
        <v>0</v>
      </c>
      <c r="AI135" s="110">
        <f t="shared" si="30"/>
        <v>0</v>
      </c>
      <c r="AJ135" s="110">
        <f t="shared" si="31"/>
        <v>0</v>
      </c>
    </row>
    <row r="136" spans="1:36" s="85" customFormat="1" ht="52.5" hidden="1" customHeight="1" x14ac:dyDescent="0.25">
      <c r="A136" s="83">
        <v>118</v>
      </c>
      <c r="B136" s="83"/>
      <c r="C136" s="84"/>
      <c r="D136" s="93"/>
      <c r="E136" s="83"/>
      <c r="F136" s="83"/>
      <c r="G136" s="83"/>
      <c r="H136" s="83"/>
      <c r="I136" s="83"/>
      <c r="J136" s="83"/>
      <c r="K136" s="83"/>
      <c r="L136" s="83"/>
      <c r="M136" s="83"/>
      <c r="N136" s="83"/>
      <c r="O136" s="83"/>
      <c r="P136" s="83"/>
      <c r="Q136" s="83"/>
      <c r="R136" s="83"/>
      <c r="S136" s="83"/>
      <c r="T136" s="83"/>
      <c r="U136" s="83"/>
      <c r="V136" s="110">
        <f t="shared" si="17"/>
        <v>0</v>
      </c>
      <c r="W136" s="110">
        <f t="shared" si="18"/>
        <v>0</v>
      </c>
      <c r="X136" s="110">
        <f t="shared" si="19"/>
        <v>0</v>
      </c>
      <c r="Y136" s="110">
        <f t="shared" si="20"/>
        <v>0</v>
      </c>
      <c r="Z136" s="110">
        <f t="shared" si="21"/>
        <v>0</v>
      </c>
      <c r="AA136" s="110">
        <f t="shared" si="22"/>
        <v>0</v>
      </c>
      <c r="AB136" s="110">
        <f t="shared" si="23"/>
        <v>0</v>
      </c>
      <c r="AC136" s="110">
        <f t="shared" si="24"/>
        <v>0</v>
      </c>
      <c r="AD136" s="110">
        <f t="shared" si="25"/>
        <v>0</v>
      </c>
      <c r="AE136" s="110">
        <f t="shared" si="26"/>
        <v>0</v>
      </c>
      <c r="AF136" s="110">
        <f t="shared" si="27"/>
        <v>0</v>
      </c>
      <c r="AG136" s="110">
        <f t="shared" si="28"/>
        <v>0</v>
      </c>
      <c r="AH136" s="110">
        <f t="shared" si="29"/>
        <v>0</v>
      </c>
      <c r="AI136" s="110">
        <f t="shared" si="30"/>
        <v>0</v>
      </c>
      <c r="AJ136" s="110">
        <f t="shared" si="31"/>
        <v>0</v>
      </c>
    </row>
    <row r="137" spans="1:36" s="85" customFormat="1" ht="52.5" hidden="1" customHeight="1" x14ac:dyDescent="0.25">
      <c r="A137" s="83">
        <v>119</v>
      </c>
      <c r="B137" s="83"/>
      <c r="C137" s="84"/>
      <c r="D137" s="93"/>
      <c r="E137" s="83"/>
      <c r="F137" s="83"/>
      <c r="G137" s="83"/>
      <c r="H137" s="83"/>
      <c r="I137" s="83"/>
      <c r="J137" s="83"/>
      <c r="K137" s="83"/>
      <c r="L137" s="83"/>
      <c r="M137" s="83"/>
      <c r="N137" s="83"/>
      <c r="O137" s="83"/>
      <c r="P137" s="83"/>
      <c r="Q137" s="83"/>
      <c r="R137" s="83"/>
      <c r="S137" s="83"/>
      <c r="T137" s="83"/>
      <c r="U137" s="83"/>
      <c r="V137" s="110">
        <f t="shared" si="17"/>
        <v>0</v>
      </c>
      <c r="W137" s="110">
        <f t="shared" si="18"/>
        <v>0</v>
      </c>
      <c r="X137" s="110">
        <f t="shared" si="19"/>
        <v>0</v>
      </c>
      <c r="Y137" s="110">
        <f t="shared" si="20"/>
        <v>0</v>
      </c>
      <c r="Z137" s="110">
        <f t="shared" si="21"/>
        <v>0</v>
      </c>
      <c r="AA137" s="110">
        <f t="shared" si="22"/>
        <v>0</v>
      </c>
      <c r="AB137" s="110">
        <f t="shared" si="23"/>
        <v>0</v>
      </c>
      <c r="AC137" s="110">
        <f t="shared" si="24"/>
        <v>0</v>
      </c>
      <c r="AD137" s="110">
        <f t="shared" si="25"/>
        <v>0</v>
      </c>
      <c r="AE137" s="110">
        <f t="shared" si="26"/>
        <v>0</v>
      </c>
      <c r="AF137" s="110">
        <f t="shared" si="27"/>
        <v>0</v>
      </c>
      <c r="AG137" s="110">
        <f t="shared" si="28"/>
        <v>0</v>
      </c>
      <c r="AH137" s="110">
        <f t="shared" si="29"/>
        <v>0</v>
      </c>
      <c r="AI137" s="110">
        <f t="shared" si="30"/>
        <v>0</v>
      </c>
      <c r="AJ137" s="110">
        <f t="shared" si="31"/>
        <v>0</v>
      </c>
    </row>
    <row r="138" spans="1:36" s="85" customFormat="1" ht="52.5" hidden="1" customHeight="1" x14ac:dyDescent="0.25">
      <c r="A138" s="83">
        <v>120</v>
      </c>
      <c r="B138" s="83"/>
      <c r="C138" s="84"/>
      <c r="D138" s="93"/>
      <c r="E138" s="83"/>
      <c r="F138" s="83"/>
      <c r="G138" s="83"/>
      <c r="H138" s="83"/>
      <c r="I138" s="83"/>
      <c r="J138" s="83"/>
      <c r="K138" s="83"/>
      <c r="L138" s="83"/>
      <c r="M138" s="83"/>
      <c r="N138" s="83"/>
      <c r="O138" s="83"/>
      <c r="P138" s="83"/>
      <c r="Q138" s="83"/>
      <c r="R138" s="83"/>
      <c r="S138" s="83"/>
      <c r="T138" s="83"/>
      <c r="U138" s="83"/>
      <c r="V138" s="110">
        <f t="shared" si="17"/>
        <v>0</v>
      </c>
      <c r="W138" s="110">
        <f t="shared" si="18"/>
        <v>0</v>
      </c>
      <c r="X138" s="110">
        <f t="shared" si="19"/>
        <v>0</v>
      </c>
      <c r="Y138" s="110">
        <f t="shared" si="20"/>
        <v>0</v>
      </c>
      <c r="Z138" s="110">
        <f t="shared" si="21"/>
        <v>0</v>
      </c>
      <c r="AA138" s="110">
        <f t="shared" si="22"/>
        <v>0</v>
      </c>
      <c r="AB138" s="110">
        <f t="shared" si="23"/>
        <v>0</v>
      </c>
      <c r="AC138" s="110">
        <f t="shared" si="24"/>
        <v>0</v>
      </c>
      <c r="AD138" s="110">
        <f t="shared" si="25"/>
        <v>0</v>
      </c>
      <c r="AE138" s="110">
        <f t="shared" si="26"/>
        <v>0</v>
      </c>
      <c r="AF138" s="110">
        <f t="shared" si="27"/>
        <v>0</v>
      </c>
      <c r="AG138" s="110">
        <f t="shared" si="28"/>
        <v>0</v>
      </c>
      <c r="AH138" s="110">
        <f t="shared" si="29"/>
        <v>0</v>
      </c>
      <c r="AI138" s="110">
        <f t="shared" si="30"/>
        <v>0</v>
      </c>
      <c r="AJ138" s="110">
        <f t="shared" si="31"/>
        <v>0</v>
      </c>
    </row>
    <row r="139" spans="1:36" s="85" customFormat="1" ht="52.5" hidden="1" customHeight="1" x14ac:dyDescent="0.25">
      <c r="A139" s="83">
        <v>121</v>
      </c>
      <c r="B139" s="83"/>
      <c r="C139" s="84"/>
      <c r="D139" s="93"/>
      <c r="E139" s="83"/>
      <c r="F139" s="83"/>
      <c r="G139" s="83"/>
      <c r="H139" s="83"/>
      <c r="I139" s="83"/>
      <c r="J139" s="83"/>
      <c r="K139" s="83"/>
      <c r="L139" s="83"/>
      <c r="M139" s="83"/>
      <c r="N139" s="83"/>
      <c r="O139" s="83"/>
      <c r="P139" s="83"/>
      <c r="Q139" s="83"/>
      <c r="R139" s="83"/>
      <c r="S139" s="83"/>
      <c r="T139" s="83"/>
      <c r="U139" s="83"/>
      <c r="V139" s="110">
        <f t="shared" si="17"/>
        <v>0</v>
      </c>
      <c r="W139" s="110">
        <f t="shared" si="18"/>
        <v>0</v>
      </c>
      <c r="X139" s="110">
        <f t="shared" si="19"/>
        <v>0</v>
      </c>
      <c r="Y139" s="110">
        <f t="shared" si="20"/>
        <v>0</v>
      </c>
      <c r="Z139" s="110">
        <f t="shared" si="21"/>
        <v>0</v>
      </c>
      <c r="AA139" s="110">
        <f t="shared" si="22"/>
        <v>0</v>
      </c>
      <c r="AB139" s="110">
        <f t="shared" si="23"/>
        <v>0</v>
      </c>
      <c r="AC139" s="110">
        <f t="shared" si="24"/>
        <v>0</v>
      </c>
      <c r="AD139" s="110">
        <f t="shared" si="25"/>
        <v>0</v>
      </c>
      <c r="AE139" s="110">
        <f t="shared" si="26"/>
        <v>0</v>
      </c>
      <c r="AF139" s="110">
        <f t="shared" si="27"/>
        <v>0</v>
      </c>
      <c r="AG139" s="110">
        <f t="shared" si="28"/>
        <v>0</v>
      </c>
      <c r="AH139" s="110">
        <f t="shared" si="29"/>
        <v>0</v>
      </c>
      <c r="AI139" s="110">
        <f t="shared" si="30"/>
        <v>0</v>
      </c>
      <c r="AJ139" s="110">
        <f t="shared" si="31"/>
        <v>0</v>
      </c>
    </row>
    <row r="140" spans="1:36" s="85" customFormat="1" ht="52.5" hidden="1" customHeight="1" x14ac:dyDescent="0.25">
      <c r="A140" s="83">
        <v>122</v>
      </c>
      <c r="B140" s="83"/>
      <c r="C140" s="84"/>
      <c r="D140" s="93"/>
      <c r="E140" s="83"/>
      <c r="F140" s="83"/>
      <c r="G140" s="83"/>
      <c r="H140" s="83"/>
      <c r="I140" s="83"/>
      <c r="J140" s="83"/>
      <c r="K140" s="83"/>
      <c r="L140" s="83"/>
      <c r="M140" s="83"/>
      <c r="N140" s="83"/>
      <c r="O140" s="83"/>
      <c r="P140" s="83"/>
      <c r="Q140" s="83"/>
      <c r="R140" s="83"/>
      <c r="S140" s="83"/>
      <c r="T140" s="83"/>
      <c r="U140" s="83"/>
      <c r="V140" s="110">
        <f t="shared" si="17"/>
        <v>0</v>
      </c>
      <c r="W140" s="110">
        <f t="shared" si="18"/>
        <v>0</v>
      </c>
      <c r="X140" s="110">
        <f t="shared" si="19"/>
        <v>0</v>
      </c>
      <c r="Y140" s="110">
        <f t="shared" si="20"/>
        <v>0</v>
      </c>
      <c r="Z140" s="110">
        <f t="shared" si="21"/>
        <v>0</v>
      </c>
      <c r="AA140" s="110">
        <f t="shared" si="22"/>
        <v>0</v>
      </c>
      <c r="AB140" s="110">
        <f t="shared" si="23"/>
        <v>0</v>
      </c>
      <c r="AC140" s="110">
        <f t="shared" si="24"/>
        <v>0</v>
      </c>
      <c r="AD140" s="110">
        <f t="shared" si="25"/>
        <v>0</v>
      </c>
      <c r="AE140" s="110">
        <f t="shared" si="26"/>
        <v>0</v>
      </c>
      <c r="AF140" s="110">
        <f t="shared" si="27"/>
        <v>0</v>
      </c>
      <c r="AG140" s="110">
        <f t="shared" si="28"/>
        <v>0</v>
      </c>
      <c r="AH140" s="110">
        <f t="shared" si="29"/>
        <v>0</v>
      </c>
      <c r="AI140" s="110">
        <f t="shared" si="30"/>
        <v>0</v>
      </c>
      <c r="AJ140" s="110">
        <f t="shared" si="31"/>
        <v>0</v>
      </c>
    </row>
    <row r="141" spans="1:36" s="85" customFormat="1" ht="52.5" hidden="1" customHeight="1" x14ac:dyDescent="0.25">
      <c r="A141" s="83">
        <v>123</v>
      </c>
      <c r="B141" s="83"/>
      <c r="C141" s="84"/>
      <c r="D141" s="93"/>
      <c r="E141" s="83"/>
      <c r="F141" s="83"/>
      <c r="G141" s="83"/>
      <c r="H141" s="83"/>
      <c r="I141" s="83"/>
      <c r="J141" s="83"/>
      <c r="K141" s="83"/>
      <c r="L141" s="83"/>
      <c r="M141" s="83"/>
      <c r="N141" s="83"/>
      <c r="O141" s="83"/>
      <c r="P141" s="83"/>
      <c r="Q141" s="83"/>
      <c r="R141" s="83"/>
      <c r="S141" s="83"/>
      <c r="T141" s="83"/>
      <c r="U141" s="83"/>
      <c r="V141" s="110">
        <f t="shared" si="17"/>
        <v>0</v>
      </c>
      <c r="W141" s="110">
        <f t="shared" si="18"/>
        <v>0</v>
      </c>
      <c r="X141" s="110">
        <f t="shared" si="19"/>
        <v>0</v>
      </c>
      <c r="Y141" s="110">
        <f t="shared" si="20"/>
        <v>0</v>
      </c>
      <c r="Z141" s="110">
        <f t="shared" si="21"/>
        <v>0</v>
      </c>
      <c r="AA141" s="110">
        <f t="shared" si="22"/>
        <v>0</v>
      </c>
      <c r="AB141" s="110">
        <f t="shared" si="23"/>
        <v>0</v>
      </c>
      <c r="AC141" s="110">
        <f t="shared" si="24"/>
        <v>0</v>
      </c>
      <c r="AD141" s="110">
        <f t="shared" si="25"/>
        <v>0</v>
      </c>
      <c r="AE141" s="110">
        <f t="shared" si="26"/>
        <v>0</v>
      </c>
      <c r="AF141" s="110">
        <f t="shared" si="27"/>
        <v>0</v>
      </c>
      <c r="AG141" s="110">
        <f t="shared" si="28"/>
        <v>0</v>
      </c>
      <c r="AH141" s="110">
        <f t="shared" si="29"/>
        <v>0</v>
      </c>
      <c r="AI141" s="110">
        <f t="shared" si="30"/>
        <v>0</v>
      </c>
      <c r="AJ141" s="110">
        <f t="shared" si="31"/>
        <v>0</v>
      </c>
    </row>
    <row r="142" spans="1:36" s="85" customFormat="1" ht="52.5" hidden="1" customHeight="1" x14ac:dyDescent="0.25">
      <c r="A142" s="83">
        <v>124</v>
      </c>
      <c r="B142" s="83"/>
      <c r="C142" s="84"/>
      <c r="D142" s="93"/>
      <c r="E142" s="83"/>
      <c r="F142" s="83"/>
      <c r="G142" s="83"/>
      <c r="H142" s="83"/>
      <c r="I142" s="83"/>
      <c r="J142" s="83"/>
      <c r="K142" s="83"/>
      <c r="L142" s="83"/>
      <c r="M142" s="83"/>
      <c r="N142" s="83"/>
      <c r="O142" s="83"/>
      <c r="P142" s="83"/>
      <c r="Q142" s="83"/>
      <c r="R142" s="83"/>
      <c r="S142" s="83"/>
      <c r="T142" s="83"/>
      <c r="U142" s="83"/>
      <c r="V142" s="110">
        <f t="shared" si="17"/>
        <v>0</v>
      </c>
      <c r="W142" s="110">
        <f t="shared" si="18"/>
        <v>0</v>
      </c>
      <c r="X142" s="110">
        <f t="shared" si="19"/>
        <v>0</v>
      </c>
      <c r="Y142" s="110">
        <f t="shared" si="20"/>
        <v>0</v>
      </c>
      <c r="Z142" s="110">
        <f t="shared" si="21"/>
        <v>0</v>
      </c>
      <c r="AA142" s="110">
        <f t="shared" si="22"/>
        <v>0</v>
      </c>
      <c r="AB142" s="110">
        <f t="shared" si="23"/>
        <v>0</v>
      </c>
      <c r="AC142" s="110">
        <f t="shared" si="24"/>
        <v>0</v>
      </c>
      <c r="AD142" s="110">
        <f t="shared" si="25"/>
        <v>0</v>
      </c>
      <c r="AE142" s="110">
        <f t="shared" si="26"/>
        <v>0</v>
      </c>
      <c r="AF142" s="110">
        <f t="shared" si="27"/>
        <v>0</v>
      </c>
      <c r="AG142" s="110">
        <f t="shared" si="28"/>
        <v>0</v>
      </c>
      <c r="AH142" s="110">
        <f t="shared" si="29"/>
        <v>0</v>
      </c>
      <c r="AI142" s="110">
        <f t="shared" si="30"/>
        <v>0</v>
      </c>
      <c r="AJ142" s="110">
        <f t="shared" si="31"/>
        <v>0</v>
      </c>
    </row>
    <row r="143" spans="1:36" s="85" customFormat="1" ht="52.5" hidden="1" customHeight="1" x14ac:dyDescent="0.25">
      <c r="A143" s="83">
        <v>125</v>
      </c>
      <c r="B143" s="83"/>
      <c r="C143" s="84"/>
      <c r="D143" s="93"/>
      <c r="E143" s="83"/>
      <c r="F143" s="83"/>
      <c r="G143" s="83"/>
      <c r="H143" s="83"/>
      <c r="I143" s="83"/>
      <c r="J143" s="83"/>
      <c r="K143" s="83"/>
      <c r="L143" s="83"/>
      <c r="M143" s="83"/>
      <c r="N143" s="83"/>
      <c r="O143" s="83"/>
      <c r="P143" s="83"/>
      <c r="Q143" s="83"/>
      <c r="R143" s="83"/>
      <c r="S143" s="83"/>
      <c r="T143" s="83"/>
      <c r="U143" s="83"/>
      <c r="V143" s="110">
        <f t="shared" si="17"/>
        <v>0</v>
      </c>
      <c r="W143" s="110">
        <f t="shared" si="18"/>
        <v>0</v>
      </c>
      <c r="X143" s="110">
        <f t="shared" si="19"/>
        <v>0</v>
      </c>
      <c r="Y143" s="110">
        <f t="shared" si="20"/>
        <v>0</v>
      </c>
      <c r="Z143" s="110">
        <f t="shared" si="21"/>
        <v>0</v>
      </c>
      <c r="AA143" s="110">
        <f t="shared" si="22"/>
        <v>0</v>
      </c>
      <c r="AB143" s="110">
        <f t="shared" si="23"/>
        <v>0</v>
      </c>
      <c r="AC143" s="110">
        <f t="shared" si="24"/>
        <v>0</v>
      </c>
      <c r="AD143" s="110">
        <f t="shared" si="25"/>
        <v>0</v>
      </c>
      <c r="AE143" s="110">
        <f t="shared" si="26"/>
        <v>0</v>
      </c>
      <c r="AF143" s="110">
        <f t="shared" si="27"/>
        <v>0</v>
      </c>
      <c r="AG143" s="110">
        <f t="shared" si="28"/>
        <v>0</v>
      </c>
      <c r="AH143" s="110">
        <f t="shared" si="29"/>
        <v>0</v>
      </c>
      <c r="AI143" s="110">
        <f t="shared" si="30"/>
        <v>0</v>
      </c>
      <c r="AJ143" s="110">
        <f t="shared" si="31"/>
        <v>0</v>
      </c>
    </row>
    <row r="144" spans="1:36" s="85" customFormat="1" ht="52.5" hidden="1" customHeight="1" x14ac:dyDescent="0.25">
      <c r="A144" s="83">
        <v>126</v>
      </c>
      <c r="B144" s="83"/>
      <c r="C144" s="84"/>
      <c r="D144" s="93"/>
      <c r="E144" s="83"/>
      <c r="F144" s="83"/>
      <c r="G144" s="83"/>
      <c r="H144" s="83"/>
      <c r="I144" s="83"/>
      <c r="J144" s="83"/>
      <c r="K144" s="83"/>
      <c r="L144" s="83"/>
      <c r="M144" s="83"/>
      <c r="N144" s="83"/>
      <c r="O144" s="83"/>
      <c r="P144" s="83"/>
      <c r="Q144" s="83"/>
      <c r="R144" s="83"/>
      <c r="S144" s="83"/>
      <c r="T144" s="83"/>
      <c r="U144" s="83"/>
      <c r="V144" s="110">
        <f t="shared" si="17"/>
        <v>0</v>
      </c>
      <c r="W144" s="110">
        <f t="shared" si="18"/>
        <v>0</v>
      </c>
      <c r="X144" s="110">
        <f t="shared" si="19"/>
        <v>0</v>
      </c>
      <c r="Y144" s="110">
        <f t="shared" si="20"/>
        <v>0</v>
      </c>
      <c r="Z144" s="110">
        <f t="shared" si="21"/>
        <v>0</v>
      </c>
      <c r="AA144" s="110">
        <f t="shared" si="22"/>
        <v>0</v>
      </c>
      <c r="AB144" s="110">
        <f t="shared" si="23"/>
        <v>0</v>
      </c>
      <c r="AC144" s="110">
        <f t="shared" si="24"/>
        <v>0</v>
      </c>
      <c r="AD144" s="110">
        <f t="shared" si="25"/>
        <v>0</v>
      </c>
      <c r="AE144" s="110">
        <f t="shared" si="26"/>
        <v>0</v>
      </c>
      <c r="AF144" s="110">
        <f t="shared" si="27"/>
        <v>0</v>
      </c>
      <c r="AG144" s="110">
        <f t="shared" si="28"/>
        <v>0</v>
      </c>
      <c r="AH144" s="110">
        <f t="shared" si="29"/>
        <v>0</v>
      </c>
      <c r="AI144" s="110">
        <f t="shared" si="30"/>
        <v>0</v>
      </c>
      <c r="AJ144" s="110">
        <f t="shared" si="31"/>
        <v>0</v>
      </c>
    </row>
    <row r="145" spans="1:36" s="85" customFormat="1" ht="52.5" hidden="1" customHeight="1" x14ac:dyDescent="0.25">
      <c r="A145" s="83">
        <v>127</v>
      </c>
      <c r="B145" s="83"/>
      <c r="C145" s="84"/>
      <c r="D145" s="93"/>
      <c r="E145" s="83"/>
      <c r="F145" s="83"/>
      <c r="G145" s="83"/>
      <c r="H145" s="83"/>
      <c r="I145" s="83"/>
      <c r="J145" s="83"/>
      <c r="K145" s="83"/>
      <c r="L145" s="83"/>
      <c r="M145" s="83"/>
      <c r="N145" s="83"/>
      <c r="O145" s="83"/>
      <c r="P145" s="83"/>
      <c r="Q145" s="83"/>
      <c r="R145" s="83"/>
      <c r="S145" s="83"/>
      <c r="T145" s="83"/>
      <c r="U145" s="83"/>
      <c r="V145" s="110">
        <f t="shared" si="17"/>
        <v>0</v>
      </c>
      <c r="W145" s="110">
        <f t="shared" si="18"/>
        <v>0</v>
      </c>
      <c r="X145" s="110">
        <f t="shared" si="19"/>
        <v>0</v>
      </c>
      <c r="Y145" s="110">
        <f t="shared" si="20"/>
        <v>0</v>
      </c>
      <c r="Z145" s="110">
        <f t="shared" si="21"/>
        <v>0</v>
      </c>
      <c r="AA145" s="110">
        <f t="shared" si="22"/>
        <v>0</v>
      </c>
      <c r="AB145" s="110">
        <f t="shared" si="23"/>
        <v>0</v>
      </c>
      <c r="AC145" s="110">
        <f t="shared" si="24"/>
        <v>0</v>
      </c>
      <c r="AD145" s="110">
        <f t="shared" si="25"/>
        <v>0</v>
      </c>
      <c r="AE145" s="110">
        <f t="shared" si="26"/>
        <v>0</v>
      </c>
      <c r="AF145" s="110">
        <f t="shared" si="27"/>
        <v>0</v>
      </c>
      <c r="AG145" s="110">
        <f t="shared" si="28"/>
        <v>0</v>
      </c>
      <c r="AH145" s="110">
        <f t="shared" si="29"/>
        <v>0</v>
      </c>
      <c r="AI145" s="110">
        <f t="shared" si="30"/>
        <v>0</v>
      </c>
      <c r="AJ145" s="110">
        <f t="shared" si="31"/>
        <v>0</v>
      </c>
    </row>
    <row r="146" spans="1:36" s="85" customFormat="1" ht="52.5" hidden="1" customHeight="1" x14ac:dyDescent="0.25">
      <c r="A146" s="83">
        <v>128</v>
      </c>
      <c r="B146" s="83"/>
      <c r="C146" s="84"/>
      <c r="D146" s="93"/>
      <c r="E146" s="83"/>
      <c r="F146" s="83"/>
      <c r="G146" s="83"/>
      <c r="H146" s="83"/>
      <c r="I146" s="83"/>
      <c r="J146" s="83"/>
      <c r="K146" s="83"/>
      <c r="L146" s="83"/>
      <c r="M146" s="83"/>
      <c r="N146" s="83"/>
      <c r="O146" s="83"/>
      <c r="P146" s="83"/>
      <c r="Q146" s="83"/>
      <c r="R146" s="83"/>
      <c r="S146" s="83"/>
      <c r="T146" s="83"/>
      <c r="U146" s="83"/>
      <c r="V146" s="110">
        <f t="shared" si="17"/>
        <v>0</v>
      </c>
      <c r="W146" s="110">
        <f t="shared" si="18"/>
        <v>0</v>
      </c>
      <c r="X146" s="110">
        <f t="shared" si="19"/>
        <v>0</v>
      </c>
      <c r="Y146" s="110">
        <f t="shared" si="20"/>
        <v>0</v>
      </c>
      <c r="Z146" s="110">
        <f t="shared" si="21"/>
        <v>0</v>
      </c>
      <c r="AA146" s="110">
        <f t="shared" si="22"/>
        <v>0</v>
      </c>
      <c r="AB146" s="110">
        <f t="shared" si="23"/>
        <v>0</v>
      </c>
      <c r="AC146" s="110">
        <f t="shared" si="24"/>
        <v>0</v>
      </c>
      <c r="AD146" s="110">
        <f t="shared" si="25"/>
        <v>0</v>
      </c>
      <c r="AE146" s="110">
        <f t="shared" si="26"/>
        <v>0</v>
      </c>
      <c r="AF146" s="110">
        <f t="shared" si="27"/>
        <v>0</v>
      </c>
      <c r="AG146" s="110">
        <f t="shared" si="28"/>
        <v>0</v>
      </c>
      <c r="AH146" s="110">
        <f t="shared" si="29"/>
        <v>0</v>
      </c>
      <c r="AI146" s="110">
        <f t="shared" si="30"/>
        <v>0</v>
      </c>
      <c r="AJ146" s="110">
        <f t="shared" si="31"/>
        <v>0</v>
      </c>
    </row>
    <row r="147" spans="1:36" s="85" customFormat="1" ht="52.5" hidden="1" customHeight="1" x14ac:dyDescent="0.25">
      <c r="A147" s="83">
        <v>129</v>
      </c>
      <c r="B147" s="83"/>
      <c r="C147" s="84"/>
      <c r="D147" s="93"/>
      <c r="E147" s="83"/>
      <c r="F147" s="83"/>
      <c r="G147" s="83"/>
      <c r="H147" s="83"/>
      <c r="I147" s="83"/>
      <c r="J147" s="83"/>
      <c r="K147" s="83"/>
      <c r="L147" s="83"/>
      <c r="M147" s="83"/>
      <c r="N147" s="83"/>
      <c r="O147" s="83"/>
      <c r="P147" s="83"/>
      <c r="Q147" s="83"/>
      <c r="R147" s="83"/>
      <c r="S147" s="83"/>
      <c r="T147" s="83"/>
      <c r="U147" s="83"/>
      <c r="V147" s="110">
        <f t="shared" ref="V147:V210" si="32">((((E147*2.5)+(J147*10)+O147+P147)/(400))*100)</f>
        <v>0</v>
      </c>
      <c r="W147" s="110">
        <f t="shared" ref="W147:W210" si="33">((((F147*2.5)+(K147*10)+O147+P147)/(400))*100)</f>
        <v>0</v>
      </c>
      <c r="X147" s="110">
        <f t="shared" ref="X147:X210" si="34">((((G147*2.5)+(L147*10)+O147+P147)/(400))*100)</f>
        <v>0</v>
      </c>
      <c r="Y147" s="110">
        <f t="shared" ref="Y147:Y210" si="35">((((H147*2.5)+(M147*10)+O147+P147)/(400))*100)</f>
        <v>0</v>
      </c>
      <c r="Z147" s="110">
        <f t="shared" ref="Z147:Z210" si="36">((((I147*2.5)+(N147*10)+O147+P147)/(400))*100)</f>
        <v>0</v>
      </c>
      <c r="AA147" s="110">
        <f t="shared" si="22"/>
        <v>0</v>
      </c>
      <c r="AB147" s="110">
        <f t="shared" si="23"/>
        <v>0</v>
      </c>
      <c r="AC147" s="110">
        <f t="shared" si="24"/>
        <v>0</v>
      </c>
      <c r="AD147" s="110">
        <f t="shared" si="25"/>
        <v>0</v>
      </c>
      <c r="AE147" s="110">
        <f t="shared" si="26"/>
        <v>0</v>
      </c>
      <c r="AF147" s="110">
        <f t="shared" si="27"/>
        <v>0</v>
      </c>
      <c r="AG147" s="110">
        <f t="shared" si="28"/>
        <v>0</v>
      </c>
      <c r="AH147" s="110">
        <f t="shared" si="29"/>
        <v>0</v>
      </c>
      <c r="AI147" s="110">
        <f t="shared" si="30"/>
        <v>0</v>
      </c>
      <c r="AJ147" s="110">
        <f t="shared" si="31"/>
        <v>0</v>
      </c>
    </row>
    <row r="148" spans="1:36" s="85" customFormat="1" ht="52.5" hidden="1" customHeight="1" x14ac:dyDescent="0.25">
      <c r="A148" s="83">
        <v>130</v>
      </c>
      <c r="B148" s="83"/>
      <c r="C148" s="84"/>
      <c r="D148" s="93"/>
      <c r="E148" s="83"/>
      <c r="F148" s="83"/>
      <c r="G148" s="83"/>
      <c r="H148" s="83"/>
      <c r="I148" s="83"/>
      <c r="J148" s="83"/>
      <c r="K148" s="83"/>
      <c r="L148" s="83"/>
      <c r="M148" s="83"/>
      <c r="N148" s="83"/>
      <c r="O148" s="83"/>
      <c r="P148" s="83"/>
      <c r="Q148" s="83"/>
      <c r="R148" s="83"/>
      <c r="S148" s="83"/>
      <c r="T148" s="83"/>
      <c r="U148" s="83"/>
      <c r="V148" s="110">
        <f t="shared" si="32"/>
        <v>0</v>
      </c>
      <c r="W148" s="110">
        <f t="shared" si="33"/>
        <v>0</v>
      </c>
      <c r="X148" s="110">
        <f t="shared" si="34"/>
        <v>0</v>
      </c>
      <c r="Y148" s="110">
        <f t="shared" si="35"/>
        <v>0</v>
      </c>
      <c r="Z148" s="110">
        <f t="shared" si="36"/>
        <v>0</v>
      </c>
      <c r="AA148" s="110">
        <f t="shared" ref="AA148:AA211" si="37">(Q148/20)*100</f>
        <v>0</v>
      </c>
      <c r="AB148" s="110">
        <f t="shared" ref="AB148:AB211" si="38">(R148/20)*100</f>
        <v>0</v>
      </c>
      <c r="AC148" s="110">
        <f t="shared" ref="AC148:AC211" si="39">(S148/20)*100</f>
        <v>0</v>
      </c>
      <c r="AD148" s="110">
        <f t="shared" ref="AD148:AD211" si="40">(T148/20)*100</f>
        <v>0</v>
      </c>
      <c r="AE148" s="110">
        <f t="shared" ref="AE148:AE211" si="41">(U148/20)*100</f>
        <v>0</v>
      </c>
      <c r="AF148" s="110">
        <f t="shared" ref="AF148:AF211" si="42">(V148*0.4+AA148*0.6)</f>
        <v>0</v>
      </c>
      <c r="AG148" s="110">
        <f t="shared" ref="AG148:AG211" si="43">(W148*0.4+AB148*0.6)</f>
        <v>0</v>
      </c>
      <c r="AH148" s="110">
        <f t="shared" ref="AH148:AH211" si="44">(X148*0.4+AC148*0.6)</f>
        <v>0</v>
      </c>
      <c r="AI148" s="110">
        <f t="shared" ref="AI148:AI211" si="45">(Y148*0.4+AD148*0.6)</f>
        <v>0</v>
      </c>
      <c r="AJ148" s="110">
        <f t="shared" ref="AJ148:AJ211" si="46">(Z148*0.4+AE148*0.6)</f>
        <v>0</v>
      </c>
    </row>
    <row r="149" spans="1:36" s="85" customFormat="1" ht="52.5" hidden="1" customHeight="1" x14ac:dyDescent="0.25">
      <c r="A149" s="83">
        <v>131</v>
      </c>
      <c r="B149" s="83"/>
      <c r="C149" s="84"/>
      <c r="D149" s="93"/>
      <c r="E149" s="83"/>
      <c r="F149" s="83"/>
      <c r="G149" s="83"/>
      <c r="H149" s="83"/>
      <c r="I149" s="83"/>
      <c r="J149" s="83"/>
      <c r="K149" s="83"/>
      <c r="L149" s="83"/>
      <c r="M149" s="83"/>
      <c r="N149" s="83"/>
      <c r="O149" s="83"/>
      <c r="P149" s="83"/>
      <c r="Q149" s="83"/>
      <c r="R149" s="83"/>
      <c r="S149" s="83"/>
      <c r="T149" s="83"/>
      <c r="U149" s="83"/>
      <c r="V149" s="110">
        <f t="shared" si="32"/>
        <v>0</v>
      </c>
      <c r="W149" s="110">
        <f t="shared" si="33"/>
        <v>0</v>
      </c>
      <c r="X149" s="110">
        <f t="shared" si="34"/>
        <v>0</v>
      </c>
      <c r="Y149" s="110">
        <f t="shared" si="35"/>
        <v>0</v>
      </c>
      <c r="Z149" s="110">
        <f t="shared" si="36"/>
        <v>0</v>
      </c>
      <c r="AA149" s="110">
        <f t="shared" si="37"/>
        <v>0</v>
      </c>
      <c r="AB149" s="110">
        <f t="shared" si="38"/>
        <v>0</v>
      </c>
      <c r="AC149" s="110">
        <f t="shared" si="39"/>
        <v>0</v>
      </c>
      <c r="AD149" s="110">
        <f t="shared" si="40"/>
        <v>0</v>
      </c>
      <c r="AE149" s="110">
        <f t="shared" si="41"/>
        <v>0</v>
      </c>
      <c r="AF149" s="110">
        <f t="shared" si="42"/>
        <v>0</v>
      </c>
      <c r="AG149" s="110">
        <f t="shared" si="43"/>
        <v>0</v>
      </c>
      <c r="AH149" s="110">
        <f t="shared" si="44"/>
        <v>0</v>
      </c>
      <c r="AI149" s="110">
        <f t="shared" si="45"/>
        <v>0</v>
      </c>
      <c r="AJ149" s="110">
        <f t="shared" si="46"/>
        <v>0</v>
      </c>
    </row>
    <row r="150" spans="1:36" s="85" customFormat="1" ht="52.5" hidden="1" customHeight="1" x14ac:dyDescent="0.25">
      <c r="A150" s="83">
        <v>132</v>
      </c>
      <c r="B150" s="83"/>
      <c r="C150" s="84"/>
      <c r="D150" s="93"/>
      <c r="E150" s="83"/>
      <c r="F150" s="83"/>
      <c r="G150" s="83"/>
      <c r="H150" s="83"/>
      <c r="I150" s="83"/>
      <c r="J150" s="83"/>
      <c r="K150" s="83"/>
      <c r="L150" s="83"/>
      <c r="M150" s="83"/>
      <c r="N150" s="83"/>
      <c r="O150" s="83"/>
      <c r="P150" s="83"/>
      <c r="Q150" s="83"/>
      <c r="R150" s="83"/>
      <c r="S150" s="83"/>
      <c r="T150" s="83"/>
      <c r="U150" s="83"/>
      <c r="V150" s="110">
        <f t="shared" si="32"/>
        <v>0</v>
      </c>
      <c r="W150" s="110">
        <f t="shared" si="33"/>
        <v>0</v>
      </c>
      <c r="X150" s="110">
        <f t="shared" si="34"/>
        <v>0</v>
      </c>
      <c r="Y150" s="110">
        <f t="shared" si="35"/>
        <v>0</v>
      </c>
      <c r="Z150" s="110">
        <f t="shared" si="36"/>
        <v>0</v>
      </c>
      <c r="AA150" s="110">
        <f t="shared" si="37"/>
        <v>0</v>
      </c>
      <c r="AB150" s="110">
        <f t="shared" si="38"/>
        <v>0</v>
      </c>
      <c r="AC150" s="110">
        <f t="shared" si="39"/>
        <v>0</v>
      </c>
      <c r="AD150" s="110">
        <f t="shared" si="40"/>
        <v>0</v>
      </c>
      <c r="AE150" s="110">
        <f t="shared" si="41"/>
        <v>0</v>
      </c>
      <c r="AF150" s="110">
        <f t="shared" si="42"/>
        <v>0</v>
      </c>
      <c r="AG150" s="110">
        <f t="shared" si="43"/>
        <v>0</v>
      </c>
      <c r="AH150" s="110">
        <f t="shared" si="44"/>
        <v>0</v>
      </c>
      <c r="AI150" s="110">
        <f t="shared" si="45"/>
        <v>0</v>
      </c>
      <c r="AJ150" s="110">
        <f t="shared" si="46"/>
        <v>0</v>
      </c>
    </row>
    <row r="151" spans="1:36" s="85" customFormat="1" ht="52.5" hidden="1" customHeight="1" x14ac:dyDescent="0.25">
      <c r="A151" s="83">
        <v>133</v>
      </c>
      <c r="B151" s="83"/>
      <c r="C151" s="84"/>
      <c r="D151" s="93"/>
      <c r="E151" s="83"/>
      <c r="F151" s="83"/>
      <c r="G151" s="83"/>
      <c r="H151" s="83"/>
      <c r="I151" s="83"/>
      <c r="J151" s="83"/>
      <c r="K151" s="83"/>
      <c r="L151" s="83"/>
      <c r="M151" s="83"/>
      <c r="N151" s="83"/>
      <c r="O151" s="83"/>
      <c r="P151" s="83"/>
      <c r="Q151" s="83"/>
      <c r="R151" s="83"/>
      <c r="S151" s="83"/>
      <c r="T151" s="83"/>
      <c r="U151" s="83"/>
      <c r="V151" s="110">
        <f t="shared" si="32"/>
        <v>0</v>
      </c>
      <c r="W151" s="110">
        <f t="shared" si="33"/>
        <v>0</v>
      </c>
      <c r="X151" s="110">
        <f t="shared" si="34"/>
        <v>0</v>
      </c>
      <c r="Y151" s="110">
        <f t="shared" si="35"/>
        <v>0</v>
      </c>
      <c r="Z151" s="110">
        <f t="shared" si="36"/>
        <v>0</v>
      </c>
      <c r="AA151" s="110">
        <f t="shared" si="37"/>
        <v>0</v>
      </c>
      <c r="AB151" s="110">
        <f t="shared" si="38"/>
        <v>0</v>
      </c>
      <c r="AC151" s="110">
        <f t="shared" si="39"/>
        <v>0</v>
      </c>
      <c r="AD151" s="110">
        <f t="shared" si="40"/>
        <v>0</v>
      </c>
      <c r="AE151" s="110">
        <f t="shared" si="41"/>
        <v>0</v>
      </c>
      <c r="AF151" s="110">
        <f t="shared" si="42"/>
        <v>0</v>
      </c>
      <c r="AG151" s="110">
        <f t="shared" si="43"/>
        <v>0</v>
      </c>
      <c r="AH151" s="110">
        <f t="shared" si="44"/>
        <v>0</v>
      </c>
      <c r="AI151" s="110">
        <f t="shared" si="45"/>
        <v>0</v>
      </c>
      <c r="AJ151" s="110">
        <f t="shared" si="46"/>
        <v>0</v>
      </c>
    </row>
    <row r="152" spans="1:36" s="85" customFormat="1" ht="52.5" hidden="1" customHeight="1" x14ac:dyDescent="0.25">
      <c r="A152" s="83">
        <v>134</v>
      </c>
      <c r="B152" s="83"/>
      <c r="C152" s="84"/>
      <c r="D152" s="93"/>
      <c r="E152" s="83"/>
      <c r="F152" s="83"/>
      <c r="G152" s="83"/>
      <c r="H152" s="83"/>
      <c r="I152" s="83"/>
      <c r="J152" s="83"/>
      <c r="K152" s="83"/>
      <c r="L152" s="83"/>
      <c r="M152" s="83"/>
      <c r="N152" s="83"/>
      <c r="O152" s="83"/>
      <c r="P152" s="83"/>
      <c r="Q152" s="83"/>
      <c r="R152" s="83"/>
      <c r="S152" s="83"/>
      <c r="T152" s="83"/>
      <c r="U152" s="83"/>
      <c r="V152" s="110">
        <f t="shared" si="32"/>
        <v>0</v>
      </c>
      <c r="W152" s="110">
        <f t="shared" si="33"/>
        <v>0</v>
      </c>
      <c r="X152" s="110">
        <f t="shared" si="34"/>
        <v>0</v>
      </c>
      <c r="Y152" s="110">
        <f t="shared" si="35"/>
        <v>0</v>
      </c>
      <c r="Z152" s="110">
        <f t="shared" si="36"/>
        <v>0</v>
      </c>
      <c r="AA152" s="110">
        <f t="shared" si="37"/>
        <v>0</v>
      </c>
      <c r="AB152" s="110">
        <f t="shared" si="38"/>
        <v>0</v>
      </c>
      <c r="AC152" s="110">
        <f t="shared" si="39"/>
        <v>0</v>
      </c>
      <c r="AD152" s="110">
        <f t="shared" si="40"/>
        <v>0</v>
      </c>
      <c r="AE152" s="110">
        <f t="shared" si="41"/>
        <v>0</v>
      </c>
      <c r="AF152" s="110">
        <f t="shared" si="42"/>
        <v>0</v>
      </c>
      <c r="AG152" s="110">
        <f t="shared" si="43"/>
        <v>0</v>
      </c>
      <c r="AH152" s="110">
        <f t="shared" si="44"/>
        <v>0</v>
      </c>
      <c r="AI152" s="110">
        <f t="shared" si="45"/>
        <v>0</v>
      </c>
      <c r="AJ152" s="110">
        <f t="shared" si="46"/>
        <v>0</v>
      </c>
    </row>
    <row r="153" spans="1:36" s="85" customFormat="1" ht="52.5" hidden="1" customHeight="1" x14ac:dyDescent="0.25">
      <c r="A153" s="83">
        <v>135</v>
      </c>
      <c r="B153" s="83"/>
      <c r="C153" s="84"/>
      <c r="D153" s="93"/>
      <c r="E153" s="83"/>
      <c r="F153" s="83"/>
      <c r="G153" s="83"/>
      <c r="H153" s="83"/>
      <c r="I153" s="83"/>
      <c r="J153" s="83"/>
      <c r="K153" s="83"/>
      <c r="L153" s="83"/>
      <c r="M153" s="83"/>
      <c r="N153" s="83"/>
      <c r="O153" s="83"/>
      <c r="P153" s="83"/>
      <c r="Q153" s="83"/>
      <c r="R153" s="83"/>
      <c r="S153" s="83"/>
      <c r="T153" s="83"/>
      <c r="U153" s="83"/>
      <c r="V153" s="110">
        <f t="shared" si="32"/>
        <v>0</v>
      </c>
      <c r="W153" s="110">
        <f t="shared" si="33"/>
        <v>0</v>
      </c>
      <c r="X153" s="110">
        <f t="shared" si="34"/>
        <v>0</v>
      </c>
      <c r="Y153" s="110">
        <f t="shared" si="35"/>
        <v>0</v>
      </c>
      <c r="Z153" s="110">
        <f t="shared" si="36"/>
        <v>0</v>
      </c>
      <c r="AA153" s="110">
        <f t="shared" si="37"/>
        <v>0</v>
      </c>
      <c r="AB153" s="110">
        <f t="shared" si="38"/>
        <v>0</v>
      </c>
      <c r="AC153" s="110">
        <f t="shared" si="39"/>
        <v>0</v>
      </c>
      <c r="AD153" s="110">
        <f t="shared" si="40"/>
        <v>0</v>
      </c>
      <c r="AE153" s="110">
        <f t="shared" si="41"/>
        <v>0</v>
      </c>
      <c r="AF153" s="110">
        <f t="shared" si="42"/>
        <v>0</v>
      </c>
      <c r="AG153" s="110">
        <f t="shared" si="43"/>
        <v>0</v>
      </c>
      <c r="AH153" s="110">
        <f t="shared" si="44"/>
        <v>0</v>
      </c>
      <c r="AI153" s="110">
        <f t="shared" si="45"/>
        <v>0</v>
      </c>
      <c r="AJ153" s="110">
        <f t="shared" si="46"/>
        <v>0</v>
      </c>
    </row>
    <row r="154" spans="1:36" s="85" customFormat="1" ht="52.5" hidden="1" customHeight="1" x14ac:dyDescent="0.25">
      <c r="A154" s="83">
        <v>136</v>
      </c>
      <c r="B154" s="83"/>
      <c r="C154" s="84"/>
      <c r="D154" s="93"/>
      <c r="E154" s="83"/>
      <c r="F154" s="83"/>
      <c r="G154" s="83"/>
      <c r="H154" s="83"/>
      <c r="I154" s="83"/>
      <c r="J154" s="83"/>
      <c r="K154" s="83"/>
      <c r="L154" s="83"/>
      <c r="M154" s="83"/>
      <c r="N154" s="83"/>
      <c r="O154" s="83"/>
      <c r="P154" s="83"/>
      <c r="Q154" s="83"/>
      <c r="R154" s="83"/>
      <c r="S154" s="83"/>
      <c r="T154" s="83"/>
      <c r="U154" s="83"/>
      <c r="V154" s="110">
        <f t="shared" si="32"/>
        <v>0</v>
      </c>
      <c r="W154" s="110">
        <f t="shared" si="33"/>
        <v>0</v>
      </c>
      <c r="X154" s="110">
        <f t="shared" si="34"/>
        <v>0</v>
      </c>
      <c r="Y154" s="110">
        <f t="shared" si="35"/>
        <v>0</v>
      </c>
      <c r="Z154" s="110">
        <f t="shared" si="36"/>
        <v>0</v>
      </c>
      <c r="AA154" s="110">
        <f t="shared" si="37"/>
        <v>0</v>
      </c>
      <c r="AB154" s="110">
        <f t="shared" si="38"/>
        <v>0</v>
      </c>
      <c r="AC154" s="110">
        <f t="shared" si="39"/>
        <v>0</v>
      </c>
      <c r="AD154" s="110">
        <f t="shared" si="40"/>
        <v>0</v>
      </c>
      <c r="AE154" s="110">
        <f t="shared" si="41"/>
        <v>0</v>
      </c>
      <c r="AF154" s="110">
        <f t="shared" si="42"/>
        <v>0</v>
      </c>
      <c r="AG154" s="110">
        <f t="shared" si="43"/>
        <v>0</v>
      </c>
      <c r="AH154" s="110">
        <f t="shared" si="44"/>
        <v>0</v>
      </c>
      <c r="AI154" s="110">
        <f t="shared" si="45"/>
        <v>0</v>
      </c>
      <c r="AJ154" s="110">
        <f t="shared" si="46"/>
        <v>0</v>
      </c>
    </row>
    <row r="155" spans="1:36" s="85" customFormat="1" ht="52.5" hidden="1" customHeight="1" x14ac:dyDescent="0.25">
      <c r="A155" s="83">
        <v>137</v>
      </c>
      <c r="B155" s="83"/>
      <c r="C155" s="84"/>
      <c r="D155" s="93"/>
      <c r="E155" s="83"/>
      <c r="F155" s="83"/>
      <c r="G155" s="83"/>
      <c r="H155" s="83"/>
      <c r="I155" s="83"/>
      <c r="J155" s="83"/>
      <c r="K155" s="83"/>
      <c r="L155" s="83"/>
      <c r="M155" s="83"/>
      <c r="N155" s="83"/>
      <c r="O155" s="83"/>
      <c r="P155" s="83"/>
      <c r="Q155" s="83"/>
      <c r="R155" s="83"/>
      <c r="S155" s="83"/>
      <c r="T155" s="83"/>
      <c r="U155" s="83"/>
      <c r="V155" s="110">
        <f t="shared" si="32"/>
        <v>0</v>
      </c>
      <c r="W155" s="110">
        <f t="shared" si="33"/>
        <v>0</v>
      </c>
      <c r="X155" s="110">
        <f t="shared" si="34"/>
        <v>0</v>
      </c>
      <c r="Y155" s="110">
        <f t="shared" si="35"/>
        <v>0</v>
      </c>
      <c r="Z155" s="110">
        <f t="shared" si="36"/>
        <v>0</v>
      </c>
      <c r="AA155" s="110">
        <f t="shared" si="37"/>
        <v>0</v>
      </c>
      <c r="AB155" s="110">
        <f t="shared" si="38"/>
        <v>0</v>
      </c>
      <c r="AC155" s="110">
        <f t="shared" si="39"/>
        <v>0</v>
      </c>
      <c r="AD155" s="110">
        <f t="shared" si="40"/>
        <v>0</v>
      </c>
      <c r="AE155" s="110">
        <f t="shared" si="41"/>
        <v>0</v>
      </c>
      <c r="AF155" s="110">
        <f t="shared" si="42"/>
        <v>0</v>
      </c>
      <c r="AG155" s="110">
        <f t="shared" si="43"/>
        <v>0</v>
      </c>
      <c r="AH155" s="110">
        <f t="shared" si="44"/>
        <v>0</v>
      </c>
      <c r="AI155" s="110">
        <f t="shared" si="45"/>
        <v>0</v>
      </c>
      <c r="AJ155" s="110">
        <f t="shared" si="46"/>
        <v>0</v>
      </c>
    </row>
    <row r="156" spans="1:36" s="85" customFormat="1" ht="52.5" hidden="1" customHeight="1" x14ac:dyDescent="0.25">
      <c r="A156" s="83">
        <v>138</v>
      </c>
      <c r="B156" s="83"/>
      <c r="C156" s="84"/>
      <c r="D156" s="93"/>
      <c r="E156" s="83"/>
      <c r="F156" s="83"/>
      <c r="G156" s="83"/>
      <c r="H156" s="83"/>
      <c r="I156" s="83"/>
      <c r="J156" s="83"/>
      <c r="K156" s="83"/>
      <c r="L156" s="83"/>
      <c r="M156" s="83"/>
      <c r="N156" s="83"/>
      <c r="O156" s="83"/>
      <c r="P156" s="83"/>
      <c r="Q156" s="83"/>
      <c r="R156" s="83"/>
      <c r="S156" s="83"/>
      <c r="T156" s="83"/>
      <c r="U156" s="83"/>
      <c r="V156" s="110">
        <f t="shared" si="32"/>
        <v>0</v>
      </c>
      <c r="W156" s="110">
        <f t="shared" si="33"/>
        <v>0</v>
      </c>
      <c r="X156" s="110">
        <f t="shared" si="34"/>
        <v>0</v>
      </c>
      <c r="Y156" s="110">
        <f t="shared" si="35"/>
        <v>0</v>
      </c>
      <c r="Z156" s="110">
        <f t="shared" si="36"/>
        <v>0</v>
      </c>
      <c r="AA156" s="110">
        <f t="shared" si="37"/>
        <v>0</v>
      </c>
      <c r="AB156" s="110">
        <f t="shared" si="38"/>
        <v>0</v>
      </c>
      <c r="AC156" s="110">
        <f t="shared" si="39"/>
        <v>0</v>
      </c>
      <c r="AD156" s="110">
        <f t="shared" si="40"/>
        <v>0</v>
      </c>
      <c r="AE156" s="110">
        <f t="shared" si="41"/>
        <v>0</v>
      </c>
      <c r="AF156" s="110">
        <f t="shared" si="42"/>
        <v>0</v>
      </c>
      <c r="AG156" s="110">
        <f t="shared" si="43"/>
        <v>0</v>
      </c>
      <c r="AH156" s="110">
        <f t="shared" si="44"/>
        <v>0</v>
      </c>
      <c r="AI156" s="110">
        <f t="shared" si="45"/>
        <v>0</v>
      </c>
      <c r="AJ156" s="110">
        <f t="shared" si="46"/>
        <v>0</v>
      </c>
    </row>
    <row r="157" spans="1:36" s="85" customFormat="1" ht="52.5" hidden="1" customHeight="1" x14ac:dyDescent="0.25">
      <c r="A157" s="83">
        <v>139</v>
      </c>
      <c r="B157" s="83"/>
      <c r="C157" s="84"/>
      <c r="D157" s="93"/>
      <c r="E157" s="83"/>
      <c r="F157" s="83"/>
      <c r="G157" s="83"/>
      <c r="H157" s="83"/>
      <c r="I157" s="83"/>
      <c r="J157" s="83"/>
      <c r="K157" s="83"/>
      <c r="L157" s="83"/>
      <c r="M157" s="83"/>
      <c r="N157" s="83"/>
      <c r="O157" s="83"/>
      <c r="P157" s="83"/>
      <c r="Q157" s="83"/>
      <c r="R157" s="83"/>
      <c r="S157" s="83"/>
      <c r="T157" s="83"/>
      <c r="U157" s="83"/>
      <c r="V157" s="110">
        <f t="shared" si="32"/>
        <v>0</v>
      </c>
      <c r="W157" s="110">
        <f t="shared" si="33"/>
        <v>0</v>
      </c>
      <c r="X157" s="110">
        <f t="shared" si="34"/>
        <v>0</v>
      </c>
      <c r="Y157" s="110">
        <f t="shared" si="35"/>
        <v>0</v>
      </c>
      <c r="Z157" s="110">
        <f t="shared" si="36"/>
        <v>0</v>
      </c>
      <c r="AA157" s="110">
        <f t="shared" si="37"/>
        <v>0</v>
      </c>
      <c r="AB157" s="110">
        <f t="shared" si="38"/>
        <v>0</v>
      </c>
      <c r="AC157" s="110">
        <f t="shared" si="39"/>
        <v>0</v>
      </c>
      <c r="AD157" s="110">
        <f t="shared" si="40"/>
        <v>0</v>
      </c>
      <c r="AE157" s="110">
        <f t="shared" si="41"/>
        <v>0</v>
      </c>
      <c r="AF157" s="110">
        <f t="shared" si="42"/>
        <v>0</v>
      </c>
      <c r="AG157" s="110">
        <f t="shared" si="43"/>
        <v>0</v>
      </c>
      <c r="AH157" s="110">
        <f t="shared" si="44"/>
        <v>0</v>
      </c>
      <c r="AI157" s="110">
        <f t="shared" si="45"/>
        <v>0</v>
      </c>
      <c r="AJ157" s="110">
        <f t="shared" si="46"/>
        <v>0</v>
      </c>
    </row>
    <row r="158" spans="1:36" s="85" customFormat="1" ht="52.5" hidden="1" customHeight="1" x14ac:dyDescent="0.25">
      <c r="A158" s="83">
        <v>140</v>
      </c>
      <c r="B158" s="83"/>
      <c r="C158" s="84"/>
      <c r="D158" s="93"/>
      <c r="E158" s="83"/>
      <c r="F158" s="83"/>
      <c r="G158" s="83"/>
      <c r="H158" s="83"/>
      <c r="I158" s="83"/>
      <c r="J158" s="83"/>
      <c r="K158" s="83"/>
      <c r="L158" s="83"/>
      <c r="M158" s="83"/>
      <c r="N158" s="83"/>
      <c r="O158" s="83"/>
      <c r="P158" s="83"/>
      <c r="Q158" s="83"/>
      <c r="R158" s="83"/>
      <c r="S158" s="83"/>
      <c r="T158" s="83"/>
      <c r="U158" s="83"/>
      <c r="V158" s="110">
        <f t="shared" si="32"/>
        <v>0</v>
      </c>
      <c r="W158" s="110">
        <f t="shared" si="33"/>
        <v>0</v>
      </c>
      <c r="X158" s="110">
        <f t="shared" si="34"/>
        <v>0</v>
      </c>
      <c r="Y158" s="110">
        <f t="shared" si="35"/>
        <v>0</v>
      </c>
      <c r="Z158" s="110">
        <f t="shared" si="36"/>
        <v>0</v>
      </c>
      <c r="AA158" s="110">
        <f t="shared" si="37"/>
        <v>0</v>
      </c>
      <c r="AB158" s="110">
        <f t="shared" si="38"/>
        <v>0</v>
      </c>
      <c r="AC158" s="110">
        <f t="shared" si="39"/>
        <v>0</v>
      </c>
      <c r="AD158" s="110">
        <f t="shared" si="40"/>
        <v>0</v>
      </c>
      <c r="AE158" s="110">
        <f t="shared" si="41"/>
        <v>0</v>
      </c>
      <c r="AF158" s="110">
        <f t="shared" si="42"/>
        <v>0</v>
      </c>
      <c r="AG158" s="110">
        <f t="shared" si="43"/>
        <v>0</v>
      </c>
      <c r="AH158" s="110">
        <f t="shared" si="44"/>
        <v>0</v>
      </c>
      <c r="AI158" s="110">
        <f t="shared" si="45"/>
        <v>0</v>
      </c>
      <c r="AJ158" s="110">
        <f t="shared" si="46"/>
        <v>0</v>
      </c>
    </row>
    <row r="159" spans="1:36" s="85" customFormat="1" ht="52.5" hidden="1" customHeight="1" x14ac:dyDescent="0.25">
      <c r="A159" s="83">
        <v>141</v>
      </c>
      <c r="B159" s="83"/>
      <c r="C159" s="84"/>
      <c r="D159" s="93"/>
      <c r="E159" s="83"/>
      <c r="F159" s="83"/>
      <c r="G159" s="83"/>
      <c r="H159" s="83"/>
      <c r="I159" s="83"/>
      <c r="J159" s="83"/>
      <c r="K159" s="83"/>
      <c r="L159" s="83"/>
      <c r="M159" s="83"/>
      <c r="N159" s="83"/>
      <c r="O159" s="83"/>
      <c r="P159" s="83"/>
      <c r="Q159" s="83"/>
      <c r="R159" s="83"/>
      <c r="S159" s="83"/>
      <c r="T159" s="83"/>
      <c r="U159" s="83"/>
      <c r="V159" s="110">
        <f t="shared" si="32"/>
        <v>0</v>
      </c>
      <c r="W159" s="110">
        <f t="shared" si="33"/>
        <v>0</v>
      </c>
      <c r="X159" s="110">
        <f t="shared" si="34"/>
        <v>0</v>
      </c>
      <c r="Y159" s="110">
        <f t="shared" si="35"/>
        <v>0</v>
      </c>
      <c r="Z159" s="110">
        <f t="shared" si="36"/>
        <v>0</v>
      </c>
      <c r="AA159" s="110">
        <f t="shared" si="37"/>
        <v>0</v>
      </c>
      <c r="AB159" s="110">
        <f t="shared" si="38"/>
        <v>0</v>
      </c>
      <c r="AC159" s="110">
        <f t="shared" si="39"/>
        <v>0</v>
      </c>
      <c r="AD159" s="110">
        <f t="shared" si="40"/>
        <v>0</v>
      </c>
      <c r="AE159" s="110">
        <f t="shared" si="41"/>
        <v>0</v>
      </c>
      <c r="AF159" s="110">
        <f t="shared" si="42"/>
        <v>0</v>
      </c>
      <c r="AG159" s="110">
        <f t="shared" si="43"/>
        <v>0</v>
      </c>
      <c r="AH159" s="110">
        <f t="shared" si="44"/>
        <v>0</v>
      </c>
      <c r="AI159" s="110">
        <f t="shared" si="45"/>
        <v>0</v>
      </c>
      <c r="AJ159" s="110">
        <f t="shared" si="46"/>
        <v>0</v>
      </c>
    </row>
    <row r="160" spans="1:36" s="85" customFormat="1" ht="52.5" hidden="1" customHeight="1" x14ac:dyDescent="0.25">
      <c r="A160" s="83">
        <v>142</v>
      </c>
      <c r="B160" s="83"/>
      <c r="C160" s="84"/>
      <c r="D160" s="93"/>
      <c r="E160" s="83"/>
      <c r="F160" s="83"/>
      <c r="G160" s="83"/>
      <c r="H160" s="83"/>
      <c r="I160" s="83"/>
      <c r="J160" s="83"/>
      <c r="K160" s="83"/>
      <c r="L160" s="83"/>
      <c r="M160" s="83"/>
      <c r="N160" s="83"/>
      <c r="O160" s="83"/>
      <c r="P160" s="83"/>
      <c r="Q160" s="83"/>
      <c r="R160" s="83"/>
      <c r="S160" s="83"/>
      <c r="T160" s="83"/>
      <c r="U160" s="83"/>
      <c r="V160" s="110">
        <f t="shared" si="32"/>
        <v>0</v>
      </c>
      <c r="W160" s="110">
        <f t="shared" si="33"/>
        <v>0</v>
      </c>
      <c r="X160" s="110">
        <f t="shared" si="34"/>
        <v>0</v>
      </c>
      <c r="Y160" s="110">
        <f t="shared" si="35"/>
        <v>0</v>
      </c>
      <c r="Z160" s="110">
        <f t="shared" si="36"/>
        <v>0</v>
      </c>
      <c r="AA160" s="110">
        <f t="shared" si="37"/>
        <v>0</v>
      </c>
      <c r="AB160" s="110">
        <f t="shared" si="38"/>
        <v>0</v>
      </c>
      <c r="AC160" s="110">
        <f t="shared" si="39"/>
        <v>0</v>
      </c>
      <c r="AD160" s="110">
        <f t="shared" si="40"/>
        <v>0</v>
      </c>
      <c r="AE160" s="110">
        <f t="shared" si="41"/>
        <v>0</v>
      </c>
      <c r="AF160" s="110">
        <f t="shared" si="42"/>
        <v>0</v>
      </c>
      <c r="AG160" s="110">
        <f t="shared" si="43"/>
        <v>0</v>
      </c>
      <c r="AH160" s="110">
        <f t="shared" si="44"/>
        <v>0</v>
      </c>
      <c r="AI160" s="110">
        <f t="shared" si="45"/>
        <v>0</v>
      </c>
      <c r="AJ160" s="110">
        <f t="shared" si="46"/>
        <v>0</v>
      </c>
    </row>
    <row r="161" spans="1:36" s="85" customFormat="1" ht="52.5" hidden="1" customHeight="1" x14ac:dyDescent="0.25">
      <c r="A161" s="83">
        <v>143</v>
      </c>
      <c r="B161" s="83"/>
      <c r="C161" s="84"/>
      <c r="D161" s="93"/>
      <c r="E161" s="83"/>
      <c r="F161" s="83"/>
      <c r="G161" s="83"/>
      <c r="H161" s="83"/>
      <c r="I161" s="83"/>
      <c r="J161" s="83"/>
      <c r="K161" s="83"/>
      <c r="L161" s="83"/>
      <c r="M161" s="83"/>
      <c r="N161" s="83"/>
      <c r="O161" s="83"/>
      <c r="P161" s="83"/>
      <c r="Q161" s="83"/>
      <c r="R161" s="83"/>
      <c r="S161" s="83"/>
      <c r="T161" s="83"/>
      <c r="U161" s="83"/>
      <c r="V161" s="110">
        <f t="shared" si="32"/>
        <v>0</v>
      </c>
      <c r="W161" s="110">
        <f t="shared" si="33"/>
        <v>0</v>
      </c>
      <c r="X161" s="110">
        <f t="shared" si="34"/>
        <v>0</v>
      </c>
      <c r="Y161" s="110">
        <f t="shared" si="35"/>
        <v>0</v>
      </c>
      <c r="Z161" s="110">
        <f t="shared" si="36"/>
        <v>0</v>
      </c>
      <c r="AA161" s="110">
        <f t="shared" si="37"/>
        <v>0</v>
      </c>
      <c r="AB161" s="110">
        <f t="shared" si="38"/>
        <v>0</v>
      </c>
      <c r="AC161" s="110">
        <f t="shared" si="39"/>
        <v>0</v>
      </c>
      <c r="AD161" s="110">
        <f t="shared" si="40"/>
        <v>0</v>
      </c>
      <c r="AE161" s="110">
        <f t="shared" si="41"/>
        <v>0</v>
      </c>
      <c r="AF161" s="110">
        <f t="shared" si="42"/>
        <v>0</v>
      </c>
      <c r="AG161" s="110">
        <f t="shared" si="43"/>
        <v>0</v>
      </c>
      <c r="AH161" s="110">
        <f t="shared" si="44"/>
        <v>0</v>
      </c>
      <c r="AI161" s="110">
        <f t="shared" si="45"/>
        <v>0</v>
      </c>
      <c r="AJ161" s="110">
        <f t="shared" si="46"/>
        <v>0</v>
      </c>
    </row>
    <row r="162" spans="1:36" s="85" customFormat="1" ht="52.5" hidden="1" customHeight="1" x14ac:dyDescent="0.25">
      <c r="A162" s="83">
        <v>144</v>
      </c>
      <c r="B162" s="83"/>
      <c r="C162" s="84"/>
      <c r="D162" s="93"/>
      <c r="E162" s="83"/>
      <c r="F162" s="83"/>
      <c r="G162" s="83"/>
      <c r="H162" s="83"/>
      <c r="I162" s="83"/>
      <c r="J162" s="83"/>
      <c r="K162" s="83"/>
      <c r="L162" s="83"/>
      <c r="M162" s="83"/>
      <c r="N162" s="83"/>
      <c r="O162" s="83"/>
      <c r="P162" s="83"/>
      <c r="Q162" s="83"/>
      <c r="R162" s="83"/>
      <c r="S162" s="83"/>
      <c r="T162" s="83"/>
      <c r="U162" s="83"/>
      <c r="V162" s="110">
        <f t="shared" si="32"/>
        <v>0</v>
      </c>
      <c r="W162" s="110">
        <f t="shared" si="33"/>
        <v>0</v>
      </c>
      <c r="X162" s="110">
        <f t="shared" si="34"/>
        <v>0</v>
      </c>
      <c r="Y162" s="110">
        <f t="shared" si="35"/>
        <v>0</v>
      </c>
      <c r="Z162" s="110">
        <f t="shared" si="36"/>
        <v>0</v>
      </c>
      <c r="AA162" s="110">
        <f t="shared" si="37"/>
        <v>0</v>
      </c>
      <c r="AB162" s="110">
        <f t="shared" si="38"/>
        <v>0</v>
      </c>
      <c r="AC162" s="110">
        <f t="shared" si="39"/>
        <v>0</v>
      </c>
      <c r="AD162" s="110">
        <f t="shared" si="40"/>
        <v>0</v>
      </c>
      <c r="AE162" s="110">
        <f t="shared" si="41"/>
        <v>0</v>
      </c>
      <c r="AF162" s="110">
        <f t="shared" si="42"/>
        <v>0</v>
      </c>
      <c r="AG162" s="110">
        <f t="shared" si="43"/>
        <v>0</v>
      </c>
      <c r="AH162" s="110">
        <f t="shared" si="44"/>
        <v>0</v>
      </c>
      <c r="AI162" s="110">
        <f t="shared" si="45"/>
        <v>0</v>
      </c>
      <c r="AJ162" s="110">
        <f t="shared" si="46"/>
        <v>0</v>
      </c>
    </row>
    <row r="163" spans="1:36" s="85" customFormat="1" ht="52.5" hidden="1" customHeight="1" x14ac:dyDescent="0.25">
      <c r="A163" s="83">
        <v>145</v>
      </c>
      <c r="B163" s="83"/>
      <c r="C163" s="84"/>
      <c r="D163" s="93"/>
      <c r="E163" s="83"/>
      <c r="F163" s="83"/>
      <c r="G163" s="83"/>
      <c r="H163" s="83"/>
      <c r="I163" s="83"/>
      <c r="J163" s="83"/>
      <c r="K163" s="83"/>
      <c r="L163" s="83"/>
      <c r="M163" s="83"/>
      <c r="N163" s="83"/>
      <c r="O163" s="83"/>
      <c r="P163" s="83"/>
      <c r="Q163" s="83"/>
      <c r="R163" s="83"/>
      <c r="S163" s="83"/>
      <c r="T163" s="83"/>
      <c r="U163" s="83"/>
      <c r="V163" s="110">
        <f t="shared" si="32"/>
        <v>0</v>
      </c>
      <c r="W163" s="110">
        <f t="shared" si="33"/>
        <v>0</v>
      </c>
      <c r="X163" s="110">
        <f t="shared" si="34"/>
        <v>0</v>
      </c>
      <c r="Y163" s="110">
        <f t="shared" si="35"/>
        <v>0</v>
      </c>
      <c r="Z163" s="110">
        <f t="shared" si="36"/>
        <v>0</v>
      </c>
      <c r="AA163" s="110">
        <f t="shared" si="37"/>
        <v>0</v>
      </c>
      <c r="AB163" s="110">
        <f t="shared" si="38"/>
        <v>0</v>
      </c>
      <c r="AC163" s="110">
        <f t="shared" si="39"/>
        <v>0</v>
      </c>
      <c r="AD163" s="110">
        <f t="shared" si="40"/>
        <v>0</v>
      </c>
      <c r="AE163" s="110">
        <f t="shared" si="41"/>
        <v>0</v>
      </c>
      <c r="AF163" s="110">
        <f t="shared" si="42"/>
        <v>0</v>
      </c>
      <c r="AG163" s="110">
        <f t="shared" si="43"/>
        <v>0</v>
      </c>
      <c r="AH163" s="110">
        <f t="shared" si="44"/>
        <v>0</v>
      </c>
      <c r="AI163" s="110">
        <f t="shared" si="45"/>
        <v>0</v>
      </c>
      <c r="AJ163" s="110">
        <f t="shared" si="46"/>
        <v>0</v>
      </c>
    </row>
    <row r="164" spans="1:36" s="85" customFormat="1" ht="52.5" hidden="1" customHeight="1" x14ac:dyDescent="0.25">
      <c r="A164" s="83">
        <v>146</v>
      </c>
      <c r="B164" s="83"/>
      <c r="C164" s="84"/>
      <c r="D164" s="93"/>
      <c r="E164" s="83"/>
      <c r="F164" s="83"/>
      <c r="G164" s="83"/>
      <c r="H164" s="83"/>
      <c r="I164" s="83"/>
      <c r="J164" s="83"/>
      <c r="K164" s="83"/>
      <c r="L164" s="83"/>
      <c r="M164" s="83"/>
      <c r="N164" s="83"/>
      <c r="O164" s="83"/>
      <c r="P164" s="83"/>
      <c r="Q164" s="83"/>
      <c r="R164" s="83"/>
      <c r="S164" s="83"/>
      <c r="T164" s="83"/>
      <c r="U164" s="83"/>
      <c r="V164" s="110">
        <f t="shared" si="32"/>
        <v>0</v>
      </c>
      <c r="W164" s="110">
        <f t="shared" si="33"/>
        <v>0</v>
      </c>
      <c r="X164" s="110">
        <f t="shared" si="34"/>
        <v>0</v>
      </c>
      <c r="Y164" s="110">
        <f t="shared" si="35"/>
        <v>0</v>
      </c>
      <c r="Z164" s="110">
        <f t="shared" si="36"/>
        <v>0</v>
      </c>
      <c r="AA164" s="110">
        <f t="shared" si="37"/>
        <v>0</v>
      </c>
      <c r="AB164" s="110">
        <f t="shared" si="38"/>
        <v>0</v>
      </c>
      <c r="AC164" s="110">
        <f t="shared" si="39"/>
        <v>0</v>
      </c>
      <c r="AD164" s="110">
        <f t="shared" si="40"/>
        <v>0</v>
      </c>
      <c r="AE164" s="110">
        <f t="shared" si="41"/>
        <v>0</v>
      </c>
      <c r="AF164" s="110">
        <f t="shared" si="42"/>
        <v>0</v>
      </c>
      <c r="AG164" s="110">
        <f t="shared" si="43"/>
        <v>0</v>
      </c>
      <c r="AH164" s="110">
        <f t="shared" si="44"/>
        <v>0</v>
      </c>
      <c r="AI164" s="110">
        <f t="shared" si="45"/>
        <v>0</v>
      </c>
      <c r="AJ164" s="110">
        <f t="shared" si="46"/>
        <v>0</v>
      </c>
    </row>
    <row r="165" spans="1:36" s="85" customFormat="1" ht="52.5" hidden="1" customHeight="1" x14ac:dyDescent="0.25">
      <c r="A165" s="83">
        <v>147</v>
      </c>
      <c r="B165" s="83"/>
      <c r="C165" s="84"/>
      <c r="D165" s="93"/>
      <c r="E165" s="83"/>
      <c r="F165" s="83"/>
      <c r="G165" s="83"/>
      <c r="H165" s="83"/>
      <c r="I165" s="83"/>
      <c r="J165" s="83"/>
      <c r="K165" s="83"/>
      <c r="L165" s="83"/>
      <c r="M165" s="83"/>
      <c r="N165" s="83"/>
      <c r="O165" s="83"/>
      <c r="P165" s="83"/>
      <c r="Q165" s="83"/>
      <c r="R165" s="83"/>
      <c r="S165" s="83"/>
      <c r="T165" s="83"/>
      <c r="U165" s="83"/>
      <c r="V165" s="110">
        <f t="shared" si="32"/>
        <v>0</v>
      </c>
      <c r="W165" s="110">
        <f t="shared" si="33"/>
        <v>0</v>
      </c>
      <c r="X165" s="110">
        <f t="shared" si="34"/>
        <v>0</v>
      </c>
      <c r="Y165" s="110">
        <f t="shared" si="35"/>
        <v>0</v>
      </c>
      <c r="Z165" s="110">
        <f t="shared" si="36"/>
        <v>0</v>
      </c>
      <c r="AA165" s="110">
        <f t="shared" si="37"/>
        <v>0</v>
      </c>
      <c r="AB165" s="110">
        <f t="shared" si="38"/>
        <v>0</v>
      </c>
      <c r="AC165" s="110">
        <f t="shared" si="39"/>
        <v>0</v>
      </c>
      <c r="AD165" s="110">
        <f t="shared" si="40"/>
        <v>0</v>
      </c>
      <c r="AE165" s="110">
        <f t="shared" si="41"/>
        <v>0</v>
      </c>
      <c r="AF165" s="110">
        <f t="shared" si="42"/>
        <v>0</v>
      </c>
      <c r="AG165" s="110">
        <f t="shared" si="43"/>
        <v>0</v>
      </c>
      <c r="AH165" s="110">
        <f t="shared" si="44"/>
        <v>0</v>
      </c>
      <c r="AI165" s="110">
        <f t="shared" si="45"/>
        <v>0</v>
      </c>
      <c r="AJ165" s="110">
        <f t="shared" si="46"/>
        <v>0</v>
      </c>
    </row>
    <row r="166" spans="1:36" s="85" customFormat="1" ht="52.5" hidden="1" customHeight="1" x14ac:dyDescent="0.25">
      <c r="A166" s="83">
        <v>148</v>
      </c>
      <c r="B166" s="83"/>
      <c r="C166" s="84"/>
      <c r="D166" s="93"/>
      <c r="E166" s="83"/>
      <c r="F166" s="83"/>
      <c r="G166" s="83"/>
      <c r="H166" s="83"/>
      <c r="I166" s="83"/>
      <c r="J166" s="83"/>
      <c r="K166" s="83"/>
      <c r="L166" s="83"/>
      <c r="M166" s="83"/>
      <c r="N166" s="83"/>
      <c r="O166" s="83"/>
      <c r="P166" s="83"/>
      <c r="Q166" s="83"/>
      <c r="R166" s="83"/>
      <c r="S166" s="83"/>
      <c r="T166" s="83"/>
      <c r="U166" s="83"/>
      <c r="V166" s="110">
        <f t="shared" si="32"/>
        <v>0</v>
      </c>
      <c r="W166" s="110">
        <f t="shared" si="33"/>
        <v>0</v>
      </c>
      <c r="X166" s="110">
        <f t="shared" si="34"/>
        <v>0</v>
      </c>
      <c r="Y166" s="110">
        <f t="shared" si="35"/>
        <v>0</v>
      </c>
      <c r="Z166" s="110">
        <f t="shared" si="36"/>
        <v>0</v>
      </c>
      <c r="AA166" s="110">
        <f t="shared" si="37"/>
        <v>0</v>
      </c>
      <c r="AB166" s="110">
        <f t="shared" si="38"/>
        <v>0</v>
      </c>
      <c r="AC166" s="110">
        <f t="shared" si="39"/>
        <v>0</v>
      </c>
      <c r="AD166" s="110">
        <f t="shared" si="40"/>
        <v>0</v>
      </c>
      <c r="AE166" s="110">
        <f t="shared" si="41"/>
        <v>0</v>
      </c>
      <c r="AF166" s="110">
        <f t="shared" si="42"/>
        <v>0</v>
      </c>
      <c r="AG166" s="110">
        <f t="shared" si="43"/>
        <v>0</v>
      </c>
      <c r="AH166" s="110">
        <f t="shared" si="44"/>
        <v>0</v>
      </c>
      <c r="AI166" s="110">
        <f t="shared" si="45"/>
        <v>0</v>
      </c>
      <c r="AJ166" s="110">
        <f t="shared" si="46"/>
        <v>0</v>
      </c>
    </row>
    <row r="167" spans="1:36" s="85" customFormat="1" ht="52.5" hidden="1" customHeight="1" x14ac:dyDescent="0.25">
      <c r="A167" s="83">
        <v>149</v>
      </c>
      <c r="B167" s="83"/>
      <c r="C167" s="84"/>
      <c r="D167" s="93"/>
      <c r="E167" s="83"/>
      <c r="F167" s="83"/>
      <c r="G167" s="83"/>
      <c r="H167" s="83"/>
      <c r="I167" s="83"/>
      <c r="J167" s="83"/>
      <c r="K167" s="83"/>
      <c r="L167" s="83"/>
      <c r="M167" s="83"/>
      <c r="N167" s="83"/>
      <c r="O167" s="83"/>
      <c r="P167" s="83"/>
      <c r="Q167" s="83"/>
      <c r="R167" s="83"/>
      <c r="S167" s="83"/>
      <c r="T167" s="83"/>
      <c r="U167" s="83"/>
      <c r="V167" s="110">
        <f t="shared" si="32"/>
        <v>0</v>
      </c>
      <c r="W167" s="110">
        <f t="shared" si="33"/>
        <v>0</v>
      </c>
      <c r="X167" s="110">
        <f t="shared" si="34"/>
        <v>0</v>
      </c>
      <c r="Y167" s="110">
        <f t="shared" si="35"/>
        <v>0</v>
      </c>
      <c r="Z167" s="110">
        <f t="shared" si="36"/>
        <v>0</v>
      </c>
      <c r="AA167" s="110">
        <f t="shared" si="37"/>
        <v>0</v>
      </c>
      <c r="AB167" s="110">
        <f t="shared" si="38"/>
        <v>0</v>
      </c>
      <c r="AC167" s="110">
        <f t="shared" si="39"/>
        <v>0</v>
      </c>
      <c r="AD167" s="110">
        <f t="shared" si="40"/>
        <v>0</v>
      </c>
      <c r="AE167" s="110">
        <f t="shared" si="41"/>
        <v>0</v>
      </c>
      <c r="AF167" s="110">
        <f t="shared" si="42"/>
        <v>0</v>
      </c>
      <c r="AG167" s="110">
        <f t="shared" si="43"/>
        <v>0</v>
      </c>
      <c r="AH167" s="110">
        <f t="shared" si="44"/>
        <v>0</v>
      </c>
      <c r="AI167" s="110">
        <f t="shared" si="45"/>
        <v>0</v>
      </c>
      <c r="AJ167" s="110">
        <f t="shared" si="46"/>
        <v>0</v>
      </c>
    </row>
    <row r="168" spans="1:36" s="85" customFormat="1" ht="52.5" hidden="1" customHeight="1" x14ac:dyDescent="0.25">
      <c r="A168" s="83">
        <v>150</v>
      </c>
      <c r="B168" s="83"/>
      <c r="C168" s="84"/>
      <c r="D168" s="93"/>
      <c r="E168" s="83"/>
      <c r="F168" s="83"/>
      <c r="G168" s="83"/>
      <c r="H168" s="83"/>
      <c r="I168" s="83"/>
      <c r="J168" s="83"/>
      <c r="K168" s="83"/>
      <c r="L168" s="83"/>
      <c r="M168" s="83"/>
      <c r="N168" s="83"/>
      <c r="O168" s="83"/>
      <c r="P168" s="83"/>
      <c r="Q168" s="83"/>
      <c r="R168" s="83"/>
      <c r="S168" s="83"/>
      <c r="T168" s="83"/>
      <c r="U168" s="83"/>
      <c r="V168" s="110">
        <f t="shared" si="32"/>
        <v>0</v>
      </c>
      <c r="W168" s="110">
        <f t="shared" si="33"/>
        <v>0</v>
      </c>
      <c r="X168" s="110">
        <f t="shared" si="34"/>
        <v>0</v>
      </c>
      <c r="Y168" s="110">
        <f t="shared" si="35"/>
        <v>0</v>
      </c>
      <c r="Z168" s="110">
        <f t="shared" si="36"/>
        <v>0</v>
      </c>
      <c r="AA168" s="110">
        <f t="shared" si="37"/>
        <v>0</v>
      </c>
      <c r="AB168" s="110">
        <f t="shared" si="38"/>
        <v>0</v>
      </c>
      <c r="AC168" s="110">
        <f t="shared" si="39"/>
        <v>0</v>
      </c>
      <c r="AD168" s="110">
        <f t="shared" si="40"/>
        <v>0</v>
      </c>
      <c r="AE168" s="110">
        <f t="shared" si="41"/>
        <v>0</v>
      </c>
      <c r="AF168" s="110">
        <f t="shared" si="42"/>
        <v>0</v>
      </c>
      <c r="AG168" s="110">
        <f t="shared" si="43"/>
        <v>0</v>
      </c>
      <c r="AH168" s="110">
        <f t="shared" si="44"/>
        <v>0</v>
      </c>
      <c r="AI168" s="110">
        <f t="shared" si="45"/>
        <v>0</v>
      </c>
      <c r="AJ168" s="110">
        <f t="shared" si="46"/>
        <v>0</v>
      </c>
    </row>
    <row r="169" spans="1:36" s="85" customFormat="1" ht="52.5" hidden="1" customHeight="1" x14ac:dyDescent="0.25">
      <c r="A169" s="83">
        <v>151</v>
      </c>
      <c r="B169" s="83"/>
      <c r="C169" s="84"/>
      <c r="D169" s="93"/>
      <c r="E169" s="83"/>
      <c r="F169" s="83"/>
      <c r="G169" s="83"/>
      <c r="H169" s="83"/>
      <c r="I169" s="83"/>
      <c r="J169" s="83"/>
      <c r="K169" s="83"/>
      <c r="L169" s="83"/>
      <c r="M169" s="83"/>
      <c r="N169" s="83"/>
      <c r="O169" s="83"/>
      <c r="P169" s="83"/>
      <c r="Q169" s="83"/>
      <c r="R169" s="83"/>
      <c r="S169" s="83"/>
      <c r="T169" s="83"/>
      <c r="U169" s="83"/>
      <c r="V169" s="110">
        <f t="shared" si="32"/>
        <v>0</v>
      </c>
      <c r="W169" s="110">
        <f t="shared" si="33"/>
        <v>0</v>
      </c>
      <c r="X169" s="110">
        <f t="shared" si="34"/>
        <v>0</v>
      </c>
      <c r="Y169" s="110">
        <f t="shared" si="35"/>
        <v>0</v>
      </c>
      <c r="Z169" s="110">
        <f t="shared" si="36"/>
        <v>0</v>
      </c>
      <c r="AA169" s="110">
        <f t="shared" si="37"/>
        <v>0</v>
      </c>
      <c r="AB169" s="110">
        <f t="shared" si="38"/>
        <v>0</v>
      </c>
      <c r="AC169" s="110">
        <f t="shared" si="39"/>
        <v>0</v>
      </c>
      <c r="AD169" s="110">
        <f t="shared" si="40"/>
        <v>0</v>
      </c>
      <c r="AE169" s="110">
        <f t="shared" si="41"/>
        <v>0</v>
      </c>
      <c r="AF169" s="110">
        <f t="shared" si="42"/>
        <v>0</v>
      </c>
      <c r="AG169" s="110">
        <f t="shared" si="43"/>
        <v>0</v>
      </c>
      <c r="AH169" s="110">
        <f t="shared" si="44"/>
        <v>0</v>
      </c>
      <c r="AI169" s="110">
        <f t="shared" si="45"/>
        <v>0</v>
      </c>
      <c r="AJ169" s="110">
        <f t="shared" si="46"/>
        <v>0</v>
      </c>
    </row>
    <row r="170" spans="1:36" s="85" customFormat="1" ht="52.5" hidden="1" customHeight="1" x14ac:dyDescent="0.25">
      <c r="A170" s="83">
        <v>152</v>
      </c>
      <c r="B170" s="83"/>
      <c r="C170" s="84"/>
      <c r="D170" s="93"/>
      <c r="E170" s="83"/>
      <c r="F170" s="83"/>
      <c r="G170" s="83"/>
      <c r="H170" s="83"/>
      <c r="I170" s="83"/>
      <c r="J170" s="83"/>
      <c r="K170" s="83"/>
      <c r="L170" s="83"/>
      <c r="M170" s="83"/>
      <c r="N170" s="83"/>
      <c r="O170" s="83"/>
      <c r="P170" s="83"/>
      <c r="Q170" s="83"/>
      <c r="R170" s="83"/>
      <c r="S170" s="83"/>
      <c r="T170" s="83"/>
      <c r="U170" s="83"/>
      <c r="V170" s="110">
        <f t="shared" si="32"/>
        <v>0</v>
      </c>
      <c r="W170" s="110">
        <f t="shared" si="33"/>
        <v>0</v>
      </c>
      <c r="X170" s="110">
        <f t="shared" si="34"/>
        <v>0</v>
      </c>
      <c r="Y170" s="110">
        <f t="shared" si="35"/>
        <v>0</v>
      </c>
      <c r="Z170" s="110">
        <f t="shared" si="36"/>
        <v>0</v>
      </c>
      <c r="AA170" s="110">
        <f t="shared" si="37"/>
        <v>0</v>
      </c>
      <c r="AB170" s="110">
        <f t="shared" si="38"/>
        <v>0</v>
      </c>
      <c r="AC170" s="110">
        <f t="shared" si="39"/>
        <v>0</v>
      </c>
      <c r="AD170" s="110">
        <f t="shared" si="40"/>
        <v>0</v>
      </c>
      <c r="AE170" s="110">
        <f t="shared" si="41"/>
        <v>0</v>
      </c>
      <c r="AF170" s="110">
        <f t="shared" si="42"/>
        <v>0</v>
      </c>
      <c r="AG170" s="110">
        <f t="shared" si="43"/>
        <v>0</v>
      </c>
      <c r="AH170" s="110">
        <f t="shared" si="44"/>
        <v>0</v>
      </c>
      <c r="AI170" s="110">
        <f t="shared" si="45"/>
        <v>0</v>
      </c>
      <c r="AJ170" s="110">
        <f t="shared" si="46"/>
        <v>0</v>
      </c>
    </row>
    <row r="171" spans="1:36" s="85" customFormat="1" ht="52.5" hidden="1" customHeight="1" x14ac:dyDescent="0.25">
      <c r="A171" s="83">
        <v>153</v>
      </c>
      <c r="B171" s="83"/>
      <c r="C171" s="84"/>
      <c r="D171" s="93"/>
      <c r="E171" s="83"/>
      <c r="F171" s="83"/>
      <c r="G171" s="83"/>
      <c r="H171" s="83"/>
      <c r="I171" s="83"/>
      <c r="J171" s="83"/>
      <c r="K171" s="83"/>
      <c r="L171" s="83"/>
      <c r="M171" s="83"/>
      <c r="N171" s="83"/>
      <c r="O171" s="83"/>
      <c r="P171" s="83"/>
      <c r="Q171" s="83"/>
      <c r="R171" s="83"/>
      <c r="S171" s="83"/>
      <c r="T171" s="83"/>
      <c r="U171" s="83"/>
      <c r="V171" s="110">
        <f t="shared" si="32"/>
        <v>0</v>
      </c>
      <c r="W171" s="110">
        <f t="shared" si="33"/>
        <v>0</v>
      </c>
      <c r="X171" s="110">
        <f t="shared" si="34"/>
        <v>0</v>
      </c>
      <c r="Y171" s="110">
        <f t="shared" si="35"/>
        <v>0</v>
      </c>
      <c r="Z171" s="110">
        <f t="shared" si="36"/>
        <v>0</v>
      </c>
      <c r="AA171" s="110">
        <f t="shared" si="37"/>
        <v>0</v>
      </c>
      <c r="AB171" s="110">
        <f t="shared" si="38"/>
        <v>0</v>
      </c>
      <c r="AC171" s="110">
        <f t="shared" si="39"/>
        <v>0</v>
      </c>
      <c r="AD171" s="110">
        <f t="shared" si="40"/>
        <v>0</v>
      </c>
      <c r="AE171" s="110">
        <f t="shared" si="41"/>
        <v>0</v>
      </c>
      <c r="AF171" s="110">
        <f t="shared" si="42"/>
        <v>0</v>
      </c>
      <c r="AG171" s="110">
        <f t="shared" si="43"/>
        <v>0</v>
      </c>
      <c r="AH171" s="110">
        <f t="shared" si="44"/>
        <v>0</v>
      </c>
      <c r="AI171" s="110">
        <f t="shared" si="45"/>
        <v>0</v>
      </c>
      <c r="AJ171" s="110">
        <f t="shared" si="46"/>
        <v>0</v>
      </c>
    </row>
    <row r="172" spans="1:36" s="85" customFormat="1" ht="52.5" hidden="1" customHeight="1" x14ac:dyDescent="0.25">
      <c r="A172" s="83">
        <v>154</v>
      </c>
      <c r="B172" s="83"/>
      <c r="C172" s="84"/>
      <c r="D172" s="93"/>
      <c r="E172" s="83"/>
      <c r="F172" s="83"/>
      <c r="G172" s="83"/>
      <c r="H172" s="83"/>
      <c r="I172" s="83"/>
      <c r="J172" s="83"/>
      <c r="K172" s="83"/>
      <c r="L172" s="83"/>
      <c r="M172" s="83"/>
      <c r="N172" s="83"/>
      <c r="O172" s="83"/>
      <c r="P172" s="83"/>
      <c r="Q172" s="83"/>
      <c r="R172" s="83"/>
      <c r="S172" s="83"/>
      <c r="T172" s="83"/>
      <c r="U172" s="83"/>
      <c r="V172" s="110">
        <f t="shared" si="32"/>
        <v>0</v>
      </c>
      <c r="W172" s="110">
        <f t="shared" si="33"/>
        <v>0</v>
      </c>
      <c r="X172" s="110">
        <f t="shared" si="34"/>
        <v>0</v>
      </c>
      <c r="Y172" s="110">
        <f t="shared" si="35"/>
        <v>0</v>
      </c>
      <c r="Z172" s="110">
        <f t="shared" si="36"/>
        <v>0</v>
      </c>
      <c r="AA172" s="110">
        <f t="shared" si="37"/>
        <v>0</v>
      </c>
      <c r="AB172" s="110">
        <f t="shared" si="38"/>
        <v>0</v>
      </c>
      <c r="AC172" s="110">
        <f t="shared" si="39"/>
        <v>0</v>
      </c>
      <c r="AD172" s="110">
        <f t="shared" si="40"/>
        <v>0</v>
      </c>
      <c r="AE172" s="110">
        <f t="shared" si="41"/>
        <v>0</v>
      </c>
      <c r="AF172" s="110">
        <f t="shared" si="42"/>
        <v>0</v>
      </c>
      <c r="AG172" s="110">
        <f t="shared" si="43"/>
        <v>0</v>
      </c>
      <c r="AH172" s="110">
        <f t="shared" si="44"/>
        <v>0</v>
      </c>
      <c r="AI172" s="110">
        <f t="shared" si="45"/>
        <v>0</v>
      </c>
      <c r="AJ172" s="110">
        <f t="shared" si="46"/>
        <v>0</v>
      </c>
    </row>
    <row r="173" spans="1:36" s="85" customFormat="1" ht="52.5" hidden="1" customHeight="1" x14ac:dyDescent="0.25">
      <c r="A173" s="83">
        <v>155</v>
      </c>
      <c r="B173" s="83"/>
      <c r="C173" s="84"/>
      <c r="D173" s="93"/>
      <c r="E173" s="83"/>
      <c r="F173" s="83"/>
      <c r="G173" s="83"/>
      <c r="H173" s="83"/>
      <c r="I173" s="83"/>
      <c r="J173" s="83"/>
      <c r="K173" s="83"/>
      <c r="L173" s="83"/>
      <c r="M173" s="83"/>
      <c r="N173" s="83"/>
      <c r="O173" s="83"/>
      <c r="P173" s="83"/>
      <c r="Q173" s="83"/>
      <c r="R173" s="83"/>
      <c r="S173" s="83"/>
      <c r="T173" s="83"/>
      <c r="U173" s="83"/>
      <c r="V173" s="110">
        <f t="shared" si="32"/>
        <v>0</v>
      </c>
      <c r="W173" s="110">
        <f t="shared" si="33"/>
        <v>0</v>
      </c>
      <c r="X173" s="110">
        <f t="shared" si="34"/>
        <v>0</v>
      </c>
      <c r="Y173" s="110">
        <f t="shared" si="35"/>
        <v>0</v>
      </c>
      <c r="Z173" s="110">
        <f t="shared" si="36"/>
        <v>0</v>
      </c>
      <c r="AA173" s="110">
        <f t="shared" si="37"/>
        <v>0</v>
      </c>
      <c r="AB173" s="110">
        <f t="shared" si="38"/>
        <v>0</v>
      </c>
      <c r="AC173" s="110">
        <f t="shared" si="39"/>
        <v>0</v>
      </c>
      <c r="AD173" s="110">
        <f t="shared" si="40"/>
        <v>0</v>
      </c>
      <c r="AE173" s="110">
        <f t="shared" si="41"/>
        <v>0</v>
      </c>
      <c r="AF173" s="110">
        <f t="shared" si="42"/>
        <v>0</v>
      </c>
      <c r="AG173" s="110">
        <f t="shared" si="43"/>
        <v>0</v>
      </c>
      <c r="AH173" s="110">
        <f t="shared" si="44"/>
        <v>0</v>
      </c>
      <c r="AI173" s="110">
        <f t="shared" si="45"/>
        <v>0</v>
      </c>
      <c r="AJ173" s="110">
        <f t="shared" si="46"/>
        <v>0</v>
      </c>
    </row>
    <row r="174" spans="1:36" s="85" customFormat="1" ht="52.5" hidden="1" customHeight="1" x14ac:dyDescent="0.25">
      <c r="A174" s="83">
        <v>156</v>
      </c>
      <c r="B174" s="83"/>
      <c r="C174" s="84"/>
      <c r="D174" s="93"/>
      <c r="E174" s="83"/>
      <c r="F174" s="83"/>
      <c r="G174" s="83"/>
      <c r="H174" s="83"/>
      <c r="I174" s="83"/>
      <c r="J174" s="83"/>
      <c r="K174" s="83"/>
      <c r="L174" s="83"/>
      <c r="M174" s="83"/>
      <c r="N174" s="83"/>
      <c r="O174" s="83"/>
      <c r="P174" s="83"/>
      <c r="Q174" s="83"/>
      <c r="R174" s="83"/>
      <c r="S174" s="83"/>
      <c r="T174" s="83"/>
      <c r="U174" s="83"/>
      <c r="V174" s="110">
        <f t="shared" si="32"/>
        <v>0</v>
      </c>
      <c r="W174" s="110">
        <f t="shared" si="33"/>
        <v>0</v>
      </c>
      <c r="X174" s="110">
        <f t="shared" si="34"/>
        <v>0</v>
      </c>
      <c r="Y174" s="110">
        <f t="shared" si="35"/>
        <v>0</v>
      </c>
      <c r="Z174" s="110">
        <f t="shared" si="36"/>
        <v>0</v>
      </c>
      <c r="AA174" s="110">
        <f t="shared" si="37"/>
        <v>0</v>
      </c>
      <c r="AB174" s="110">
        <f t="shared" si="38"/>
        <v>0</v>
      </c>
      <c r="AC174" s="110">
        <f t="shared" si="39"/>
        <v>0</v>
      </c>
      <c r="AD174" s="110">
        <f t="shared" si="40"/>
        <v>0</v>
      </c>
      <c r="AE174" s="110">
        <f t="shared" si="41"/>
        <v>0</v>
      </c>
      <c r="AF174" s="110">
        <f t="shared" si="42"/>
        <v>0</v>
      </c>
      <c r="AG174" s="110">
        <f t="shared" si="43"/>
        <v>0</v>
      </c>
      <c r="AH174" s="110">
        <f t="shared" si="44"/>
        <v>0</v>
      </c>
      <c r="AI174" s="110">
        <f t="shared" si="45"/>
        <v>0</v>
      </c>
      <c r="AJ174" s="110">
        <f t="shared" si="46"/>
        <v>0</v>
      </c>
    </row>
    <row r="175" spans="1:36" s="85" customFormat="1" ht="52.5" hidden="1" customHeight="1" x14ac:dyDescent="0.25">
      <c r="A175" s="83">
        <v>157</v>
      </c>
      <c r="B175" s="83"/>
      <c r="C175" s="84"/>
      <c r="D175" s="93"/>
      <c r="E175" s="83"/>
      <c r="F175" s="83"/>
      <c r="G175" s="83"/>
      <c r="H175" s="83"/>
      <c r="I175" s="83"/>
      <c r="J175" s="83"/>
      <c r="K175" s="83"/>
      <c r="L175" s="83"/>
      <c r="M175" s="83"/>
      <c r="N175" s="83"/>
      <c r="O175" s="83"/>
      <c r="P175" s="83"/>
      <c r="Q175" s="83"/>
      <c r="R175" s="83"/>
      <c r="S175" s="83"/>
      <c r="T175" s="83"/>
      <c r="U175" s="83"/>
      <c r="V175" s="110">
        <f t="shared" si="32"/>
        <v>0</v>
      </c>
      <c r="W175" s="110">
        <f t="shared" si="33"/>
        <v>0</v>
      </c>
      <c r="X175" s="110">
        <f t="shared" si="34"/>
        <v>0</v>
      </c>
      <c r="Y175" s="110">
        <f t="shared" si="35"/>
        <v>0</v>
      </c>
      <c r="Z175" s="110">
        <f t="shared" si="36"/>
        <v>0</v>
      </c>
      <c r="AA175" s="110">
        <f t="shared" si="37"/>
        <v>0</v>
      </c>
      <c r="AB175" s="110">
        <f t="shared" si="38"/>
        <v>0</v>
      </c>
      <c r="AC175" s="110">
        <f t="shared" si="39"/>
        <v>0</v>
      </c>
      <c r="AD175" s="110">
        <f t="shared" si="40"/>
        <v>0</v>
      </c>
      <c r="AE175" s="110">
        <f t="shared" si="41"/>
        <v>0</v>
      </c>
      <c r="AF175" s="110">
        <f t="shared" si="42"/>
        <v>0</v>
      </c>
      <c r="AG175" s="110">
        <f t="shared" si="43"/>
        <v>0</v>
      </c>
      <c r="AH175" s="110">
        <f t="shared" si="44"/>
        <v>0</v>
      </c>
      <c r="AI175" s="110">
        <f t="shared" si="45"/>
        <v>0</v>
      </c>
      <c r="AJ175" s="110">
        <f t="shared" si="46"/>
        <v>0</v>
      </c>
    </row>
    <row r="176" spans="1:36" s="85" customFormat="1" ht="52.5" hidden="1" customHeight="1" x14ac:dyDescent="0.25">
      <c r="A176" s="83">
        <v>158</v>
      </c>
      <c r="B176" s="83"/>
      <c r="C176" s="84"/>
      <c r="D176" s="93"/>
      <c r="E176" s="83"/>
      <c r="F176" s="83"/>
      <c r="G176" s="83"/>
      <c r="H176" s="83"/>
      <c r="I176" s="83"/>
      <c r="J176" s="83"/>
      <c r="K176" s="83"/>
      <c r="L176" s="83"/>
      <c r="M176" s="83"/>
      <c r="N176" s="83"/>
      <c r="O176" s="83"/>
      <c r="P176" s="83"/>
      <c r="Q176" s="83"/>
      <c r="R176" s="83"/>
      <c r="S176" s="83"/>
      <c r="T176" s="83"/>
      <c r="U176" s="83"/>
      <c r="V176" s="110">
        <f t="shared" si="32"/>
        <v>0</v>
      </c>
      <c r="W176" s="110">
        <f t="shared" si="33"/>
        <v>0</v>
      </c>
      <c r="X176" s="110">
        <f t="shared" si="34"/>
        <v>0</v>
      </c>
      <c r="Y176" s="110">
        <f t="shared" si="35"/>
        <v>0</v>
      </c>
      <c r="Z176" s="110">
        <f t="shared" si="36"/>
        <v>0</v>
      </c>
      <c r="AA176" s="110">
        <f t="shared" si="37"/>
        <v>0</v>
      </c>
      <c r="AB176" s="110">
        <f t="shared" si="38"/>
        <v>0</v>
      </c>
      <c r="AC176" s="110">
        <f t="shared" si="39"/>
        <v>0</v>
      </c>
      <c r="AD176" s="110">
        <f t="shared" si="40"/>
        <v>0</v>
      </c>
      <c r="AE176" s="110">
        <f t="shared" si="41"/>
        <v>0</v>
      </c>
      <c r="AF176" s="110">
        <f t="shared" si="42"/>
        <v>0</v>
      </c>
      <c r="AG176" s="110">
        <f t="shared" si="43"/>
        <v>0</v>
      </c>
      <c r="AH176" s="110">
        <f t="shared" si="44"/>
        <v>0</v>
      </c>
      <c r="AI176" s="110">
        <f t="shared" si="45"/>
        <v>0</v>
      </c>
      <c r="AJ176" s="110">
        <f t="shared" si="46"/>
        <v>0</v>
      </c>
    </row>
    <row r="177" spans="1:36" s="85" customFormat="1" ht="52.5" hidden="1" customHeight="1" x14ac:dyDescent="0.25">
      <c r="A177" s="83">
        <v>159</v>
      </c>
      <c r="B177" s="83"/>
      <c r="C177" s="84"/>
      <c r="D177" s="93"/>
      <c r="E177" s="83"/>
      <c r="F177" s="83"/>
      <c r="G177" s="83"/>
      <c r="H177" s="83"/>
      <c r="I177" s="83"/>
      <c r="J177" s="83"/>
      <c r="K177" s="83"/>
      <c r="L177" s="83"/>
      <c r="M177" s="83"/>
      <c r="N177" s="83"/>
      <c r="O177" s="83"/>
      <c r="P177" s="83"/>
      <c r="Q177" s="83"/>
      <c r="R177" s="83"/>
      <c r="S177" s="83"/>
      <c r="T177" s="83"/>
      <c r="U177" s="83"/>
      <c r="V177" s="110">
        <f t="shared" si="32"/>
        <v>0</v>
      </c>
      <c r="W177" s="110">
        <f t="shared" si="33"/>
        <v>0</v>
      </c>
      <c r="X177" s="110">
        <f t="shared" si="34"/>
        <v>0</v>
      </c>
      <c r="Y177" s="110">
        <f t="shared" si="35"/>
        <v>0</v>
      </c>
      <c r="Z177" s="110">
        <f t="shared" si="36"/>
        <v>0</v>
      </c>
      <c r="AA177" s="110">
        <f t="shared" si="37"/>
        <v>0</v>
      </c>
      <c r="AB177" s="110">
        <f t="shared" si="38"/>
        <v>0</v>
      </c>
      <c r="AC177" s="110">
        <f t="shared" si="39"/>
        <v>0</v>
      </c>
      <c r="AD177" s="110">
        <f t="shared" si="40"/>
        <v>0</v>
      </c>
      <c r="AE177" s="110">
        <f t="shared" si="41"/>
        <v>0</v>
      </c>
      <c r="AF177" s="110">
        <f t="shared" si="42"/>
        <v>0</v>
      </c>
      <c r="AG177" s="110">
        <f t="shared" si="43"/>
        <v>0</v>
      </c>
      <c r="AH177" s="110">
        <f t="shared" si="44"/>
        <v>0</v>
      </c>
      <c r="AI177" s="110">
        <f t="shared" si="45"/>
        <v>0</v>
      </c>
      <c r="AJ177" s="110">
        <f t="shared" si="46"/>
        <v>0</v>
      </c>
    </row>
    <row r="178" spans="1:36" s="85" customFormat="1" ht="52.5" hidden="1" customHeight="1" x14ac:dyDescent="0.25">
      <c r="A178" s="83">
        <v>160</v>
      </c>
      <c r="B178" s="83"/>
      <c r="C178" s="84"/>
      <c r="D178" s="93"/>
      <c r="E178" s="83"/>
      <c r="F178" s="83"/>
      <c r="G178" s="83"/>
      <c r="H178" s="83"/>
      <c r="I178" s="83"/>
      <c r="J178" s="83"/>
      <c r="K178" s="83"/>
      <c r="L178" s="83"/>
      <c r="M178" s="83"/>
      <c r="N178" s="83"/>
      <c r="O178" s="83"/>
      <c r="P178" s="83"/>
      <c r="Q178" s="83"/>
      <c r="R178" s="83"/>
      <c r="S178" s="83"/>
      <c r="T178" s="83"/>
      <c r="U178" s="83"/>
      <c r="V178" s="110">
        <f t="shared" si="32"/>
        <v>0</v>
      </c>
      <c r="W178" s="110">
        <f t="shared" si="33"/>
        <v>0</v>
      </c>
      <c r="X178" s="110">
        <f t="shared" si="34"/>
        <v>0</v>
      </c>
      <c r="Y178" s="110">
        <f t="shared" si="35"/>
        <v>0</v>
      </c>
      <c r="Z178" s="110">
        <f t="shared" si="36"/>
        <v>0</v>
      </c>
      <c r="AA178" s="110">
        <f t="shared" si="37"/>
        <v>0</v>
      </c>
      <c r="AB178" s="110">
        <f t="shared" si="38"/>
        <v>0</v>
      </c>
      <c r="AC178" s="110">
        <f t="shared" si="39"/>
        <v>0</v>
      </c>
      <c r="AD178" s="110">
        <f t="shared" si="40"/>
        <v>0</v>
      </c>
      <c r="AE178" s="110">
        <f t="shared" si="41"/>
        <v>0</v>
      </c>
      <c r="AF178" s="110">
        <f t="shared" si="42"/>
        <v>0</v>
      </c>
      <c r="AG178" s="110">
        <f t="shared" si="43"/>
        <v>0</v>
      </c>
      <c r="AH178" s="110">
        <f t="shared" si="44"/>
        <v>0</v>
      </c>
      <c r="AI178" s="110">
        <f t="shared" si="45"/>
        <v>0</v>
      </c>
      <c r="AJ178" s="110">
        <f t="shared" si="46"/>
        <v>0</v>
      </c>
    </row>
    <row r="179" spans="1:36" s="85" customFormat="1" ht="52.5" hidden="1" customHeight="1" x14ac:dyDescent="0.25">
      <c r="A179" s="83">
        <v>161</v>
      </c>
      <c r="B179" s="83"/>
      <c r="C179" s="84"/>
      <c r="D179" s="93"/>
      <c r="E179" s="83"/>
      <c r="F179" s="83"/>
      <c r="G179" s="83"/>
      <c r="H179" s="83"/>
      <c r="I179" s="83"/>
      <c r="J179" s="83"/>
      <c r="K179" s="83"/>
      <c r="L179" s="83"/>
      <c r="M179" s="83"/>
      <c r="N179" s="83"/>
      <c r="O179" s="83"/>
      <c r="P179" s="83"/>
      <c r="Q179" s="83"/>
      <c r="R179" s="83"/>
      <c r="S179" s="83"/>
      <c r="T179" s="83"/>
      <c r="U179" s="83"/>
      <c r="V179" s="110">
        <f t="shared" si="32"/>
        <v>0</v>
      </c>
      <c r="W179" s="110">
        <f t="shared" si="33"/>
        <v>0</v>
      </c>
      <c r="X179" s="110">
        <f t="shared" si="34"/>
        <v>0</v>
      </c>
      <c r="Y179" s="110">
        <f t="shared" si="35"/>
        <v>0</v>
      </c>
      <c r="Z179" s="110">
        <f t="shared" si="36"/>
        <v>0</v>
      </c>
      <c r="AA179" s="110">
        <f t="shared" si="37"/>
        <v>0</v>
      </c>
      <c r="AB179" s="110">
        <f t="shared" si="38"/>
        <v>0</v>
      </c>
      <c r="AC179" s="110">
        <f t="shared" si="39"/>
        <v>0</v>
      </c>
      <c r="AD179" s="110">
        <f t="shared" si="40"/>
        <v>0</v>
      </c>
      <c r="AE179" s="110">
        <f t="shared" si="41"/>
        <v>0</v>
      </c>
      <c r="AF179" s="110">
        <f t="shared" si="42"/>
        <v>0</v>
      </c>
      <c r="AG179" s="110">
        <f t="shared" si="43"/>
        <v>0</v>
      </c>
      <c r="AH179" s="110">
        <f t="shared" si="44"/>
        <v>0</v>
      </c>
      <c r="AI179" s="110">
        <f t="shared" si="45"/>
        <v>0</v>
      </c>
      <c r="AJ179" s="110">
        <f t="shared" si="46"/>
        <v>0</v>
      </c>
    </row>
    <row r="180" spans="1:36" s="85" customFormat="1" ht="52.5" hidden="1" customHeight="1" x14ac:dyDescent="0.25">
      <c r="A180" s="83">
        <v>162</v>
      </c>
      <c r="B180" s="83"/>
      <c r="C180" s="84"/>
      <c r="D180" s="93"/>
      <c r="E180" s="83"/>
      <c r="F180" s="83"/>
      <c r="G180" s="83"/>
      <c r="H180" s="83"/>
      <c r="I180" s="83"/>
      <c r="J180" s="83"/>
      <c r="K180" s="83"/>
      <c r="L180" s="83"/>
      <c r="M180" s="83"/>
      <c r="N180" s="83"/>
      <c r="O180" s="83"/>
      <c r="P180" s="83"/>
      <c r="Q180" s="83"/>
      <c r="R180" s="83"/>
      <c r="S180" s="83"/>
      <c r="T180" s="83"/>
      <c r="U180" s="83"/>
      <c r="V180" s="110">
        <f t="shared" si="32"/>
        <v>0</v>
      </c>
      <c r="W180" s="110">
        <f t="shared" si="33"/>
        <v>0</v>
      </c>
      <c r="X180" s="110">
        <f t="shared" si="34"/>
        <v>0</v>
      </c>
      <c r="Y180" s="110">
        <f t="shared" si="35"/>
        <v>0</v>
      </c>
      <c r="Z180" s="110">
        <f t="shared" si="36"/>
        <v>0</v>
      </c>
      <c r="AA180" s="110">
        <f t="shared" si="37"/>
        <v>0</v>
      </c>
      <c r="AB180" s="110">
        <f t="shared" si="38"/>
        <v>0</v>
      </c>
      <c r="AC180" s="110">
        <f t="shared" si="39"/>
        <v>0</v>
      </c>
      <c r="AD180" s="110">
        <f t="shared" si="40"/>
        <v>0</v>
      </c>
      <c r="AE180" s="110">
        <f t="shared" si="41"/>
        <v>0</v>
      </c>
      <c r="AF180" s="110">
        <f t="shared" si="42"/>
        <v>0</v>
      </c>
      <c r="AG180" s="110">
        <f t="shared" si="43"/>
        <v>0</v>
      </c>
      <c r="AH180" s="110">
        <f t="shared" si="44"/>
        <v>0</v>
      </c>
      <c r="AI180" s="110">
        <f t="shared" si="45"/>
        <v>0</v>
      </c>
      <c r="AJ180" s="110">
        <f t="shared" si="46"/>
        <v>0</v>
      </c>
    </row>
    <row r="181" spans="1:36" s="85" customFormat="1" ht="52.5" hidden="1" customHeight="1" x14ac:dyDescent="0.25">
      <c r="A181" s="83">
        <v>163</v>
      </c>
      <c r="B181" s="83"/>
      <c r="C181" s="84"/>
      <c r="D181" s="93"/>
      <c r="E181" s="83"/>
      <c r="F181" s="83"/>
      <c r="G181" s="83"/>
      <c r="H181" s="83"/>
      <c r="I181" s="83"/>
      <c r="J181" s="83"/>
      <c r="K181" s="83"/>
      <c r="L181" s="83"/>
      <c r="M181" s="83"/>
      <c r="N181" s="83"/>
      <c r="O181" s="83"/>
      <c r="P181" s="83"/>
      <c r="Q181" s="83"/>
      <c r="R181" s="83"/>
      <c r="S181" s="83"/>
      <c r="T181" s="83"/>
      <c r="U181" s="83"/>
      <c r="V181" s="110">
        <f t="shared" si="32"/>
        <v>0</v>
      </c>
      <c r="W181" s="110">
        <f t="shared" si="33"/>
        <v>0</v>
      </c>
      <c r="X181" s="110">
        <f t="shared" si="34"/>
        <v>0</v>
      </c>
      <c r="Y181" s="110">
        <f t="shared" si="35"/>
        <v>0</v>
      </c>
      <c r="Z181" s="110">
        <f t="shared" si="36"/>
        <v>0</v>
      </c>
      <c r="AA181" s="110">
        <f t="shared" si="37"/>
        <v>0</v>
      </c>
      <c r="AB181" s="110">
        <f t="shared" si="38"/>
        <v>0</v>
      </c>
      <c r="AC181" s="110">
        <f t="shared" si="39"/>
        <v>0</v>
      </c>
      <c r="AD181" s="110">
        <f t="shared" si="40"/>
        <v>0</v>
      </c>
      <c r="AE181" s="110">
        <f t="shared" si="41"/>
        <v>0</v>
      </c>
      <c r="AF181" s="110">
        <f t="shared" si="42"/>
        <v>0</v>
      </c>
      <c r="AG181" s="110">
        <f t="shared" si="43"/>
        <v>0</v>
      </c>
      <c r="AH181" s="110">
        <f t="shared" si="44"/>
        <v>0</v>
      </c>
      <c r="AI181" s="110">
        <f t="shared" si="45"/>
        <v>0</v>
      </c>
      <c r="AJ181" s="110">
        <f t="shared" si="46"/>
        <v>0</v>
      </c>
    </row>
    <row r="182" spans="1:36" s="85" customFormat="1" ht="52.5" hidden="1" customHeight="1" x14ac:dyDescent="0.25">
      <c r="A182" s="83">
        <v>164</v>
      </c>
      <c r="B182" s="83"/>
      <c r="C182" s="84"/>
      <c r="D182" s="93"/>
      <c r="E182" s="83"/>
      <c r="F182" s="83"/>
      <c r="G182" s="83"/>
      <c r="H182" s="83"/>
      <c r="I182" s="83"/>
      <c r="J182" s="83"/>
      <c r="K182" s="83"/>
      <c r="L182" s="83"/>
      <c r="M182" s="83"/>
      <c r="N182" s="83"/>
      <c r="O182" s="83"/>
      <c r="P182" s="83"/>
      <c r="Q182" s="83"/>
      <c r="R182" s="83"/>
      <c r="S182" s="83"/>
      <c r="T182" s="83"/>
      <c r="U182" s="83"/>
      <c r="V182" s="110">
        <f t="shared" si="32"/>
        <v>0</v>
      </c>
      <c r="W182" s="110">
        <f t="shared" si="33"/>
        <v>0</v>
      </c>
      <c r="X182" s="110">
        <f t="shared" si="34"/>
        <v>0</v>
      </c>
      <c r="Y182" s="110">
        <f t="shared" si="35"/>
        <v>0</v>
      </c>
      <c r="Z182" s="110">
        <f t="shared" si="36"/>
        <v>0</v>
      </c>
      <c r="AA182" s="110">
        <f t="shared" si="37"/>
        <v>0</v>
      </c>
      <c r="AB182" s="110">
        <f t="shared" si="38"/>
        <v>0</v>
      </c>
      <c r="AC182" s="110">
        <f t="shared" si="39"/>
        <v>0</v>
      </c>
      <c r="AD182" s="110">
        <f t="shared" si="40"/>
        <v>0</v>
      </c>
      <c r="AE182" s="110">
        <f t="shared" si="41"/>
        <v>0</v>
      </c>
      <c r="AF182" s="110">
        <f t="shared" si="42"/>
        <v>0</v>
      </c>
      <c r="AG182" s="110">
        <f t="shared" si="43"/>
        <v>0</v>
      </c>
      <c r="AH182" s="110">
        <f t="shared" si="44"/>
        <v>0</v>
      </c>
      <c r="AI182" s="110">
        <f t="shared" si="45"/>
        <v>0</v>
      </c>
      <c r="AJ182" s="110">
        <f t="shared" si="46"/>
        <v>0</v>
      </c>
    </row>
    <row r="183" spans="1:36" s="85" customFormat="1" ht="52.5" hidden="1" customHeight="1" x14ac:dyDescent="0.25">
      <c r="A183" s="83">
        <v>165</v>
      </c>
      <c r="B183" s="83"/>
      <c r="C183" s="84"/>
      <c r="D183" s="93"/>
      <c r="E183" s="83"/>
      <c r="F183" s="83"/>
      <c r="G183" s="83"/>
      <c r="H183" s="83"/>
      <c r="I183" s="83"/>
      <c r="J183" s="83"/>
      <c r="K183" s="83"/>
      <c r="L183" s="83"/>
      <c r="M183" s="83"/>
      <c r="N183" s="83"/>
      <c r="O183" s="83"/>
      <c r="P183" s="83"/>
      <c r="Q183" s="83"/>
      <c r="R183" s="83"/>
      <c r="S183" s="83"/>
      <c r="T183" s="83"/>
      <c r="U183" s="83"/>
      <c r="V183" s="110">
        <f t="shared" si="32"/>
        <v>0</v>
      </c>
      <c r="W183" s="110">
        <f t="shared" si="33"/>
        <v>0</v>
      </c>
      <c r="X183" s="110">
        <f t="shared" si="34"/>
        <v>0</v>
      </c>
      <c r="Y183" s="110">
        <f t="shared" si="35"/>
        <v>0</v>
      </c>
      <c r="Z183" s="110">
        <f t="shared" si="36"/>
        <v>0</v>
      </c>
      <c r="AA183" s="110">
        <f t="shared" si="37"/>
        <v>0</v>
      </c>
      <c r="AB183" s="110">
        <f t="shared" si="38"/>
        <v>0</v>
      </c>
      <c r="AC183" s="110">
        <f t="shared" si="39"/>
        <v>0</v>
      </c>
      <c r="AD183" s="110">
        <f t="shared" si="40"/>
        <v>0</v>
      </c>
      <c r="AE183" s="110">
        <f t="shared" si="41"/>
        <v>0</v>
      </c>
      <c r="AF183" s="110">
        <f t="shared" si="42"/>
        <v>0</v>
      </c>
      <c r="AG183" s="110">
        <f t="shared" si="43"/>
        <v>0</v>
      </c>
      <c r="AH183" s="110">
        <f t="shared" si="44"/>
        <v>0</v>
      </c>
      <c r="AI183" s="110">
        <f t="shared" si="45"/>
        <v>0</v>
      </c>
      <c r="AJ183" s="110">
        <f t="shared" si="46"/>
        <v>0</v>
      </c>
    </row>
    <row r="184" spans="1:36" s="85" customFormat="1" ht="52.5" hidden="1" customHeight="1" x14ac:dyDescent="0.25">
      <c r="A184" s="83">
        <v>166</v>
      </c>
      <c r="B184" s="83"/>
      <c r="C184" s="84"/>
      <c r="D184" s="93"/>
      <c r="E184" s="83"/>
      <c r="F184" s="83"/>
      <c r="G184" s="83"/>
      <c r="H184" s="83"/>
      <c r="I184" s="83"/>
      <c r="J184" s="83"/>
      <c r="K184" s="83"/>
      <c r="L184" s="83"/>
      <c r="M184" s="83"/>
      <c r="N184" s="83"/>
      <c r="O184" s="83"/>
      <c r="P184" s="83"/>
      <c r="Q184" s="83"/>
      <c r="R184" s="83"/>
      <c r="S184" s="83"/>
      <c r="T184" s="83"/>
      <c r="U184" s="83"/>
      <c r="V184" s="110">
        <f t="shared" si="32"/>
        <v>0</v>
      </c>
      <c r="W184" s="110">
        <f t="shared" si="33"/>
        <v>0</v>
      </c>
      <c r="X184" s="110">
        <f t="shared" si="34"/>
        <v>0</v>
      </c>
      <c r="Y184" s="110">
        <f t="shared" si="35"/>
        <v>0</v>
      </c>
      <c r="Z184" s="110">
        <f t="shared" si="36"/>
        <v>0</v>
      </c>
      <c r="AA184" s="110">
        <f t="shared" si="37"/>
        <v>0</v>
      </c>
      <c r="AB184" s="110">
        <f t="shared" si="38"/>
        <v>0</v>
      </c>
      <c r="AC184" s="110">
        <f t="shared" si="39"/>
        <v>0</v>
      </c>
      <c r="AD184" s="110">
        <f t="shared" si="40"/>
        <v>0</v>
      </c>
      <c r="AE184" s="110">
        <f t="shared" si="41"/>
        <v>0</v>
      </c>
      <c r="AF184" s="110">
        <f t="shared" si="42"/>
        <v>0</v>
      </c>
      <c r="AG184" s="110">
        <f t="shared" si="43"/>
        <v>0</v>
      </c>
      <c r="AH184" s="110">
        <f t="shared" si="44"/>
        <v>0</v>
      </c>
      <c r="AI184" s="110">
        <f t="shared" si="45"/>
        <v>0</v>
      </c>
      <c r="AJ184" s="110">
        <f t="shared" si="46"/>
        <v>0</v>
      </c>
    </row>
    <row r="185" spans="1:36" s="85" customFormat="1" ht="52.5" hidden="1" customHeight="1" x14ac:dyDescent="0.25">
      <c r="A185" s="83">
        <v>167</v>
      </c>
      <c r="B185" s="83"/>
      <c r="C185" s="84"/>
      <c r="D185" s="93"/>
      <c r="E185" s="83"/>
      <c r="F185" s="83"/>
      <c r="G185" s="83"/>
      <c r="H185" s="83"/>
      <c r="I185" s="83"/>
      <c r="J185" s="83"/>
      <c r="K185" s="83"/>
      <c r="L185" s="83"/>
      <c r="M185" s="83"/>
      <c r="N185" s="83"/>
      <c r="O185" s="83"/>
      <c r="P185" s="83"/>
      <c r="Q185" s="83"/>
      <c r="R185" s="83"/>
      <c r="S185" s="83"/>
      <c r="T185" s="83"/>
      <c r="U185" s="83"/>
      <c r="V185" s="110">
        <f t="shared" si="32"/>
        <v>0</v>
      </c>
      <c r="W185" s="110">
        <f t="shared" si="33"/>
        <v>0</v>
      </c>
      <c r="X185" s="110">
        <f t="shared" si="34"/>
        <v>0</v>
      </c>
      <c r="Y185" s="110">
        <f t="shared" si="35"/>
        <v>0</v>
      </c>
      <c r="Z185" s="110">
        <f t="shared" si="36"/>
        <v>0</v>
      </c>
      <c r="AA185" s="110">
        <f t="shared" si="37"/>
        <v>0</v>
      </c>
      <c r="AB185" s="110">
        <f t="shared" si="38"/>
        <v>0</v>
      </c>
      <c r="AC185" s="110">
        <f t="shared" si="39"/>
        <v>0</v>
      </c>
      <c r="AD185" s="110">
        <f t="shared" si="40"/>
        <v>0</v>
      </c>
      <c r="AE185" s="110">
        <f t="shared" si="41"/>
        <v>0</v>
      </c>
      <c r="AF185" s="110">
        <f t="shared" si="42"/>
        <v>0</v>
      </c>
      <c r="AG185" s="110">
        <f t="shared" si="43"/>
        <v>0</v>
      </c>
      <c r="AH185" s="110">
        <f t="shared" si="44"/>
        <v>0</v>
      </c>
      <c r="AI185" s="110">
        <f t="shared" si="45"/>
        <v>0</v>
      </c>
      <c r="AJ185" s="110">
        <f t="shared" si="46"/>
        <v>0</v>
      </c>
    </row>
    <row r="186" spans="1:36" s="85" customFormat="1" ht="52.5" hidden="1" customHeight="1" x14ac:dyDescent="0.25">
      <c r="A186" s="83">
        <v>168</v>
      </c>
      <c r="B186" s="83"/>
      <c r="C186" s="84"/>
      <c r="D186" s="93"/>
      <c r="E186" s="83"/>
      <c r="F186" s="83"/>
      <c r="G186" s="83"/>
      <c r="H186" s="83"/>
      <c r="I186" s="83"/>
      <c r="J186" s="83"/>
      <c r="K186" s="83"/>
      <c r="L186" s="83"/>
      <c r="M186" s="83"/>
      <c r="N186" s="83"/>
      <c r="O186" s="83"/>
      <c r="P186" s="83"/>
      <c r="Q186" s="83"/>
      <c r="R186" s="83"/>
      <c r="S186" s="83"/>
      <c r="T186" s="83"/>
      <c r="U186" s="83"/>
      <c r="V186" s="110">
        <f t="shared" si="32"/>
        <v>0</v>
      </c>
      <c r="W186" s="110">
        <f t="shared" si="33"/>
        <v>0</v>
      </c>
      <c r="X186" s="110">
        <f t="shared" si="34"/>
        <v>0</v>
      </c>
      <c r="Y186" s="110">
        <f t="shared" si="35"/>
        <v>0</v>
      </c>
      <c r="Z186" s="110">
        <f t="shared" si="36"/>
        <v>0</v>
      </c>
      <c r="AA186" s="110">
        <f t="shared" si="37"/>
        <v>0</v>
      </c>
      <c r="AB186" s="110">
        <f t="shared" si="38"/>
        <v>0</v>
      </c>
      <c r="AC186" s="110">
        <f t="shared" si="39"/>
        <v>0</v>
      </c>
      <c r="AD186" s="110">
        <f t="shared" si="40"/>
        <v>0</v>
      </c>
      <c r="AE186" s="110">
        <f t="shared" si="41"/>
        <v>0</v>
      </c>
      <c r="AF186" s="110">
        <f t="shared" si="42"/>
        <v>0</v>
      </c>
      <c r="AG186" s="110">
        <f t="shared" si="43"/>
        <v>0</v>
      </c>
      <c r="AH186" s="110">
        <f t="shared" si="44"/>
        <v>0</v>
      </c>
      <c r="AI186" s="110">
        <f t="shared" si="45"/>
        <v>0</v>
      </c>
      <c r="AJ186" s="110">
        <f t="shared" si="46"/>
        <v>0</v>
      </c>
    </row>
    <row r="187" spans="1:36" s="85" customFormat="1" ht="52.5" hidden="1" customHeight="1" x14ac:dyDescent="0.25">
      <c r="A187" s="83">
        <v>169</v>
      </c>
      <c r="B187" s="83"/>
      <c r="C187" s="84"/>
      <c r="D187" s="93"/>
      <c r="E187" s="83"/>
      <c r="F187" s="83"/>
      <c r="G187" s="83"/>
      <c r="H187" s="83"/>
      <c r="I187" s="83"/>
      <c r="J187" s="83"/>
      <c r="K187" s="83"/>
      <c r="L187" s="83"/>
      <c r="M187" s="83"/>
      <c r="N187" s="83"/>
      <c r="O187" s="83"/>
      <c r="P187" s="83"/>
      <c r="Q187" s="83"/>
      <c r="R187" s="83"/>
      <c r="S187" s="83"/>
      <c r="T187" s="83"/>
      <c r="U187" s="83"/>
      <c r="V187" s="110">
        <f t="shared" si="32"/>
        <v>0</v>
      </c>
      <c r="W187" s="110">
        <f t="shared" si="33"/>
        <v>0</v>
      </c>
      <c r="X187" s="110">
        <f t="shared" si="34"/>
        <v>0</v>
      </c>
      <c r="Y187" s="110">
        <f t="shared" si="35"/>
        <v>0</v>
      </c>
      <c r="Z187" s="110">
        <f t="shared" si="36"/>
        <v>0</v>
      </c>
      <c r="AA187" s="110">
        <f t="shared" si="37"/>
        <v>0</v>
      </c>
      <c r="AB187" s="110">
        <f t="shared" si="38"/>
        <v>0</v>
      </c>
      <c r="AC187" s="110">
        <f t="shared" si="39"/>
        <v>0</v>
      </c>
      <c r="AD187" s="110">
        <f t="shared" si="40"/>
        <v>0</v>
      </c>
      <c r="AE187" s="110">
        <f t="shared" si="41"/>
        <v>0</v>
      </c>
      <c r="AF187" s="110">
        <f t="shared" si="42"/>
        <v>0</v>
      </c>
      <c r="AG187" s="110">
        <f t="shared" si="43"/>
        <v>0</v>
      </c>
      <c r="AH187" s="110">
        <f t="shared" si="44"/>
        <v>0</v>
      </c>
      <c r="AI187" s="110">
        <f t="shared" si="45"/>
        <v>0</v>
      </c>
      <c r="AJ187" s="110">
        <f t="shared" si="46"/>
        <v>0</v>
      </c>
    </row>
    <row r="188" spans="1:36" s="85" customFormat="1" ht="52.5" hidden="1" customHeight="1" x14ac:dyDescent="0.25">
      <c r="A188" s="83">
        <v>170</v>
      </c>
      <c r="B188" s="83"/>
      <c r="C188" s="84"/>
      <c r="D188" s="93"/>
      <c r="E188" s="83"/>
      <c r="F188" s="83"/>
      <c r="G188" s="83"/>
      <c r="H188" s="83"/>
      <c r="I188" s="83"/>
      <c r="J188" s="83"/>
      <c r="K188" s="83"/>
      <c r="L188" s="83"/>
      <c r="M188" s="83"/>
      <c r="N188" s="83"/>
      <c r="O188" s="83"/>
      <c r="P188" s="83"/>
      <c r="Q188" s="83"/>
      <c r="R188" s="83"/>
      <c r="S188" s="83"/>
      <c r="T188" s="83"/>
      <c r="U188" s="83"/>
      <c r="V188" s="110">
        <f t="shared" si="32"/>
        <v>0</v>
      </c>
      <c r="W188" s="110">
        <f t="shared" si="33"/>
        <v>0</v>
      </c>
      <c r="X188" s="110">
        <f t="shared" si="34"/>
        <v>0</v>
      </c>
      <c r="Y188" s="110">
        <f t="shared" si="35"/>
        <v>0</v>
      </c>
      <c r="Z188" s="110">
        <f t="shared" si="36"/>
        <v>0</v>
      </c>
      <c r="AA188" s="110">
        <f t="shared" si="37"/>
        <v>0</v>
      </c>
      <c r="AB188" s="110">
        <f t="shared" si="38"/>
        <v>0</v>
      </c>
      <c r="AC188" s="110">
        <f t="shared" si="39"/>
        <v>0</v>
      </c>
      <c r="AD188" s="110">
        <f t="shared" si="40"/>
        <v>0</v>
      </c>
      <c r="AE188" s="110">
        <f t="shared" si="41"/>
        <v>0</v>
      </c>
      <c r="AF188" s="110">
        <f t="shared" si="42"/>
        <v>0</v>
      </c>
      <c r="AG188" s="110">
        <f t="shared" si="43"/>
        <v>0</v>
      </c>
      <c r="AH188" s="110">
        <f t="shared" si="44"/>
        <v>0</v>
      </c>
      <c r="AI188" s="110">
        <f t="shared" si="45"/>
        <v>0</v>
      </c>
      <c r="AJ188" s="110">
        <f t="shared" si="46"/>
        <v>0</v>
      </c>
    </row>
    <row r="189" spans="1:36" s="85" customFormat="1" ht="52.5" hidden="1" customHeight="1" x14ac:dyDescent="0.25">
      <c r="A189" s="83">
        <v>171</v>
      </c>
      <c r="B189" s="83"/>
      <c r="C189" s="84"/>
      <c r="D189" s="93"/>
      <c r="E189" s="83"/>
      <c r="F189" s="83"/>
      <c r="G189" s="83"/>
      <c r="H189" s="83"/>
      <c r="I189" s="83"/>
      <c r="J189" s="83"/>
      <c r="K189" s="83"/>
      <c r="L189" s="83"/>
      <c r="M189" s="83"/>
      <c r="N189" s="83"/>
      <c r="O189" s="83"/>
      <c r="P189" s="83"/>
      <c r="Q189" s="83"/>
      <c r="R189" s="83"/>
      <c r="S189" s="83"/>
      <c r="T189" s="83"/>
      <c r="U189" s="83"/>
      <c r="V189" s="110">
        <f t="shared" si="32"/>
        <v>0</v>
      </c>
      <c r="W189" s="110">
        <f t="shared" si="33"/>
        <v>0</v>
      </c>
      <c r="X189" s="110">
        <f t="shared" si="34"/>
        <v>0</v>
      </c>
      <c r="Y189" s="110">
        <f t="shared" si="35"/>
        <v>0</v>
      </c>
      <c r="Z189" s="110">
        <f t="shared" si="36"/>
        <v>0</v>
      </c>
      <c r="AA189" s="110">
        <f t="shared" si="37"/>
        <v>0</v>
      </c>
      <c r="AB189" s="110">
        <f t="shared" si="38"/>
        <v>0</v>
      </c>
      <c r="AC189" s="110">
        <f t="shared" si="39"/>
        <v>0</v>
      </c>
      <c r="AD189" s="110">
        <f t="shared" si="40"/>
        <v>0</v>
      </c>
      <c r="AE189" s="110">
        <f t="shared" si="41"/>
        <v>0</v>
      </c>
      <c r="AF189" s="110">
        <f t="shared" si="42"/>
        <v>0</v>
      </c>
      <c r="AG189" s="110">
        <f t="shared" si="43"/>
        <v>0</v>
      </c>
      <c r="AH189" s="110">
        <f t="shared" si="44"/>
        <v>0</v>
      </c>
      <c r="AI189" s="110">
        <f t="shared" si="45"/>
        <v>0</v>
      </c>
      <c r="AJ189" s="110">
        <f t="shared" si="46"/>
        <v>0</v>
      </c>
    </row>
    <row r="190" spans="1:36" s="85" customFormat="1" ht="52.5" hidden="1" customHeight="1" x14ac:dyDescent="0.25">
      <c r="A190" s="83">
        <v>172</v>
      </c>
      <c r="B190" s="83"/>
      <c r="C190" s="84"/>
      <c r="D190" s="93"/>
      <c r="E190" s="83"/>
      <c r="F190" s="83"/>
      <c r="G190" s="83"/>
      <c r="H190" s="83"/>
      <c r="I190" s="83"/>
      <c r="J190" s="83"/>
      <c r="K190" s="83"/>
      <c r="L190" s="83"/>
      <c r="M190" s="83"/>
      <c r="N190" s="83"/>
      <c r="O190" s="83"/>
      <c r="P190" s="83"/>
      <c r="Q190" s="83"/>
      <c r="R190" s="83"/>
      <c r="S190" s="83"/>
      <c r="T190" s="83"/>
      <c r="U190" s="83"/>
      <c r="V190" s="110">
        <f t="shared" si="32"/>
        <v>0</v>
      </c>
      <c r="W190" s="110">
        <f t="shared" si="33"/>
        <v>0</v>
      </c>
      <c r="X190" s="110">
        <f t="shared" si="34"/>
        <v>0</v>
      </c>
      <c r="Y190" s="110">
        <f t="shared" si="35"/>
        <v>0</v>
      </c>
      <c r="Z190" s="110">
        <f t="shared" si="36"/>
        <v>0</v>
      </c>
      <c r="AA190" s="110">
        <f t="shared" si="37"/>
        <v>0</v>
      </c>
      <c r="AB190" s="110">
        <f t="shared" si="38"/>
        <v>0</v>
      </c>
      <c r="AC190" s="110">
        <f t="shared" si="39"/>
        <v>0</v>
      </c>
      <c r="AD190" s="110">
        <f t="shared" si="40"/>
        <v>0</v>
      </c>
      <c r="AE190" s="110">
        <f t="shared" si="41"/>
        <v>0</v>
      </c>
      <c r="AF190" s="110">
        <f t="shared" si="42"/>
        <v>0</v>
      </c>
      <c r="AG190" s="110">
        <f t="shared" si="43"/>
        <v>0</v>
      </c>
      <c r="AH190" s="110">
        <f t="shared" si="44"/>
        <v>0</v>
      </c>
      <c r="AI190" s="110">
        <f t="shared" si="45"/>
        <v>0</v>
      </c>
      <c r="AJ190" s="110">
        <f t="shared" si="46"/>
        <v>0</v>
      </c>
    </row>
    <row r="191" spans="1:36" s="85" customFormat="1" ht="52.5" hidden="1" customHeight="1" x14ac:dyDescent="0.25">
      <c r="A191" s="83">
        <v>173</v>
      </c>
      <c r="B191" s="83"/>
      <c r="C191" s="84"/>
      <c r="D191" s="93"/>
      <c r="E191" s="83"/>
      <c r="F191" s="83"/>
      <c r="G191" s="83"/>
      <c r="H191" s="83"/>
      <c r="I191" s="83"/>
      <c r="J191" s="83"/>
      <c r="K191" s="83"/>
      <c r="L191" s="83"/>
      <c r="M191" s="83"/>
      <c r="N191" s="83"/>
      <c r="O191" s="83"/>
      <c r="P191" s="83"/>
      <c r="Q191" s="83"/>
      <c r="R191" s="83"/>
      <c r="S191" s="83"/>
      <c r="T191" s="83"/>
      <c r="U191" s="83"/>
      <c r="V191" s="110">
        <f t="shared" si="32"/>
        <v>0</v>
      </c>
      <c r="W191" s="110">
        <f t="shared" si="33"/>
        <v>0</v>
      </c>
      <c r="X191" s="110">
        <f t="shared" si="34"/>
        <v>0</v>
      </c>
      <c r="Y191" s="110">
        <f t="shared" si="35"/>
        <v>0</v>
      </c>
      <c r="Z191" s="110">
        <f t="shared" si="36"/>
        <v>0</v>
      </c>
      <c r="AA191" s="110">
        <f t="shared" si="37"/>
        <v>0</v>
      </c>
      <c r="AB191" s="110">
        <f t="shared" si="38"/>
        <v>0</v>
      </c>
      <c r="AC191" s="110">
        <f t="shared" si="39"/>
        <v>0</v>
      </c>
      <c r="AD191" s="110">
        <f t="shared" si="40"/>
        <v>0</v>
      </c>
      <c r="AE191" s="110">
        <f t="shared" si="41"/>
        <v>0</v>
      </c>
      <c r="AF191" s="110">
        <f t="shared" si="42"/>
        <v>0</v>
      </c>
      <c r="AG191" s="110">
        <f t="shared" si="43"/>
        <v>0</v>
      </c>
      <c r="AH191" s="110">
        <f t="shared" si="44"/>
        <v>0</v>
      </c>
      <c r="AI191" s="110">
        <f t="shared" si="45"/>
        <v>0</v>
      </c>
      <c r="AJ191" s="110">
        <f t="shared" si="46"/>
        <v>0</v>
      </c>
    </row>
    <row r="192" spans="1:36" s="85" customFormat="1" ht="52.5" hidden="1" customHeight="1" x14ac:dyDescent="0.25">
      <c r="A192" s="83">
        <v>174</v>
      </c>
      <c r="B192" s="83"/>
      <c r="C192" s="84"/>
      <c r="D192" s="93"/>
      <c r="E192" s="83"/>
      <c r="F192" s="83"/>
      <c r="G192" s="83"/>
      <c r="H192" s="83"/>
      <c r="I192" s="83"/>
      <c r="J192" s="83"/>
      <c r="K192" s="83"/>
      <c r="L192" s="83"/>
      <c r="M192" s="83"/>
      <c r="N192" s="83"/>
      <c r="O192" s="83"/>
      <c r="P192" s="83"/>
      <c r="Q192" s="83"/>
      <c r="R192" s="83"/>
      <c r="S192" s="83"/>
      <c r="T192" s="83"/>
      <c r="U192" s="83"/>
      <c r="V192" s="110">
        <f t="shared" si="32"/>
        <v>0</v>
      </c>
      <c r="W192" s="110">
        <f t="shared" si="33"/>
        <v>0</v>
      </c>
      <c r="X192" s="110">
        <f t="shared" si="34"/>
        <v>0</v>
      </c>
      <c r="Y192" s="110">
        <f t="shared" si="35"/>
        <v>0</v>
      </c>
      <c r="Z192" s="110">
        <f t="shared" si="36"/>
        <v>0</v>
      </c>
      <c r="AA192" s="110">
        <f t="shared" si="37"/>
        <v>0</v>
      </c>
      <c r="AB192" s="110">
        <f t="shared" si="38"/>
        <v>0</v>
      </c>
      <c r="AC192" s="110">
        <f t="shared" si="39"/>
        <v>0</v>
      </c>
      <c r="AD192" s="110">
        <f t="shared" si="40"/>
        <v>0</v>
      </c>
      <c r="AE192" s="110">
        <f t="shared" si="41"/>
        <v>0</v>
      </c>
      <c r="AF192" s="110">
        <f t="shared" si="42"/>
        <v>0</v>
      </c>
      <c r="AG192" s="110">
        <f t="shared" si="43"/>
        <v>0</v>
      </c>
      <c r="AH192" s="110">
        <f t="shared" si="44"/>
        <v>0</v>
      </c>
      <c r="AI192" s="110">
        <f t="shared" si="45"/>
        <v>0</v>
      </c>
      <c r="AJ192" s="110">
        <f t="shared" si="46"/>
        <v>0</v>
      </c>
    </row>
    <row r="193" spans="1:36" s="85" customFormat="1" ht="52.5" hidden="1" customHeight="1" x14ac:dyDescent="0.25">
      <c r="A193" s="83">
        <v>175</v>
      </c>
      <c r="B193" s="83"/>
      <c r="C193" s="84"/>
      <c r="D193" s="93"/>
      <c r="E193" s="83"/>
      <c r="F193" s="83"/>
      <c r="G193" s="83"/>
      <c r="H193" s="83"/>
      <c r="I193" s="83"/>
      <c r="J193" s="83"/>
      <c r="K193" s="83"/>
      <c r="L193" s="83"/>
      <c r="M193" s="83"/>
      <c r="N193" s="83"/>
      <c r="O193" s="83"/>
      <c r="P193" s="83"/>
      <c r="Q193" s="83"/>
      <c r="R193" s="83"/>
      <c r="S193" s="83"/>
      <c r="T193" s="83"/>
      <c r="U193" s="83"/>
      <c r="V193" s="110">
        <f t="shared" si="32"/>
        <v>0</v>
      </c>
      <c r="W193" s="110">
        <f t="shared" si="33"/>
        <v>0</v>
      </c>
      <c r="X193" s="110">
        <f t="shared" si="34"/>
        <v>0</v>
      </c>
      <c r="Y193" s="110">
        <f t="shared" si="35"/>
        <v>0</v>
      </c>
      <c r="Z193" s="110">
        <f t="shared" si="36"/>
        <v>0</v>
      </c>
      <c r="AA193" s="110">
        <f t="shared" si="37"/>
        <v>0</v>
      </c>
      <c r="AB193" s="110">
        <f t="shared" si="38"/>
        <v>0</v>
      </c>
      <c r="AC193" s="110">
        <f t="shared" si="39"/>
        <v>0</v>
      </c>
      <c r="AD193" s="110">
        <f t="shared" si="40"/>
        <v>0</v>
      </c>
      <c r="AE193" s="110">
        <f t="shared" si="41"/>
        <v>0</v>
      </c>
      <c r="AF193" s="110">
        <f t="shared" si="42"/>
        <v>0</v>
      </c>
      <c r="AG193" s="110">
        <f t="shared" si="43"/>
        <v>0</v>
      </c>
      <c r="AH193" s="110">
        <f t="shared" si="44"/>
        <v>0</v>
      </c>
      <c r="AI193" s="110">
        <f t="shared" si="45"/>
        <v>0</v>
      </c>
      <c r="AJ193" s="110">
        <f t="shared" si="46"/>
        <v>0</v>
      </c>
    </row>
    <row r="194" spans="1:36" s="85" customFormat="1" ht="52.5" hidden="1" customHeight="1" x14ac:dyDescent="0.25">
      <c r="A194" s="83">
        <v>176</v>
      </c>
      <c r="B194" s="83"/>
      <c r="C194" s="84"/>
      <c r="D194" s="93"/>
      <c r="E194" s="83"/>
      <c r="F194" s="83"/>
      <c r="G194" s="83"/>
      <c r="H194" s="83"/>
      <c r="I194" s="83"/>
      <c r="J194" s="83"/>
      <c r="K194" s="83"/>
      <c r="L194" s="83"/>
      <c r="M194" s="83"/>
      <c r="N194" s="83"/>
      <c r="O194" s="83"/>
      <c r="P194" s="83"/>
      <c r="Q194" s="83"/>
      <c r="R194" s="83"/>
      <c r="S194" s="83"/>
      <c r="T194" s="83"/>
      <c r="U194" s="83"/>
      <c r="V194" s="110">
        <f t="shared" si="32"/>
        <v>0</v>
      </c>
      <c r="W194" s="110">
        <f t="shared" si="33"/>
        <v>0</v>
      </c>
      <c r="X194" s="110">
        <f t="shared" si="34"/>
        <v>0</v>
      </c>
      <c r="Y194" s="110">
        <f t="shared" si="35"/>
        <v>0</v>
      </c>
      <c r="Z194" s="110">
        <f t="shared" si="36"/>
        <v>0</v>
      </c>
      <c r="AA194" s="110">
        <f t="shared" si="37"/>
        <v>0</v>
      </c>
      <c r="AB194" s="110">
        <f t="shared" si="38"/>
        <v>0</v>
      </c>
      <c r="AC194" s="110">
        <f t="shared" si="39"/>
        <v>0</v>
      </c>
      <c r="AD194" s="110">
        <f t="shared" si="40"/>
        <v>0</v>
      </c>
      <c r="AE194" s="110">
        <f t="shared" si="41"/>
        <v>0</v>
      </c>
      <c r="AF194" s="110">
        <f t="shared" si="42"/>
        <v>0</v>
      </c>
      <c r="AG194" s="110">
        <f t="shared" si="43"/>
        <v>0</v>
      </c>
      <c r="AH194" s="110">
        <f t="shared" si="44"/>
        <v>0</v>
      </c>
      <c r="AI194" s="110">
        <f t="shared" si="45"/>
        <v>0</v>
      </c>
      <c r="AJ194" s="110">
        <f t="shared" si="46"/>
        <v>0</v>
      </c>
    </row>
    <row r="195" spans="1:36" s="85" customFormat="1" ht="52.5" hidden="1" customHeight="1" x14ac:dyDescent="0.25">
      <c r="A195" s="83">
        <v>177</v>
      </c>
      <c r="B195" s="83"/>
      <c r="C195" s="84"/>
      <c r="D195" s="93"/>
      <c r="E195" s="83"/>
      <c r="F195" s="83"/>
      <c r="G195" s="83"/>
      <c r="H195" s="83"/>
      <c r="I195" s="83"/>
      <c r="J195" s="83"/>
      <c r="K195" s="83"/>
      <c r="L195" s="83"/>
      <c r="M195" s="83"/>
      <c r="N195" s="83"/>
      <c r="O195" s="83"/>
      <c r="P195" s="83"/>
      <c r="Q195" s="83"/>
      <c r="R195" s="83"/>
      <c r="S195" s="83"/>
      <c r="T195" s="83"/>
      <c r="U195" s="83"/>
      <c r="V195" s="110">
        <f t="shared" si="32"/>
        <v>0</v>
      </c>
      <c r="W195" s="110">
        <f t="shared" si="33"/>
        <v>0</v>
      </c>
      <c r="X195" s="110">
        <f t="shared" si="34"/>
        <v>0</v>
      </c>
      <c r="Y195" s="110">
        <f t="shared" si="35"/>
        <v>0</v>
      </c>
      <c r="Z195" s="110">
        <f t="shared" si="36"/>
        <v>0</v>
      </c>
      <c r="AA195" s="110">
        <f t="shared" si="37"/>
        <v>0</v>
      </c>
      <c r="AB195" s="110">
        <f t="shared" si="38"/>
        <v>0</v>
      </c>
      <c r="AC195" s="110">
        <f t="shared" si="39"/>
        <v>0</v>
      </c>
      <c r="AD195" s="110">
        <f t="shared" si="40"/>
        <v>0</v>
      </c>
      <c r="AE195" s="110">
        <f t="shared" si="41"/>
        <v>0</v>
      </c>
      <c r="AF195" s="110">
        <f t="shared" si="42"/>
        <v>0</v>
      </c>
      <c r="AG195" s="110">
        <f t="shared" si="43"/>
        <v>0</v>
      </c>
      <c r="AH195" s="110">
        <f t="shared" si="44"/>
        <v>0</v>
      </c>
      <c r="AI195" s="110">
        <f t="shared" si="45"/>
        <v>0</v>
      </c>
      <c r="AJ195" s="110">
        <f t="shared" si="46"/>
        <v>0</v>
      </c>
    </row>
    <row r="196" spans="1:36" s="85" customFormat="1" ht="52.5" hidden="1" customHeight="1" x14ac:dyDescent="0.25">
      <c r="A196" s="83">
        <v>178</v>
      </c>
      <c r="B196" s="83"/>
      <c r="C196" s="84"/>
      <c r="D196" s="93"/>
      <c r="E196" s="83"/>
      <c r="F196" s="83"/>
      <c r="G196" s="83"/>
      <c r="H196" s="83"/>
      <c r="I196" s="83"/>
      <c r="J196" s="83"/>
      <c r="K196" s="83"/>
      <c r="L196" s="83"/>
      <c r="M196" s="83"/>
      <c r="N196" s="83"/>
      <c r="O196" s="83"/>
      <c r="P196" s="83"/>
      <c r="Q196" s="83"/>
      <c r="R196" s="83"/>
      <c r="S196" s="83"/>
      <c r="T196" s="83"/>
      <c r="U196" s="83"/>
      <c r="V196" s="110">
        <f t="shared" si="32"/>
        <v>0</v>
      </c>
      <c r="W196" s="110">
        <f t="shared" si="33"/>
        <v>0</v>
      </c>
      <c r="X196" s="110">
        <f t="shared" si="34"/>
        <v>0</v>
      </c>
      <c r="Y196" s="110">
        <f t="shared" si="35"/>
        <v>0</v>
      </c>
      <c r="Z196" s="110">
        <f t="shared" si="36"/>
        <v>0</v>
      </c>
      <c r="AA196" s="110">
        <f t="shared" si="37"/>
        <v>0</v>
      </c>
      <c r="AB196" s="110">
        <f t="shared" si="38"/>
        <v>0</v>
      </c>
      <c r="AC196" s="110">
        <f t="shared" si="39"/>
        <v>0</v>
      </c>
      <c r="AD196" s="110">
        <f t="shared" si="40"/>
        <v>0</v>
      </c>
      <c r="AE196" s="110">
        <f t="shared" si="41"/>
        <v>0</v>
      </c>
      <c r="AF196" s="110">
        <f t="shared" si="42"/>
        <v>0</v>
      </c>
      <c r="AG196" s="110">
        <f t="shared" si="43"/>
        <v>0</v>
      </c>
      <c r="AH196" s="110">
        <f t="shared" si="44"/>
        <v>0</v>
      </c>
      <c r="AI196" s="110">
        <f t="shared" si="45"/>
        <v>0</v>
      </c>
      <c r="AJ196" s="110">
        <f t="shared" si="46"/>
        <v>0</v>
      </c>
    </row>
    <row r="197" spans="1:36" s="85" customFormat="1" ht="52.5" hidden="1" customHeight="1" x14ac:dyDescent="0.25">
      <c r="A197" s="83">
        <v>179</v>
      </c>
      <c r="B197" s="83"/>
      <c r="C197" s="84"/>
      <c r="D197" s="93"/>
      <c r="E197" s="83"/>
      <c r="F197" s="83"/>
      <c r="G197" s="83"/>
      <c r="H197" s="83"/>
      <c r="I197" s="83"/>
      <c r="J197" s="83"/>
      <c r="K197" s="83"/>
      <c r="L197" s="83"/>
      <c r="M197" s="83"/>
      <c r="N197" s="83"/>
      <c r="O197" s="83"/>
      <c r="P197" s="83"/>
      <c r="Q197" s="83"/>
      <c r="R197" s="83"/>
      <c r="S197" s="83"/>
      <c r="T197" s="83"/>
      <c r="U197" s="83"/>
      <c r="V197" s="110">
        <f t="shared" si="32"/>
        <v>0</v>
      </c>
      <c r="W197" s="110">
        <f t="shared" si="33"/>
        <v>0</v>
      </c>
      <c r="X197" s="110">
        <f t="shared" si="34"/>
        <v>0</v>
      </c>
      <c r="Y197" s="110">
        <f t="shared" si="35"/>
        <v>0</v>
      </c>
      <c r="Z197" s="110">
        <f t="shared" si="36"/>
        <v>0</v>
      </c>
      <c r="AA197" s="110">
        <f t="shared" si="37"/>
        <v>0</v>
      </c>
      <c r="AB197" s="110">
        <f t="shared" si="38"/>
        <v>0</v>
      </c>
      <c r="AC197" s="110">
        <f t="shared" si="39"/>
        <v>0</v>
      </c>
      <c r="AD197" s="110">
        <f t="shared" si="40"/>
        <v>0</v>
      </c>
      <c r="AE197" s="110">
        <f t="shared" si="41"/>
        <v>0</v>
      </c>
      <c r="AF197" s="110">
        <f t="shared" si="42"/>
        <v>0</v>
      </c>
      <c r="AG197" s="110">
        <f t="shared" si="43"/>
        <v>0</v>
      </c>
      <c r="AH197" s="110">
        <f t="shared" si="44"/>
        <v>0</v>
      </c>
      <c r="AI197" s="110">
        <f t="shared" si="45"/>
        <v>0</v>
      </c>
      <c r="AJ197" s="110">
        <f t="shared" si="46"/>
        <v>0</v>
      </c>
    </row>
    <row r="198" spans="1:36" s="85" customFormat="1" ht="52.5" hidden="1" customHeight="1" x14ac:dyDescent="0.25">
      <c r="A198" s="83">
        <v>180</v>
      </c>
      <c r="B198" s="83"/>
      <c r="C198" s="84"/>
      <c r="D198" s="93"/>
      <c r="E198" s="83"/>
      <c r="F198" s="83"/>
      <c r="G198" s="83"/>
      <c r="H198" s="83"/>
      <c r="I198" s="83"/>
      <c r="J198" s="83"/>
      <c r="K198" s="83"/>
      <c r="L198" s="83"/>
      <c r="M198" s="83"/>
      <c r="N198" s="83"/>
      <c r="O198" s="83"/>
      <c r="P198" s="83"/>
      <c r="Q198" s="83"/>
      <c r="R198" s="83"/>
      <c r="S198" s="83"/>
      <c r="T198" s="83"/>
      <c r="U198" s="83"/>
      <c r="V198" s="110">
        <f t="shared" si="32"/>
        <v>0</v>
      </c>
      <c r="W198" s="110">
        <f t="shared" si="33"/>
        <v>0</v>
      </c>
      <c r="X198" s="110">
        <f t="shared" si="34"/>
        <v>0</v>
      </c>
      <c r="Y198" s="110">
        <f t="shared" si="35"/>
        <v>0</v>
      </c>
      <c r="Z198" s="110">
        <f t="shared" si="36"/>
        <v>0</v>
      </c>
      <c r="AA198" s="110">
        <f t="shared" si="37"/>
        <v>0</v>
      </c>
      <c r="AB198" s="110">
        <f t="shared" si="38"/>
        <v>0</v>
      </c>
      <c r="AC198" s="110">
        <f t="shared" si="39"/>
        <v>0</v>
      </c>
      <c r="AD198" s="110">
        <f t="shared" si="40"/>
        <v>0</v>
      </c>
      <c r="AE198" s="110">
        <f t="shared" si="41"/>
        <v>0</v>
      </c>
      <c r="AF198" s="110">
        <f t="shared" si="42"/>
        <v>0</v>
      </c>
      <c r="AG198" s="110">
        <f t="shared" si="43"/>
        <v>0</v>
      </c>
      <c r="AH198" s="110">
        <f t="shared" si="44"/>
        <v>0</v>
      </c>
      <c r="AI198" s="110">
        <f t="shared" si="45"/>
        <v>0</v>
      </c>
      <c r="AJ198" s="110">
        <f t="shared" si="46"/>
        <v>0</v>
      </c>
    </row>
    <row r="199" spans="1:36" s="85" customFormat="1" ht="52.5" hidden="1" customHeight="1" x14ac:dyDescent="0.25">
      <c r="A199" s="83">
        <v>181</v>
      </c>
      <c r="B199" s="83"/>
      <c r="C199" s="84"/>
      <c r="D199" s="93"/>
      <c r="E199" s="83"/>
      <c r="F199" s="83"/>
      <c r="G199" s="83"/>
      <c r="H199" s="83"/>
      <c r="I199" s="83"/>
      <c r="J199" s="83"/>
      <c r="K199" s="83"/>
      <c r="L199" s="83"/>
      <c r="M199" s="83"/>
      <c r="N199" s="83"/>
      <c r="O199" s="83"/>
      <c r="P199" s="83"/>
      <c r="Q199" s="83"/>
      <c r="R199" s="83"/>
      <c r="S199" s="83"/>
      <c r="T199" s="83"/>
      <c r="U199" s="83"/>
      <c r="V199" s="110">
        <f t="shared" si="32"/>
        <v>0</v>
      </c>
      <c r="W199" s="110">
        <f t="shared" si="33"/>
        <v>0</v>
      </c>
      <c r="X199" s="110">
        <f t="shared" si="34"/>
        <v>0</v>
      </c>
      <c r="Y199" s="110">
        <f t="shared" si="35"/>
        <v>0</v>
      </c>
      <c r="Z199" s="110">
        <f t="shared" si="36"/>
        <v>0</v>
      </c>
      <c r="AA199" s="110">
        <f t="shared" si="37"/>
        <v>0</v>
      </c>
      <c r="AB199" s="110">
        <f t="shared" si="38"/>
        <v>0</v>
      </c>
      <c r="AC199" s="110">
        <f t="shared" si="39"/>
        <v>0</v>
      </c>
      <c r="AD199" s="110">
        <f t="shared" si="40"/>
        <v>0</v>
      </c>
      <c r="AE199" s="110">
        <f t="shared" si="41"/>
        <v>0</v>
      </c>
      <c r="AF199" s="110">
        <f t="shared" si="42"/>
        <v>0</v>
      </c>
      <c r="AG199" s="110">
        <f t="shared" si="43"/>
        <v>0</v>
      </c>
      <c r="AH199" s="110">
        <f t="shared" si="44"/>
        <v>0</v>
      </c>
      <c r="AI199" s="110">
        <f t="shared" si="45"/>
        <v>0</v>
      </c>
      <c r="AJ199" s="110">
        <f t="shared" si="46"/>
        <v>0</v>
      </c>
    </row>
    <row r="200" spans="1:36" s="85" customFormat="1" ht="52.5" hidden="1" customHeight="1" x14ac:dyDescent="0.25">
      <c r="A200" s="83">
        <v>182</v>
      </c>
      <c r="B200" s="83"/>
      <c r="C200" s="84"/>
      <c r="D200" s="93"/>
      <c r="E200" s="83"/>
      <c r="F200" s="83"/>
      <c r="G200" s="83"/>
      <c r="H200" s="83"/>
      <c r="I200" s="83"/>
      <c r="J200" s="83"/>
      <c r="K200" s="83"/>
      <c r="L200" s="83"/>
      <c r="M200" s="83"/>
      <c r="N200" s="83"/>
      <c r="O200" s="83"/>
      <c r="P200" s="83"/>
      <c r="Q200" s="83"/>
      <c r="R200" s="83"/>
      <c r="S200" s="83"/>
      <c r="T200" s="83"/>
      <c r="U200" s="83"/>
      <c r="V200" s="110">
        <f t="shared" si="32"/>
        <v>0</v>
      </c>
      <c r="W200" s="110">
        <f t="shared" si="33"/>
        <v>0</v>
      </c>
      <c r="X200" s="110">
        <f t="shared" si="34"/>
        <v>0</v>
      </c>
      <c r="Y200" s="110">
        <f t="shared" si="35"/>
        <v>0</v>
      </c>
      <c r="Z200" s="110">
        <f t="shared" si="36"/>
        <v>0</v>
      </c>
      <c r="AA200" s="110">
        <f t="shared" si="37"/>
        <v>0</v>
      </c>
      <c r="AB200" s="110">
        <f t="shared" si="38"/>
        <v>0</v>
      </c>
      <c r="AC200" s="110">
        <f t="shared" si="39"/>
        <v>0</v>
      </c>
      <c r="AD200" s="110">
        <f t="shared" si="40"/>
        <v>0</v>
      </c>
      <c r="AE200" s="110">
        <f t="shared" si="41"/>
        <v>0</v>
      </c>
      <c r="AF200" s="110">
        <f t="shared" si="42"/>
        <v>0</v>
      </c>
      <c r="AG200" s="110">
        <f t="shared" si="43"/>
        <v>0</v>
      </c>
      <c r="AH200" s="110">
        <f t="shared" si="44"/>
        <v>0</v>
      </c>
      <c r="AI200" s="110">
        <f t="shared" si="45"/>
        <v>0</v>
      </c>
      <c r="AJ200" s="110">
        <f t="shared" si="46"/>
        <v>0</v>
      </c>
    </row>
    <row r="201" spans="1:36" s="85" customFormat="1" ht="52.5" hidden="1" customHeight="1" x14ac:dyDescent="0.25">
      <c r="A201" s="83">
        <v>183</v>
      </c>
      <c r="B201" s="83"/>
      <c r="C201" s="84"/>
      <c r="D201" s="93"/>
      <c r="E201" s="83"/>
      <c r="F201" s="83"/>
      <c r="G201" s="83"/>
      <c r="H201" s="83"/>
      <c r="I201" s="83"/>
      <c r="J201" s="83"/>
      <c r="K201" s="83"/>
      <c r="L201" s="83"/>
      <c r="M201" s="83"/>
      <c r="N201" s="83"/>
      <c r="O201" s="83"/>
      <c r="P201" s="83"/>
      <c r="Q201" s="83"/>
      <c r="R201" s="83"/>
      <c r="S201" s="83"/>
      <c r="T201" s="83"/>
      <c r="U201" s="83"/>
      <c r="V201" s="110">
        <f t="shared" si="32"/>
        <v>0</v>
      </c>
      <c r="W201" s="110">
        <f t="shared" si="33"/>
        <v>0</v>
      </c>
      <c r="X201" s="110">
        <f t="shared" si="34"/>
        <v>0</v>
      </c>
      <c r="Y201" s="110">
        <f t="shared" si="35"/>
        <v>0</v>
      </c>
      <c r="Z201" s="110">
        <f t="shared" si="36"/>
        <v>0</v>
      </c>
      <c r="AA201" s="110">
        <f t="shared" si="37"/>
        <v>0</v>
      </c>
      <c r="AB201" s="110">
        <f t="shared" si="38"/>
        <v>0</v>
      </c>
      <c r="AC201" s="110">
        <f t="shared" si="39"/>
        <v>0</v>
      </c>
      <c r="AD201" s="110">
        <f t="shared" si="40"/>
        <v>0</v>
      </c>
      <c r="AE201" s="110">
        <f t="shared" si="41"/>
        <v>0</v>
      </c>
      <c r="AF201" s="110">
        <f t="shared" si="42"/>
        <v>0</v>
      </c>
      <c r="AG201" s="110">
        <f t="shared" si="43"/>
        <v>0</v>
      </c>
      <c r="AH201" s="110">
        <f t="shared" si="44"/>
        <v>0</v>
      </c>
      <c r="AI201" s="110">
        <f t="shared" si="45"/>
        <v>0</v>
      </c>
      <c r="AJ201" s="110">
        <f t="shared" si="46"/>
        <v>0</v>
      </c>
    </row>
    <row r="202" spans="1:36" s="85" customFormat="1" ht="52.5" hidden="1" customHeight="1" x14ac:dyDescent="0.25">
      <c r="A202" s="83">
        <v>184</v>
      </c>
      <c r="B202" s="83"/>
      <c r="C202" s="84"/>
      <c r="D202" s="93"/>
      <c r="E202" s="83"/>
      <c r="F202" s="83"/>
      <c r="G202" s="83"/>
      <c r="H202" s="83"/>
      <c r="I202" s="83"/>
      <c r="J202" s="83"/>
      <c r="K202" s="83"/>
      <c r="L202" s="83"/>
      <c r="M202" s="83"/>
      <c r="N202" s="83"/>
      <c r="O202" s="83"/>
      <c r="P202" s="83"/>
      <c r="Q202" s="83"/>
      <c r="R202" s="83"/>
      <c r="S202" s="83"/>
      <c r="T202" s="83"/>
      <c r="U202" s="83"/>
      <c r="V202" s="110">
        <f t="shared" si="32"/>
        <v>0</v>
      </c>
      <c r="W202" s="110">
        <f t="shared" si="33"/>
        <v>0</v>
      </c>
      <c r="X202" s="110">
        <f t="shared" si="34"/>
        <v>0</v>
      </c>
      <c r="Y202" s="110">
        <f t="shared" si="35"/>
        <v>0</v>
      </c>
      <c r="Z202" s="110">
        <f t="shared" si="36"/>
        <v>0</v>
      </c>
      <c r="AA202" s="110">
        <f t="shared" si="37"/>
        <v>0</v>
      </c>
      <c r="AB202" s="110">
        <f t="shared" si="38"/>
        <v>0</v>
      </c>
      <c r="AC202" s="110">
        <f t="shared" si="39"/>
        <v>0</v>
      </c>
      <c r="AD202" s="110">
        <f t="shared" si="40"/>
        <v>0</v>
      </c>
      <c r="AE202" s="110">
        <f t="shared" si="41"/>
        <v>0</v>
      </c>
      <c r="AF202" s="110">
        <f t="shared" si="42"/>
        <v>0</v>
      </c>
      <c r="AG202" s="110">
        <f t="shared" si="43"/>
        <v>0</v>
      </c>
      <c r="AH202" s="110">
        <f t="shared" si="44"/>
        <v>0</v>
      </c>
      <c r="AI202" s="110">
        <f t="shared" si="45"/>
        <v>0</v>
      </c>
      <c r="AJ202" s="110">
        <f t="shared" si="46"/>
        <v>0</v>
      </c>
    </row>
    <row r="203" spans="1:36" s="85" customFormat="1" ht="52.5" hidden="1" customHeight="1" x14ac:dyDescent="0.25">
      <c r="A203" s="83">
        <v>185</v>
      </c>
      <c r="B203" s="83"/>
      <c r="C203" s="84"/>
      <c r="D203" s="93"/>
      <c r="E203" s="83"/>
      <c r="F203" s="83"/>
      <c r="G203" s="83"/>
      <c r="H203" s="83"/>
      <c r="I203" s="83"/>
      <c r="J203" s="83"/>
      <c r="K203" s="83"/>
      <c r="L203" s="83"/>
      <c r="M203" s="83"/>
      <c r="N203" s="83"/>
      <c r="O203" s="83"/>
      <c r="P203" s="83"/>
      <c r="Q203" s="83"/>
      <c r="R203" s="83"/>
      <c r="S203" s="83"/>
      <c r="T203" s="83"/>
      <c r="U203" s="83"/>
      <c r="V203" s="110">
        <f t="shared" si="32"/>
        <v>0</v>
      </c>
      <c r="W203" s="110">
        <f t="shared" si="33"/>
        <v>0</v>
      </c>
      <c r="X203" s="110">
        <f t="shared" si="34"/>
        <v>0</v>
      </c>
      <c r="Y203" s="110">
        <f t="shared" si="35"/>
        <v>0</v>
      </c>
      <c r="Z203" s="110">
        <f t="shared" si="36"/>
        <v>0</v>
      </c>
      <c r="AA203" s="110">
        <f t="shared" si="37"/>
        <v>0</v>
      </c>
      <c r="AB203" s="110">
        <f t="shared" si="38"/>
        <v>0</v>
      </c>
      <c r="AC203" s="110">
        <f t="shared" si="39"/>
        <v>0</v>
      </c>
      <c r="AD203" s="110">
        <f t="shared" si="40"/>
        <v>0</v>
      </c>
      <c r="AE203" s="110">
        <f t="shared" si="41"/>
        <v>0</v>
      </c>
      <c r="AF203" s="110">
        <f t="shared" si="42"/>
        <v>0</v>
      </c>
      <c r="AG203" s="110">
        <f t="shared" si="43"/>
        <v>0</v>
      </c>
      <c r="AH203" s="110">
        <f t="shared" si="44"/>
        <v>0</v>
      </c>
      <c r="AI203" s="110">
        <f t="shared" si="45"/>
        <v>0</v>
      </c>
      <c r="AJ203" s="110">
        <f t="shared" si="46"/>
        <v>0</v>
      </c>
    </row>
    <row r="204" spans="1:36" s="85" customFormat="1" ht="52.5" hidden="1" customHeight="1" x14ac:dyDescent="0.25">
      <c r="A204" s="83">
        <v>186</v>
      </c>
      <c r="B204" s="83"/>
      <c r="C204" s="84"/>
      <c r="D204" s="93"/>
      <c r="E204" s="83"/>
      <c r="F204" s="83"/>
      <c r="G204" s="83"/>
      <c r="H204" s="83"/>
      <c r="I204" s="83"/>
      <c r="J204" s="83"/>
      <c r="K204" s="83"/>
      <c r="L204" s="83"/>
      <c r="M204" s="83"/>
      <c r="N204" s="83"/>
      <c r="O204" s="83"/>
      <c r="P204" s="83"/>
      <c r="Q204" s="83"/>
      <c r="R204" s="83"/>
      <c r="S204" s="83"/>
      <c r="T204" s="83"/>
      <c r="U204" s="83"/>
      <c r="V204" s="110">
        <f t="shared" si="32"/>
        <v>0</v>
      </c>
      <c r="W204" s="110">
        <f t="shared" si="33"/>
        <v>0</v>
      </c>
      <c r="X204" s="110">
        <f t="shared" si="34"/>
        <v>0</v>
      </c>
      <c r="Y204" s="110">
        <f t="shared" si="35"/>
        <v>0</v>
      </c>
      <c r="Z204" s="110">
        <f t="shared" si="36"/>
        <v>0</v>
      </c>
      <c r="AA204" s="110">
        <f t="shared" si="37"/>
        <v>0</v>
      </c>
      <c r="AB204" s="110">
        <f t="shared" si="38"/>
        <v>0</v>
      </c>
      <c r="AC204" s="110">
        <f t="shared" si="39"/>
        <v>0</v>
      </c>
      <c r="AD204" s="110">
        <f t="shared" si="40"/>
        <v>0</v>
      </c>
      <c r="AE204" s="110">
        <f t="shared" si="41"/>
        <v>0</v>
      </c>
      <c r="AF204" s="110">
        <f t="shared" si="42"/>
        <v>0</v>
      </c>
      <c r="AG204" s="110">
        <f t="shared" si="43"/>
        <v>0</v>
      </c>
      <c r="AH204" s="110">
        <f t="shared" si="44"/>
        <v>0</v>
      </c>
      <c r="AI204" s="110">
        <f t="shared" si="45"/>
        <v>0</v>
      </c>
      <c r="AJ204" s="110">
        <f t="shared" si="46"/>
        <v>0</v>
      </c>
    </row>
    <row r="205" spans="1:36" s="85" customFormat="1" ht="52.5" hidden="1" customHeight="1" x14ac:dyDescent="0.25">
      <c r="A205" s="83">
        <v>187</v>
      </c>
      <c r="B205" s="83"/>
      <c r="C205" s="84"/>
      <c r="D205" s="93"/>
      <c r="E205" s="83"/>
      <c r="F205" s="83"/>
      <c r="G205" s="83"/>
      <c r="H205" s="83"/>
      <c r="I205" s="83"/>
      <c r="J205" s="83"/>
      <c r="K205" s="83"/>
      <c r="L205" s="83"/>
      <c r="M205" s="83"/>
      <c r="N205" s="83"/>
      <c r="O205" s="83"/>
      <c r="P205" s="83"/>
      <c r="Q205" s="83"/>
      <c r="R205" s="83"/>
      <c r="S205" s="83"/>
      <c r="T205" s="83"/>
      <c r="U205" s="83"/>
      <c r="V205" s="110">
        <f t="shared" si="32"/>
        <v>0</v>
      </c>
      <c r="W205" s="110">
        <f t="shared" si="33"/>
        <v>0</v>
      </c>
      <c r="X205" s="110">
        <f t="shared" si="34"/>
        <v>0</v>
      </c>
      <c r="Y205" s="110">
        <f t="shared" si="35"/>
        <v>0</v>
      </c>
      <c r="Z205" s="110">
        <f t="shared" si="36"/>
        <v>0</v>
      </c>
      <c r="AA205" s="110">
        <f t="shared" si="37"/>
        <v>0</v>
      </c>
      <c r="AB205" s="110">
        <f t="shared" si="38"/>
        <v>0</v>
      </c>
      <c r="AC205" s="110">
        <f t="shared" si="39"/>
        <v>0</v>
      </c>
      <c r="AD205" s="110">
        <f t="shared" si="40"/>
        <v>0</v>
      </c>
      <c r="AE205" s="110">
        <f t="shared" si="41"/>
        <v>0</v>
      </c>
      <c r="AF205" s="110">
        <f t="shared" si="42"/>
        <v>0</v>
      </c>
      <c r="AG205" s="110">
        <f t="shared" si="43"/>
        <v>0</v>
      </c>
      <c r="AH205" s="110">
        <f t="shared" si="44"/>
        <v>0</v>
      </c>
      <c r="AI205" s="110">
        <f t="shared" si="45"/>
        <v>0</v>
      </c>
      <c r="AJ205" s="110">
        <f t="shared" si="46"/>
        <v>0</v>
      </c>
    </row>
    <row r="206" spans="1:36" s="85" customFormat="1" ht="52.5" hidden="1" customHeight="1" x14ac:dyDescent="0.25">
      <c r="A206" s="83">
        <v>188</v>
      </c>
      <c r="B206" s="83"/>
      <c r="C206" s="84"/>
      <c r="D206" s="93"/>
      <c r="E206" s="83"/>
      <c r="F206" s="83"/>
      <c r="G206" s="83"/>
      <c r="H206" s="83"/>
      <c r="I206" s="83"/>
      <c r="J206" s="83"/>
      <c r="K206" s="83"/>
      <c r="L206" s="83"/>
      <c r="M206" s="83"/>
      <c r="N206" s="83"/>
      <c r="O206" s="83"/>
      <c r="P206" s="83"/>
      <c r="Q206" s="83"/>
      <c r="R206" s="83"/>
      <c r="S206" s="83"/>
      <c r="T206" s="83"/>
      <c r="U206" s="83"/>
      <c r="V206" s="110">
        <f t="shared" si="32"/>
        <v>0</v>
      </c>
      <c r="W206" s="110">
        <f t="shared" si="33"/>
        <v>0</v>
      </c>
      <c r="X206" s="110">
        <f t="shared" si="34"/>
        <v>0</v>
      </c>
      <c r="Y206" s="110">
        <f t="shared" si="35"/>
        <v>0</v>
      </c>
      <c r="Z206" s="110">
        <f t="shared" si="36"/>
        <v>0</v>
      </c>
      <c r="AA206" s="110">
        <f t="shared" si="37"/>
        <v>0</v>
      </c>
      <c r="AB206" s="110">
        <f t="shared" si="38"/>
        <v>0</v>
      </c>
      <c r="AC206" s="110">
        <f t="shared" si="39"/>
        <v>0</v>
      </c>
      <c r="AD206" s="110">
        <f t="shared" si="40"/>
        <v>0</v>
      </c>
      <c r="AE206" s="110">
        <f t="shared" si="41"/>
        <v>0</v>
      </c>
      <c r="AF206" s="110">
        <f t="shared" si="42"/>
        <v>0</v>
      </c>
      <c r="AG206" s="110">
        <f t="shared" si="43"/>
        <v>0</v>
      </c>
      <c r="AH206" s="110">
        <f t="shared" si="44"/>
        <v>0</v>
      </c>
      <c r="AI206" s="110">
        <f t="shared" si="45"/>
        <v>0</v>
      </c>
      <c r="AJ206" s="110">
        <f t="shared" si="46"/>
        <v>0</v>
      </c>
    </row>
    <row r="207" spans="1:36" s="85" customFormat="1" ht="52.5" hidden="1" customHeight="1" x14ac:dyDescent="0.25">
      <c r="A207" s="83">
        <v>189</v>
      </c>
      <c r="B207" s="83"/>
      <c r="C207" s="84"/>
      <c r="D207" s="93"/>
      <c r="E207" s="83"/>
      <c r="F207" s="83"/>
      <c r="G207" s="83"/>
      <c r="H207" s="83"/>
      <c r="I207" s="83"/>
      <c r="J207" s="83"/>
      <c r="K207" s="83"/>
      <c r="L207" s="83"/>
      <c r="M207" s="83"/>
      <c r="N207" s="83"/>
      <c r="O207" s="83"/>
      <c r="P207" s="83"/>
      <c r="Q207" s="83"/>
      <c r="R207" s="83"/>
      <c r="S207" s="83"/>
      <c r="T207" s="83"/>
      <c r="U207" s="83"/>
      <c r="V207" s="110">
        <f t="shared" si="32"/>
        <v>0</v>
      </c>
      <c r="W207" s="110">
        <f t="shared" si="33"/>
        <v>0</v>
      </c>
      <c r="X207" s="110">
        <f t="shared" si="34"/>
        <v>0</v>
      </c>
      <c r="Y207" s="110">
        <f t="shared" si="35"/>
        <v>0</v>
      </c>
      <c r="Z207" s="110">
        <f t="shared" si="36"/>
        <v>0</v>
      </c>
      <c r="AA207" s="110">
        <f t="shared" si="37"/>
        <v>0</v>
      </c>
      <c r="AB207" s="110">
        <f t="shared" si="38"/>
        <v>0</v>
      </c>
      <c r="AC207" s="110">
        <f t="shared" si="39"/>
        <v>0</v>
      </c>
      <c r="AD207" s="110">
        <f t="shared" si="40"/>
        <v>0</v>
      </c>
      <c r="AE207" s="110">
        <f t="shared" si="41"/>
        <v>0</v>
      </c>
      <c r="AF207" s="110">
        <f t="shared" si="42"/>
        <v>0</v>
      </c>
      <c r="AG207" s="110">
        <f t="shared" si="43"/>
        <v>0</v>
      </c>
      <c r="AH207" s="110">
        <f t="shared" si="44"/>
        <v>0</v>
      </c>
      <c r="AI207" s="110">
        <f t="shared" si="45"/>
        <v>0</v>
      </c>
      <c r="AJ207" s="110">
        <f t="shared" si="46"/>
        <v>0</v>
      </c>
    </row>
    <row r="208" spans="1:36" s="85" customFormat="1" ht="52.5" hidden="1" customHeight="1" x14ac:dyDescent="0.25">
      <c r="A208" s="83">
        <v>190</v>
      </c>
      <c r="B208" s="83"/>
      <c r="C208" s="84"/>
      <c r="D208" s="93"/>
      <c r="E208" s="83"/>
      <c r="F208" s="83"/>
      <c r="G208" s="83"/>
      <c r="H208" s="83"/>
      <c r="I208" s="83"/>
      <c r="J208" s="83"/>
      <c r="K208" s="83"/>
      <c r="L208" s="83"/>
      <c r="M208" s="83"/>
      <c r="N208" s="83"/>
      <c r="O208" s="83"/>
      <c r="P208" s="83"/>
      <c r="Q208" s="83"/>
      <c r="R208" s="83"/>
      <c r="S208" s="83"/>
      <c r="T208" s="83"/>
      <c r="U208" s="83"/>
      <c r="V208" s="110">
        <f t="shared" si="32"/>
        <v>0</v>
      </c>
      <c r="W208" s="110">
        <f t="shared" si="33"/>
        <v>0</v>
      </c>
      <c r="X208" s="110">
        <f t="shared" si="34"/>
        <v>0</v>
      </c>
      <c r="Y208" s="110">
        <f t="shared" si="35"/>
        <v>0</v>
      </c>
      <c r="Z208" s="110">
        <f t="shared" si="36"/>
        <v>0</v>
      </c>
      <c r="AA208" s="110">
        <f t="shared" si="37"/>
        <v>0</v>
      </c>
      <c r="AB208" s="110">
        <f t="shared" si="38"/>
        <v>0</v>
      </c>
      <c r="AC208" s="110">
        <f t="shared" si="39"/>
        <v>0</v>
      </c>
      <c r="AD208" s="110">
        <f t="shared" si="40"/>
        <v>0</v>
      </c>
      <c r="AE208" s="110">
        <f t="shared" si="41"/>
        <v>0</v>
      </c>
      <c r="AF208" s="110">
        <f t="shared" si="42"/>
        <v>0</v>
      </c>
      <c r="AG208" s="110">
        <f t="shared" si="43"/>
        <v>0</v>
      </c>
      <c r="AH208" s="110">
        <f t="shared" si="44"/>
        <v>0</v>
      </c>
      <c r="AI208" s="110">
        <f t="shared" si="45"/>
        <v>0</v>
      </c>
      <c r="AJ208" s="110">
        <f t="shared" si="46"/>
        <v>0</v>
      </c>
    </row>
    <row r="209" spans="1:36" s="85" customFormat="1" ht="52.5" hidden="1" customHeight="1" x14ac:dyDescent="0.25">
      <c r="A209" s="83">
        <v>191</v>
      </c>
      <c r="B209" s="83"/>
      <c r="C209" s="84"/>
      <c r="D209" s="93"/>
      <c r="E209" s="83"/>
      <c r="F209" s="83"/>
      <c r="G209" s="83"/>
      <c r="H209" s="83"/>
      <c r="I209" s="83"/>
      <c r="J209" s="83"/>
      <c r="K209" s="83"/>
      <c r="L209" s="83"/>
      <c r="M209" s="83"/>
      <c r="N209" s="83"/>
      <c r="O209" s="83"/>
      <c r="P209" s="83"/>
      <c r="Q209" s="83"/>
      <c r="R209" s="83"/>
      <c r="S209" s="83"/>
      <c r="T209" s="83"/>
      <c r="U209" s="83"/>
      <c r="V209" s="110">
        <f t="shared" si="32"/>
        <v>0</v>
      </c>
      <c r="W209" s="110">
        <f t="shared" si="33"/>
        <v>0</v>
      </c>
      <c r="X209" s="110">
        <f t="shared" si="34"/>
        <v>0</v>
      </c>
      <c r="Y209" s="110">
        <f t="shared" si="35"/>
        <v>0</v>
      </c>
      <c r="Z209" s="110">
        <f t="shared" si="36"/>
        <v>0</v>
      </c>
      <c r="AA209" s="110">
        <f t="shared" si="37"/>
        <v>0</v>
      </c>
      <c r="AB209" s="110">
        <f t="shared" si="38"/>
        <v>0</v>
      </c>
      <c r="AC209" s="110">
        <f t="shared" si="39"/>
        <v>0</v>
      </c>
      <c r="AD209" s="110">
        <f t="shared" si="40"/>
        <v>0</v>
      </c>
      <c r="AE209" s="110">
        <f t="shared" si="41"/>
        <v>0</v>
      </c>
      <c r="AF209" s="110">
        <f t="shared" si="42"/>
        <v>0</v>
      </c>
      <c r="AG209" s="110">
        <f t="shared" si="43"/>
        <v>0</v>
      </c>
      <c r="AH209" s="110">
        <f t="shared" si="44"/>
        <v>0</v>
      </c>
      <c r="AI209" s="110">
        <f t="shared" si="45"/>
        <v>0</v>
      </c>
      <c r="AJ209" s="110">
        <f t="shared" si="46"/>
        <v>0</v>
      </c>
    </row>
    <row r="210" spans="1:36" s="85" customFormat="1" ht="52.5" hidden="1" customHeight="1" x14ac:dyDescent="0.25">
      <c r="A210" s="83">
        <v>192</v>
      </c>
      <c r="B210" s="83"/>
      <c r="C210" s="84"/>
      <c r="D210" s="93"/>
      <c r="E210" s="83"/>
      <c r="F210" s="83"/>
      <c r="G210" s="83"/>
      <c r="H210" s="83"/>
      <c r="I210" s="83"/>
      <c r="J210" s="83"/>
      <c r="K210" s="83"/>
      <c r="L210" s="83"/>
      <c r="M210" s="83"/>
      <c r="N210" s="83"/>
      <c r="O210" s="83"/>
      <c r="P210" s="83"/>
      <c r="Q210" s="83"/>
      <c r="R210" s="83"/>
      <c r="S210" s="83"/>
      <c r="T210" s="83"/>
      <c r="U210" s="83"/>
      <c r="V210" s="110">
        <f t="shared" si="32"/>
        <v>0</v>
      </c>
      <c r="W210" s="110">
        <f t="shared" si="33"/>
        <v>0</v>
      </c>
      <c r="X210" s="110">
        <f t="shared" si="34"/>
        <v>0</v>
      </c>
      <c r="Y210" s="110">
        <f t="shared" si="35"/>
        <v>0</v>
      </c>
      <c r="Z210" s="110">
        <f t="shared" si="36"/>
        <v>0</v>
      </c>
      <c r="AA210" s="110">
        <f t="shared" si="37"/>
        <v>0</v>
      </c>
      <c r="AB210" s="110">
        <f t="shared" si="38"/>
        <v>0</v>
      </c>
      <c r="AC210" s="110">
        <f t="shared" si="39"/>
        <v>0</v>
      </c>
      <c r="AD210" s="110">
        <f t="shared" si="40"/>
        <v>0</v>
      </c>
      <c r="AE210" s="110">
        <f t="shared" si="41"/>
        <v>0</v>
      </c>
      <c r="AF210" s="110">
        <f t="shared" si="42"/>
        <v>0</v>
      </c>
      <c r="AG210" s="110">
        <f t="shared" si="43"/>
        <v>0</v>
      </c>
      <c r="AH210" s="110">
        <f t="shared" si="44"/>
        <v>0</v>
      </c>
      <c r="AI210" s="110">
        <f t="shared" si="45"/>
        <v>0</v>
      </c>
      <c r="AJ210" s="110">
        <f t="shared" si="46"/>
        <v>0</v>
      </c>
    </row>
    <row r="211" spans="1:36" s="85" customFormat="1" ht="52.5" hidden="1" customHeight="1" x14ac:dyDescent="0.25">
      <c r="A211" s="83">
        <v>193</v>
      </c>
      <c r="B211" s="83"/>
      <c r="C211" s="84"/>
      <c r="D211" s="93"/>
      <c r="E211" s="83"/>
      <c r="F211" s="83"/>
      <c r="G211" s="83"/>
      <c r="H211" s="83"/>
      <c r="I211" s="83"/>
      <c r="J211" s="83"/>
      <c r="K211" s="83"/>
      <c r="L211" s="83"/>
      <c r="M211" s="83"/>
      <c r="N211" s="83"/>
      <c r="O211" s="83"/>
      <c r="P211" s="83"/>
      <c r="Q211" s="83"/>
      <c r="R211" s="83"/>
      <c r="S211" s="83"/>
      <c r="T211" s="83"/>
      <c r="U211" s="83"/>
      <c r="V211" s="110">
        <f t="shared" ref="V211:V274" si="47">((((E211*2.5)+(J211*10)+O211+P211)/(400))*100)</f>
        <v>0</v>
      </c>
      <c r="W211" s="110">
        <f t="shared" ref="W211:W274" si="48">((((F211*2.5)+(K211*10)+O211+P211)/(400))*100)</f>
        <v>0</v>
      </c>
      <c r="X211" s="110">
        <f t="shared" ref="X211:X274" si="49">((((G211*2.5)+(L211*10)+O211+P211)/(400))*100)</f>
        <v>0</v>
      </c>
      <c r="Y211" s="110">
        <f t="shared" ref="Y211:Y274" si="50">((((H211*2.5)+(M211*10)+O211+P211)/(400))*100)</f>
        <v>0</v>
      </c>
      <c r="Z211" s="110">
        <f t="shared" ref="Z211:Z274" si="51">((((I211*2.5)+(N211*10)+O211+P211)/(400))*100)</f>
        <v>0</v>
      </c>
      <c r="AA211" s="110">
        <f t="shared" si="37"/>
        <v>0</v>
      </c>
      <c r="AB211" s="110">
        <f t="shared" si="38"/>
        <v>0</v>
      </c>
      <c r="AC211" s="110">
        <f t="shared" si="39"/>
        <v>0</v>
      </c>
      <c r="AD211" s="110">
        <f t="shared" si="40"/>
        <v>0</v>
      </c>
      <c r="AE211" s="110">
        <f t="shared" si="41"/>
        <v>0</v>
      </c>
      <c r="AF211" s="110">
        <f t="shared" si="42"/>
        <v>0</v>
      </c>
      <c r="AG211" s="110">
        <f t="shared" si="43"/>
        <v>0</v>
      </c>
      <c r="AH211" s="110">
        <f t="shared" si="44"/>
        <v>0</v>
      </c>
      <c r="AI211" s="110">
        <f t="shared" si="45"/>
        <v>0</v>
      </c>
      <c r="AJ211" s="110">
        <f t="shared" si="46"/>
        <v>0</v>
      </c>
    </row>
    <row r="212" spans="1:36" s="85" customFormat="1" ht="52.5" hidden="1" customHeight="1" x14ac:dyDescent="0.25">
      <c r="A212" s="83">
        <v>194</v>
      </c>
      <c r="B212" s="83"/>
      <c r="C212" s="84"/>
      <c r="D212" s="93"/>
      <c r="E212" s="83"/>
      <c r="F212" s="83"/>
      <c r="G212" s="83"/>
      <c r="H212" s="83"/>
      <c r="I212" s="83"/>
      <c r="J212" s="83"/>
      <c r="K212" s="83"/>
      <c r="L212" s="83"/>
      <c r="M212" s="83"/>
      <c r="N212" s="83"/>
      <c r="O212" s="83"/>
      <c r="P212" s="83"/>
      <c r="Q212" s="83"/>
      <c r="R212" s="83"/>
      <c r="S212" s="83"/>
      <c r="T212" s="83"/>
      <c r="U212" s="83"/>
      <c r="V212" s="110">
        <f t="shared" si="47"/>
        <v>0</v>
      </c>
      <c r="W212" s="110">
        <f t="shared" si="48"/>
        <v>0</v>
      </c>
      <c r="X212" s="110">
        <f t="shared" si="49"/>
        <v>0</v>
      </c>
      <c r="Y212" s="110">
        <f t="shared" si="50"/>
        <v>0</v>
      </c>
      <c r="Z212" s="110">
        <f t="shared" si="51"/>
        <v>0</v>
      </c>
      <c r="AA212" s="110">
        <f t="shared" ref="AA212:AA275" si="52">(Q212/20)*100</f>
        <v>0</v>
      </c>
      <c r="AB212" s="110">
        <f t="shared" ref="AB212:AB275" si="53">(R212/20)*100</f>
        <v>0</v>
      </c>
      <c r="AC212" s="110">
        <f t="shared" ref="AC212:AC275" si="54">(S212/20)*100</f>
        <v>0</v>
      </c>
      <c r="AD212" s="110">
        <f t="shared" ref="AD212:AD275" si="55">(T212/20)*100</f>
        <v>0</v>
      </c>
      <c r="AE212" s="110">
        <f t="shared" ref="AE212:AE275" si="56">(U212/20)*100</f>
        <v>0</v>
      </c>
      <c r="AF212" s="110">
        <f t="shared" ref="AF212:AF275" si="57">(V212*0.4+AA212*0.6)</f>
        <v>0</v>
      </c>
      <c r="AG212" s="110">
        <f t="shared" ref="AG212:AG275" si="58">(W212*0.4+AB212*0.6)</f>
        <v>0</v>
      </c>
      <c r="AH212" s="110">
        <f t="shared" ref="AH212:AH275" si="59">(X212*0.4+AC212*0.6)</f>
        <v>0</v>
      </c>
      <c r="AI212" s="110">
        <f t="shared" ref="AI212:AI275" si="60">(Y212*0.4+AD212*0.6)</f>
        <v>0</v>
      </c>
      <c r="AJ212" s="110">
        <f t="shared" ref="AJ212:AJ275" si="61">(Z212*0.4+AE212*0.6)</f>
        <v>0</v>
      </c>
    </row>
    <row r="213" spans="1:36" s="85" customFormat="1" ht="52.5" hidden="1" customHeight="1" x14ac:dyDescent="0.25">
      <c r="A213" s="83">
        <v>195</v>
      </c>
      <c r="B213" s="83"/>
      <c r="C213" s="84"/>
      <c r="D213" s="93"/>
      <c r="E213" s="83"/>
      <c r="F213" s="83"/>
      <c r="G213" s="83"/>
      <c r="H213" s="83"/>
      <c r="I213" s="83"/>
      <c r="J213" s="83"/>
      <c r="K213" s="83"/>
      <c r="L213" s="83"/>
      <c r="M213" s="83"/>
      <c r="N213" s="83"/>
      <c r="O213" s="83"/>
      <c r="P213" s="83"/>
      <c r="Q213" s="83"/>
      <c r="R213" s="83"/>
      <c r="S213" s="83"/>
      <c r="T213" s="83"/>
      <c r="U213" s="83"/>
      <c r="V213" s="110">
        <f t="shared" si="47"/>
        <v>0</v>
      </c>
      <c r="W213" s="110">
        <f t="shared" si="48"/>
        <v>0</v>
      </c>
      <c r="X213" s="110">
        <f t="shared" si="49"/>
        <v>0</v>
      </c>
      <c r="Y213" s="110">
        <f t="shared" si="50"/>
        <v>0</v>
      </c>
      <c r="Z213" s="110">
        <f t="shared" si="51"/>
        <v>0</v>
      </c>
      <c r="AA213" s="110">
        <f t="shared" si="52"/>
        <v>0</v>
      </c>
      <c r="AB213" s="110">
        <f t="shared" si="53"/>
        <v>0</v>
      </c>
      <c r="AC213" s="110">
        <f t="shared" si="54"/>
        <v>0</v>
      </c>
      <c r="AD213" s="110">
        <f t="shared" si="55"/>
        <v>0</v>
      </c>
      <c r="AE213" s="110">
        <f t="shared" si="56"/>
        <v>0</v>
      </c>
      <c r="AF213" s="110">
        <f t="shared" si="57"/>
        <v>0</v>
      </c>
      <c r="AG213" s="110">
        <f t="shared" si="58"/>
        <v>0</v>
      </c>
      <c r="AH213" s="110">
        <f t="shared" si="59"/>
        <v>0</v>
      </c>
      <c r="AI213" s="110">
        <f t="shared" si="60"/>
        <v>0</v>
      </c>
      <c r="AJ213" s="110">
        <f t="shared" si="61"/>
        <v>0</v>
      </c>
    </row>
    <row r="214" spans="1:36" s="85" customFormat="1" ht="52.5" hidden="1" customHeight="1" x14ac:dyDescent="0.25">
      <c r="A214" s="83">
        <v>196</v>
      </c>
      <c r="B214" s="83"/>
      <c r="C214" s="84"/>
      <c r="D214" s="93"/>
      <c r="E214" s="83"/>
      <c r="F214" s="83"/>
      <c r="G214" s="83"/>
      <c r="H214" s="83"/>
      <c r="I214" s="83"/>
      <c r="J214" s="83"/>
      <c r="K214" s="83"/>
      <c r="L214" s="83"/>
      <c r="M214" s="83"/>
      <c r="N214" s="83"/>
      <c r="O214" s="83"/>
      <c r="P214" s="83"/>
      <c r="Q214" s="83"/>
      <c r="R214" s="83"/>
      <c r="S214" s="83"/>
      <c r="T214" s="83"/>
      <c r="U214" s="83"/>
      <c r="V214" s="110">
        <f t="shared" si="47"/>
        <v>0</v>
      </c>
      <c r="W214" s="110">
        <f t="shared" si="48"/>
        <v>0</v>
      </c>
      <c r="X214" s="110">
        <f t="shared" si="49"/>
        <v>0</v>
      </c>
      <c r="Y214" s="110">
        <f t="shared" si="50"/>
        <v>0</v>
      </c>
      <c r="Z214" s="110">
        <f t="shared" si="51"/>
        <v>0</v>
      </c>
      <c r="AA214" s="110">
        <f t="shared" si="52"/>
        <v>0</v>
      </c>
      <c r="AB214" s="110">
        <f t="shared" si="53"/>
        <v>0</v>
      </c>
      <c r="AC214" s="110">
        <f t="shared" si="54"/>
        <v>0</v>
      </c>
      <c r="AD214" s="110">
        <f t="shared" si="55"/>
        <v>0</v>
      </c>
      <c r="AE214" s="110">
        <f t="shared" si="56"/>
        <v>0</v>
      </c>
      <c r="AF214" s="110">
        <f t="shared" si="57"/>
        <v>0</v>
      </c>
      <c r="AG214" s="110">
        <f t="shared" si="58"/>
        <v>0</v>
      </c>
      <c r="AH214" s="110">
        <f t="shared" si="59"/>
        <v>0</v>
      </c>
      <c r="AI214" s="110">
        <f t="shared" si="60"/>
        <v>0</v>
      </c>
      <c r="AJ214" s="110">
        <f t="shared" si="61"/>
        <v>0</v>
      </c>
    </row>
    <row r="215" spans="1:36" s="85" customFormat="1" ht="52.5" hidden="1" customHeight="1" x14ac:dyDescent="0.25">
      <c r="A215" s="83">
        <v>197</v>
      </c>
      <c r="B215" s="83"/>
      <c r="C215" s="84"/>
      <c r="D215" s="93"/>
      <c r="E215" s="83"/>
      <c r="F215" s="83"/>
      <c r="G215" s="83"/>
      <c r="H215" s="83"/>
      <c r="I215" s="83"/>
      <c r="J215" s="83"/>
      <c r="K215" s="83"/>
      <c r="L215" s="83"/>
      <c r="M215" s="83"/>
      <c r="N215" s="83"/>
      <c r="O215" s="83"/>
      <c r="P215" s="83"/>
      <c r="Q215" s="83"/>
      <c r="R215" s="83"/>
      <c r="S215" s="83"/>
      <c r="T215" s="83"/>
      <c r="U215" s="83"/>
      <c r="V215" s="110">
        <f t="shared" si="47"/>
        <v>0</v>
      </c>
      <c r="W215" s="110">
        <f t="shared" si="48"/>
        <v>0</v>
      </c>
      <c r="X215" s="110">
        <f t="shared" si="49"/>
        <v>0</v>
      </c>
      <c r="Y215" s="110">
        <f t="shared" si="50"/>
        <v>0</v>
      </c>
      <c r="Z215" s="110">
        <f t="shared" si="51"/>
        <v>0</v>
      </c>
      <c r="AA215" s="110">
        <f t="shared" si="52"/>
        <v>0</v>
      </c>
      <c r="AB215" s="110">
        <f t="shared" si="53"/>
        <v>0</v>
      </c>
      <c r="AC215" s="110">
        <f t="shared" si="54"/>
        <v>0</v>
      </c>
      <c r="AD215" s="110">
        <f t="shared" si="55"/>
        <v>0</v>
      </c>
      <c r="AE215" s="110">
        <f t="shared" si="56"/>
        <v>0</v>
      </c>
      <c r="AF215" s="110">
        <f t="shared" si="57"/>
        <v>0</v>
      </c>
      <c r="AG215" s="110">
        <f t="shared" si="58"/>
        <v>0</v>
      </c>
      <c r="AH215" s="110">
        <f t="shared" si="59"/>
        <v>0</v>
      </c>
      <c r="AI215" s="110">
        <f t="shared" si="60"/>
        <v>0</v>
      </c>
      <c r="AJ215" s="110">
        <f t="shared" si="61"/>
        <v>0</v>
      </c>
    </row>
    <row r="216" spans="1:36" s="85" customFormat="1" ht="52.5" hidden="1" customHeight="1" x14ac:dyDescent="0.25">
      <c r="A216" s="83">
        <v>198</v>
      </c>
      <c r="B216" s="83"/>
      <c r="C216" s="84"/>
      <c r="D216" s="93"/>
      <c r="E216" s="83"/>
      <c r="F216" s="83"/>
      <c r="G216" s="83"/>
      <c r="H216" s="83"/>
      <c r="I216" s="83"/>
      <c r="J216" s="83"/>
      <c r="K216" s="83"/>
      <c r="L216" s="83"/>
      <c r="M216" s="83"/>
      <c r="N216" s="83"/>
      <c r="O216" s="83"/>
      <c r="P216" s="83"/>
      <c r="Q216" s="83"/>
      <c r="R216" s="83"/>
      <c r="S216" s="83"/>
      <c r="T216" s="83"/>
      <c r="U216" s="83"/>
      <c r="V216" s="110">
        <f t="shared" si="47"/>
        <v>0</v>
      </c>
      <c r="W216" s="110">
        <f t="shared" si="48"/>
        <v>0</v>
      </c>
      <c r="X216" s="110">
        <f t="shared" si="49"/>
        <v>0</v>
      </c>
      <c r="Y216" s="110">
        <f t="shared" si="50"/>
        <v>0</v>
      </c>
      <c r="Z216" s="110">
        <f t="shared" si="51"/>
        <v>0</v>
      </c>
      <c r="AA216" s="110">
        <f t="shared" si="52"/>
        <v>0</v>
      </c>
      <c r="AB216" s="110">
        <f t="shared" si="53"/>
        <v>0</v>
      </c>
      <c r="AC216" s="110">
        <f t="shared" si="54"/>
        <v>0</v>
      </c>
      <c r="AD216" s="110">
        <f t="shared" si="55"/>
        <v>0</v>
      </c>
      <c r="AE216" s="110">
        <f t="shared" si="56"/>
        <v>0</v>
      </c>
      <c r="AF216" s="110">
        <f t="shared" si="57"/>
        <v>0</v>
      </c>
      <c r="AG216" s="110">
        <f t="shared" si="58"/>
        <v>0</v>
      </c>
      <c r="AH216" s="110">
        <f t="shared" si="59"/>
        <v>0</v>
      </c>
      <c r="AI216" s="110">
        <f t="shared" si="60"/>
        <v>0</v>
      </c>
      <c r="AJ216" s="110">
        <f t="shared" si="61"/>
        <v>0</v>
      </c>
    </row>
    <row r="217" spans="1:36" s="85" customFormat="1" ht="52.5" hidden="1" customHeight="1" x14ac:dyDescent="0.25">
      <c r="A217" s="83">
        <v>199</v>
      </c>
      <c r="B217" s="83"/>
      <c r="C217" s="84"/>
      <c r="D217" s="93"/>
      <c r="E217" s="83"/>
      <c r="F217" s="83"/>
      <c r="G217" s="83"/>
      <c r="H217" s="83"/>
      <c r="I217" s="83"/>
      <c r="J217" s="83"/>
      <c r="K217" s="83"/>
      <c r="L217" s="83"/>
      <c r="M217" s="83"/>
      <c r="N217" s="83"/>
      <c r="O217" s="83"/>
      <c r="P217" s="83"/>
      <c r="Q217" s="83"/>
      <c r="R217" s="83"/>
      <c r="S217" s="83"/>
      <c r="T217" s="83"/>
      <c r="U217" s="83"/>
      <c r="V217" s="110">
        <f t="shared" si="47"/>
        <v>0</v>
      </c>
      <c r="W217" s="110">
        <f t="shared" si="48"/>
        <v>0</v>
      </c>
      <c r="X217" s="110">
        <f t="shared" si="49"/>
        <v>0</v>
      </c>
      <c r="Y217" s="110">
        <f t="shared" si="50"/>
        <v>0</v>
      </c>
      <c r="Z217" s="110">
        <f t="shared" si="51"/>
        <v>0</v>
      </c>
      <c r="AA217" s="110">
        <f t="shared" si="52"/>
        <v>0</v>
      </c>
      <c r="AB217" s="110">
        <f t="shared" si="53"/>
        <v>0</v>
      </c>
      <c r="AC217" s="110">
        <f t="shared" si="54"/>
        <v>0</v>
      </c>
      <c r="AD217" s="110">
        <f t="shared" si="55"/>
        <v>0</v>
      </c>
      <c r="AE217" s="110">
        <f t="shared" si="56"/>
        <v>0</v>
      </c>
      <c r="AF217" s="110">
        <f t="shared" si="57"/>
        <v>0</v>
      </c>
      <c r="AG217" s="110">
        <f t="shared" si="58"/>
        <v>0</v>
      </c>
      <c r="AH217" s="110">
        <f t="shared" si="59"/>
        <v>0</v>
      </c>
      <c r="AI217" s="110">
        <f t="shared" si="60"/>
        <v>0</v>
      </c>
      <c r="AJ217" s="110">
        <f t="shared" si="61"/>
        <v>0</v>
      </c>
    </row>
    <row r="218" spans="1:36" s="85" customFormat="1" ht="52.5" hidden="1" customHeight="1" x14ac:dyDescent="0.25">
      <c r="A218" s="83">
        <v>200</v>
      </c>
      <c r="B218" s="83"/>
      <c r="C218" s="84"/>
      <c r="D218" s="93"/>
      <c r="E218" s="83"/>
      <c r="F218" s="83"/>
      <c r="G218" s="83"/>
      <c r="H218" s="83"/>
      <c r="I218" s="83"/>
      <c r="J218" s="83"/>
      <c r="K218" s="83"/>
      <c r="L218" s="83"/>
      <c r="M218" s="83"/>
      <c r="N218" s="83"/>
      <c r="O218" s="83"/>
      <c r="P218" s="83"/>
      <c r="Q218" s="83"/>
      <c r="R218" s="83"/>
      <c r="S218" s="83"/>
      <c r="T218" s="83"/>
      <c r="U218" s="83"/>
      <c r="V218" s="110">
        <f t="shared" si="47"/>
        <v>0</v>
      </c>
      <c r="W218" s="110">
        <f t="shared" si="48"/>
        <v>0</v>
      </c>
      <c r="X218" s="110">
        <f t="shared" si="49"/>
        <v>0</v>
      </c>
      <c r="Y218" s="110">
        <f t="shared" si="50"/>
        <v>0</v>
      </c>
      <c r="Z218" s="110">
        <f t="shared" si="51"/>
        <v>0</v>
      </c>
      <c r="AA218" s="110">
        <f t="shared" si="52"/>
        <v>0</v>
      </c>
      <c r="AB218" s="110">
        <f t="shared" si="53"/>
        <v>0</v>
      </c>
      <c r="AC218" s="110">
        <f t="shared" si="54"/>
        <v>0</v>
      </c>
      <c r="AD218" s="110">
        <f t="shared" si="55"/>
        <v>0</v>
      </c>
      <c r="AE218" s="110">
        <f t="shared" si="56"/>
        <v>0</v>
      </c>
      <c r="AF218" s="110">
        <f t="shared" si="57"/>
        <v>0</v>
      </c>
      <c r="AG218" s="110">
        <f t="shared" si="58"/>
        <v>0</v>
      </c>
      <c r="AH218" s="110">
        <f t="shared" si="59"/>
        <v>0</v>
      </c>
      <c r="AI218" s="110">
        <f t="shared" si="60"/>
        <v>0</v>
      </c>
      <c r="AJ218" s="110">
        <f t="shared" si="61"/>
        <v>0</v>
      </c>
    </row>
    <row r="219" spans="1:36" s="85" customFormat="1" ht="52.5" hidden="1" customHeight="1" x14ac:dyDescent="0.25">
      <c r="A219" s="83">
        <v>201</v>
      </c>
      <c r="B219" s="83"/>
      <c r="C219" s="84"/>
      <c r="D219" s="93"/>
      <c r="E219" s="83"/>
      <c r="F219" s="83"/>
      <c r="G219" s="83"/>
      <c r="H219" s="83"/>
      <c r="I219" s="83"/>
      <c r="J219" s="83"/>
      <c r="K219" s="83"/>
      <c r="L219" s="83"/>
      <c r="M219" s="83"/>
      <c r="N219" s="83"/>
      <c r="O219" s="83"/>
      <c r="P219" s="83"/>
      <c r="Q219" s="83"/>
      <c r="R219" s="83"/>
      <c r="S219" s="83"/>
      <c r="T219" s="83"/>
      <c r="U219" s="83"/>
      <c r="V219" s="110">
        <f t="shared" si="47"/>
        <v>0</v>
      </c>
      <c r="W219" s="110">
        <f t="shared" si="48"/>
        <v>0</v>
      </c>
      <c r="X219" s="110">
        <f t="shared" si="49"/>
        <v>0</v>
      </c>
      <c r="Y219" s="110">
        <f t="shared" si="50"/>
        <v>0</v>
      </c>
      <c r="Z219" s="110">
        <f t="shared" si="51"/>
        <v>0</v>
      </c>
      <c r="AA219" s="110">
        <f t="shared" si="52"/>
        <v>0</v>
      </c>
      <c r="AB219" s="110">
        <f t="shared" si="53"/>
        <v>0</v>
      </c>
      <c r="AC219" s="110">
        <f t="shared" si="54"/>
        <v>0</v>
      </c>
      <c r="AD219" s="110">
        <f t="shared" si="55"/>
        <v>0</v>
      </c>
      <c r="AE219" s="110">
        <f t="shared" si="56"/>
        <v>0</v>
      </c>
      <c r="AF219" s="110">
        <f t="shared" si="57"/>
        <v>0</v>
      </c>
      <c r="AG219" s="110">
        <f t="shared" si="58"/>
        <v>0</v>
      </c>
      <c r="AH219" s="110">
        <f t="shared" si="59"/>
        <v>0</v>
      </c>
      <c r="AI219" s="110">
        <f t="shared" si="60"/>
        <v>0</v>
      </c>
      <c r="AJ219" s="110">
        <f t="shared" si="61"/>
        <v>0</v>
      </c>
    </row>
    <row r="220" spans="1:36" s="85" customFormat="1" ht="52.5" hidden="1" customHeight="1" x14ac:dyDescent="0.25">
      <c r="A220" s="83">
        <v>202</v>
      </c>
      <c r="B220" s="83"/>
      <c r="C220" s="84"/>
      <c r="D220" s="93"/>
      <c r="E220" s="83"/>
      <c r="F220" s="83"/>
      <c r="G220" s="83"/>
      <c r="H220" s="83"/>
      <c r="I220" s="83"/>
      <c r="J220" s="83"/>
      <c r="K220" s="83"/>
      <c r="L220" s="83"/>
      <c r="M220" s="83"/>
      <c r="N220" s="83"/>
      <c r="O220" s="83"/>
      <c r="P220" s="83"/>
      <c r="Q220" s="83"/>
      <c r="R220" s="83"/>
      <c r="S220" s="83"/>
      <c r="T220" s="83"/>
      <c r="U220" s="83"/>
      <c r="V220" s="110">
        <f t="shared" si="47"/>
        <v>0</v>
      </c>
      <c r="W220" s="110">
        <f t="shared" si="48"/>
        <v>0</v>
      </c>
      <c r="X220" s="110">
        <f t="shared" si="49"/>
        <v>0</v>
      </c>
      <c r="Y220" s="110">
        <f t="shared" si="50"/>
        <v>0</v>
      </c>
      <c r="Z220" s="110">
        <f t="shared" si="51"/>
        <v>0</v>
      </c>
      <c r="AA220" s="110">
        <f t="shared" si="52"/>
        <v>0</v>
      </c>
      <c r="AB220" s="110">
        <f t="shared" si="53"/>
        <v>0</v>
      </c>
      <c r="AC220" s="110">
        <f t="shared" si="54"/>
        <v>0</v>
      </c>
      <c r="AD220" s="110">
        <f t="shared" si="55"/>
        <v>0</v>
      </c>
      <c r="AE220" s="110">
        <f t="shared" si="56"/>
        <v>0</v>
      </c>
      <c r="AF220" s="110">
        <f t="shared" si="57"/>
        <v>0</v>
      </c>
      <c r="AG220" s="110">
        <f t="shared" si="58"/>
        <v>0</v>
      </c>
      <c r="AH220" s="110">
        <f t="shared" si="59"/>
        <v>0</v>
      </c>
      <c r="AI220" s="110">
        <f t="shared" si="60"/>
        <v>0</v>
      </c>
      <c r="AJ220" s="110">
        <f t="shared" si="61"/>
        <v>0</v>
      </c>
    </row>
    <row r="221" spans="1:36" s="85" customFormat="1" ht="52.5" hidden="1" customHeight="1" x14ac:dyDescent="0.25">
      <c r="A221" s="83">
        <v>203</v>
      </c>
      <c r="B221" s="83"/>
      <c r="C221" s="84"/>
      <c r="D221" s="93"/>
      <c r="E221" s="83"/>
      <c r="F221" s="83"/>
      <c r="G221" s="83"/>
      <c r="H221" s="83"/>
      <c r="I221" s="83"/>
      <c r="J221" s="83"/>
      <c r="K221" s="83"/>
      <c r="L221" s="83"/>
      <c r="M221" s="83"/>
      <c r="N221" s="83"/>
      <c r="O221" s="83"/>
      <c r="P221" s="83"/>
      <c r="Q221" s="83"/>
      <c r="R221" s="83"/>
      <c r="S221" s="83"/>
      <c r="T221" s="83"/>
      <c r="U221" s="83"/>
      <c r="V221" s="110">
        <f t="shared" si="47"/>
        <v>0</v>
      </c>
      <c r="W221" s="110">
        <f t="shared" si="48"/>
        <v>0</v>
      </c>
      <c r="X221" s="110">
        <f t="shared" si="49"/>
        <v>0</v>
      </c>
      <c r="Y221" s="110">
        <f t="shared" si="50"/>
        <v>0</v>
      </c>
      <c r="Z221" s="110">
        <f t="shared" si="51"/>
        <v>0</v>
      </c>
      <c r="AA221" s="110">
        <f t="shared" si="52"/>
        <v>0</v>
      </c>
      <c r="AB221" s="110">
        <f t="shared" si="53"/>
        <v>0</v>
      </c>
      <c r="AC221" s="110">
        <f t="shared" si="54"/>
        <v>0</v>
      </c>
      <c r="AD221" s="110">
        <f t="shared" si="55"/>
        <v>0</v>
      </c>
      <c r="AE221" s="110">
        <f t="shared" si="56"/>
        <v>0</v>
      </c>
      <c r="AF221" s="110">
        <f t="shared" si="57"/>
        <v>0</v>
      </c>
      <c r="AG221" s="110">
        <f t="shared" si="58"/>
        <v>0</v>
      </c>
      <c r="AH221" s="110">
        <f t="shared" si="59"/>
        <v>0</v>
      </c>
      <c r="AI221" s="110">
        <f t="shared" si="60"/>
        <v>0</v>
      </c>
      <c r="AJ221" s="110">
        <f t="shared" si="61"/>
        <v>0</v>
      </c>
    </row>
    <row r="222" spans="1:36" s="85" customFormat="1" ht="52.5" hidden="1" customHeight="1" x14ac:dyDescent="0.25">
      <c r="A222" s="83">
        <v>204</v>
      </c>
      <c r="B222" s="83"/>
      <c r="C222" s="84"/>
      <c r="D222" s="93"/>
      <c r="E222" s="83"/>
      <c r="F222" s="83"/>
      <c r="G222" s="83"/>
      <c r="H222" s="83"/>
      <c r="I222" s="83"/>
      <c r="J222" s="83"/>
      <c r="K222" s="83"/>
      <c r="L222" s="83"/>
      <c r="M222" s="83"/>
      <c r="N222" s="83"/>
      <c r="O222" s="83"/>
      <c r="P222" s="83"/>
      <c r="Q222" s="83"/>
      <c r="R222" s="83"/>
      <c r="S222" s="83"/>
      <c r="T222" s="83"/>
      <c r="U222" s="83"/>
      <c r="V222" s="110">
        <f t="shared" si="47"/>
        <v>0</v>
      </c>
      <c r="W222" s="110">
        <f t="shared" si="48"/>
        <v>0</v>
      </c>
      <c r="X222" s="110">
        <f t="shared" si="49"/>
        <v>0</v>
      </c>
      <c r="Y222" s="110">
        <f t="shared" si="50"/>
        <v>0</v>
      </c>
      <c r="Z222" s="110">
        <f t="shared" si="51"/>
        <v>0</v>
      </c>
      <c r="AA222" s="110">
        <f t="shared" si="52"/>
        <v>0</v>
      </c>
      <c r="AB222" s="110">
        <f t="shared" si="53"/>
        <v>0</v>
      </c>
      <c r="AC222" s="110">
        <f t="shared" si="54"/>
        <v>0</v>
      </c>
      <c r="AD222" s="110">
        <f t="shared" si="55"/>
        <v>0</v>
      </c>
      <c r="AE222" s="110">
        <f t="shared" si="56"/>
        <v>0</v>
      </c>
      <c r="AF222" s="110">
        <f t="shared" si="57"/>
        <v>0</v>
      </c>
      <c r="AG222" s="110">
        <f t="shared" si="58"/>
        <v>0</v>
      </c>
      <c r="AH222" s="110">
        <f t="shared" si="59"/>
        <v>0</v>
      </c>
      <c r="AI222" s="110">
        <f t="shared" si="60"/>
        <v>0</v>
      </c>
      <c r="AJ222" s="110">
        <f t="shared" si="61"/>
        <v>0</v>
      </c>
    </row>
    <row r="223" spans="1:36" s="85" customFormat="1" ht="52.5" hidden="1" customHeight="1" x14ac:dyDescent="0.25">
      <c r="A223" s="83">
        <v>205</v>
      </c>
      <c r="B223" s="83"/>
      <c r="C223" s="84"/>
      <c r="D223" s="93"/>
      <c r="E223" s="83"/>
      <c r="F223" s="83"/>
      <c r="G223" s="83"/>
      <c r="H223" s="83"/>
      <c r="I223" s="83"/>
      <c r="J223" s="83"/>
      <c r="K223" s="83"/>
      <c r="L223" s="83"/>
      <c r="M223" s="83"/>
      <c r="N223" s="83"/>
      <c r="O223" s="83"/>
      <c r="P223" s="83"/>
      <c r="Q223" s="83"/>
      <c r="R223" s="83"/>
      <c r="S223" s="83"/>
      <c r="T223" s="83"/>
      <c r="U223" s="83"/>
      <c r="V223" s="110">
        <f t="shared" si="47"/>
        <v>0</v>
      </c>
      <c r="W223" s="110">
        <f t="shared" si="48"/>
        <v>0</v>
      </c>
      <c r="X223" s="110">
        <f t="shared" si="49"/>
        <v>0</v>
      </c>
      <c r="Y223" s="110">
        <f t="shared" si="50"/>
        <v>0</v>
      </c>
      <c r="Z223" s="110">
        <f t="shared" si="51"/>
        <v>0</v>
      </c>
      <c r="AA223" s="110">
        <f t="shared" si="52"/>
        <v>0</v>
      </c>
      <c r="AB223" s="110">
        <f t="shared" si="53"/>
        <v>0</v>
      </c>
      <c r="AC223" s="110">
        <f t="shared" si="54"/>
        <v>0</v>
      </c>
      <c r="AD223" s="110">
        <f t="shared" si="55"/>
        <v>0</v>
      </c>
      <c r="AE223" s="110">
        <f t="shared" si="56"/>
        <v>0</v>
      </c>
      <c r="AF223" s="110">
        <f t="shared" si="57"/>
        <v>0</v>
      </c>
      <c r="AG223" s="110">
        <f t="shared" si="58"/>
        <v>0</v>
      </c>
      <c r="AH223" s="110">
        <f t="shared" si="59"/>
        <v>0</v>
      </c>
      <c r="AI223" s="110">
        <f t="shared" si="60"/>
        <v>0</v>
      </c>
      <c r="AJ223" s="110">
        <f t="shared" si="61"/>
        <v>0</v>
      </c>
    </row>
    <row r="224" spans="1:36" s="85" customFormat="1" ht="52.5" hidden="1" customHeight="1" x14ac:dyDescent="0.25">
      <c r="A224" s="83">
        <v>206</v>
      </c>
      <c r="B224" s="83"/>
      <c r="C224" s="84"/>
      <c r="D224" s="93"/>
      <c r="E224" s="83"/>
      <c r="F224" s="83"/>
      <c r="G224" s="83"/>
      <c r="H224" s="83"/>
      <c r="I224" s="83"/>
      <c r="J224" s="83"/>
      <c r="K224" s="83"/>
      <c r="L224" s="83"/>
      <c r="M224" s="83"/>
      <c r="N224" s="83"/>
      <c r="O224" s="83"/>
      <c r="P224" s="83"/>
      <c r="Q224" s="83"/>
      <c r="R224" s="83"/>
      <c r="S224" s="83"/>
      <c r="T224" s="83"/>
      <c r="U224" s="83"/>
      <c r="V224" s="110">
        <f t="shared" si="47"/>
        <v>0</v>
      </c>
      <c r="W224" s="110">
        <f t="shared" si="48"/>
        <v>0</v>
      </c>
      <c r="X224" s="110">
        <f t="shared" si="49"/>
        <v>0</v>
      </c>
      <c r="Y224" s="110">
        <f t="shared" si="50"/>
        <v>0</v>
      </c>
      <c r="Z224" s="110">
        <f t="shared" si="51"/>
        <v>0</v>
      </c>
      <c r="AA224" s="110">
        <f t="shared" si="52"/>
        <v>0</v>
      </c>
      <c r="AB224" s="110">
        <f t="shared" si="53"/>
        <v>0</v>
      </c>
      <c r="AC224" s="110">
        <f t="shared" si="54"/>
        <v>0</v>
      </c>
      <c r="AD224" s="110">
        <f t="shared" si="55"/>
        <v>0</v>
      </c>
      <c r="AE224" s="110">
        <f t="shared" si="56"/>
        <v>0</v>
      </c>
      <c r="AF224" s="110">
        <f t="shared" si="57"/>
        <v>0</v>
      </c>
      <c r="AG224" s="110">
        <f t="shared" si="58"/>
        <v>0</v>
      </c>
      <c r="AH224" s="110">
        <f t="shared" si="59"/>
        <v>0</v>
      </c>
      <c r="AI224" s="110">
        <f t="shared" si="60"/>
        <v>0</v>
      </c>
      <c r="AJ224" s="110">
        <f t="shared" si="61"/>
        <v>0</v>
      </c>
    </row>
    <row r="225" spans="1:36" s="85" customFormat="1" ht="52.5" hidden="1" customHeight="1" x14ac:dyDescent="0.25">
      <c r="A225" s="83">
        <v>207</v>
      </c>
      <c r="B225" s="83"/>
      <c r="C225" s="84"/>
      <c r="D225" s="93"/>
      <c r="E225" s="83"/>
      <c r="F225" s="83"/>
      <c r="G225" s="83"/>
      <c r="H225" s="83"/>
      <c r="I225" s="83"/>
      <c r="J225" s="83"/>
      <c r="K225" s="83"/>
      <c r="L225" s="83"/>
      <c r="M225" s="83"/>
      <c r="N225" s="83"/>
      <c r="O225" s="83"/>
      <c r="P225" s="83"/>
      <c r="Q225" s="83"/>
      <c r="R225" s="83"/>
      <c r="S225" s="83"/>
      <c r="T225" s="83"/>
      <c r="U225" s="83"/>
      <c r="V225" s="110">
        <f t="shared" si="47"/>
        <v>0</v>
      </c>
      <c r="W225" s="110">
        <f t="shared" si="48"/>
        <v>0</v>
      </c>
      <c r="X225" s="110">
        <f t="shared" si="49"/>
        <v>0</v>
      </c>
      <c r="Y225" s="110">
        <f t="shared" si="50"/>
        <v>0</v>
      </c>
      <c r="Z225" s="110">
        <f t="shared" si="51"/>
        <v>0</v>
      </c>
      <c r="AA225" s="110">
        <f t="shared" si="52"/>
        <v>0</v>
      </c>
      <c r="AB225" s="110">
        <f t="shared" si="53"/>
        <v>0</v>
      </c>
      <c r="AC225" s="110">
        <f t="shared" si="54"/>
        <v>0</v>
      </c>
      <c r="AD225" s="110">
        <f t="shared" si="55"/>
        <v>0</v>
      </c>
      <c r="AE225" s="110">
        <f t="shared" si="56"/>
        <v>0</v>
      </c>
      <c r="AF225" s="110">
        <f t="shared" si="57"/>
        <v>0</v>
      </c>
      <c r="AG225" s="110">
        <f t="shared" si="58"/>
        <v>0</v>
      </c>
      <c r="AH225" s="110">
        <f t="shared" si="59"/>
        <v>0</v>
      </c>
      <c r="AI225" s="110">
        <f t="shared" si="60"/>
        <v>0</v>
      </c>
      <c r="AJ225" s="110">
        <f t="shared" si="61"/>
        <v>0</v>
      </c>
    </row>
    <row r="226" spans="1:36" s="85" customFormat="1" ht="52.5" hidden="1" customHeight="1" x14ac:dyDescent="0.25">
      <c r="A226" s="83">
        <v>208</v>
      </c>
      <c r="B226" s="83"/>
      <c r="C226" s="84"/>
      <c r="D226" s="93"/>
      <c r="E226" s="83"/>
      <c r="F226" s="83"/>
      <c r="G226" s="83"/>
      <c r="H226" s="83"/>
      <c r="I226" s="83"/>
      <c r="J226" s="83"/>
      <c r="K226" s="83"/>
      <c r="L226" s="83"/>
      <c r="M226" s="83"/>
      <c r="N226" s="83"/>
      <c r="O226" s="83"/>
      <c r="P226" s="83"/>
      <c r="Q226" s="83"/>
      <c r="R226" s="83"/>
      <c r="S226" s="83"/>
      <c r="T226" s="83"/>
      <c r="U226" s="83"/>
      <c r="V226" s="110">
        <f t="shared" si="47"/>
        <v>0</v>
      </c>
      <c r="W226" s="110">
        <f t="shared" si="48"/>
        <v>0</v>
      </c>
      <c r="X226" s="110">
        <f t="shared" si="49"/>
        <v>0</v>
      </c>
      <c r="Y226" s="110">
        <f t="shared" si="50"/>
        <v>0</v>
      </c>
      <c r="Z226" s="110">
        <f t="shared" si="51"/>
        <v>0</v>
      </c>
      <c r="AA226" s="110">
        <f t="shared" si="52"/>
        <v>0</v>
      </c>
      <c r="AB226" s="110">
        <f t="shared" si="53"/>
        <v>0</v>
      </c>
      <c r="AC226" s="110">
        <f t="shared" si="54"/>
        <v>0</v>
      </c>
      <c r="AD226" s="110">
        <f t="shared" si="55"/>
        <v>0</v>
      </c>
      <c r="AE226" s="110">
        <f t="shared" si="56"/>
        <v>0</v>
      </c>
      <c r="AF226" s="110">
        <f t="shared" si="57"/>
        <v>0</v>
      </c>
      <c r="AG226" s="110">
        <f t="shared" si="58"/>
        <v>0</v>
      </c>
      <c r="AH226" s="110">
        <f t="shared" si="59"/>
        <v>0</v>
      </c>
      <c r="AI226" s="110">
        <f t="shared" si="60"/>
        <v>0</v>
      </c>
      <c r="AJ226" s="110">
        <f t="shared" si="61"/>
        <v>0</v>
      </c>
    </row>
    <row r="227" spans="1:36" s="85" customFormat="1" ht="52.5" hidden="1" customHeight="1" x14ac:dyDescent="0.25">
      <c r="A227" s="83">
        <v>209</v>
      </c>
      <c r="B227" s="83"/>
      <c r="C227" s="84"/>
      <c r="D227" s="93"/>
      <c r="E227" s="83"/>
      <c r="F227" s="83"/>
      <c r="G227" s="83"/>
      <c r="H227" s="83"/>
      <c r="I227" s="83"/>
      <c r="J227" s="83"/>
      <c r="K227" s="83"/>
      <c r="L227" s="83"/>
      <c r="M227" s="83"/>
      <c r="N227" s="83"/>
      <c r="O227" s="83"/>
      <c r="P227" s="83"/>
      <c r="Q227" s="83"/>
      <c r="R227" s="83"/>
      <c r="S227" s="83"/>
      <c r="T227" s="83"/>
      <c r="U227" s="83"/>
      <c r="V227" s="110">
        <f t="shared" si="47"/>
        <v>0</v>
      </c>
      <c r="W227" s="110">
        <f t="shared" si="48"/>
        <v>0</v>
      </c>
      <c r="X227" s="110">
        <f t="shared" si="49"/>
        <v>0</v>
      </c>
      <c r="Y227" s="110">
        <f t="shared" si="50"/>
        <v>0</v>
      </c>
      <c r="Z227" s="110">
        <f t="shared" si="51"/>
        <v>0</v>
      </c>
      <c r="AA227" s="110">
        <f t="shared" si="52"/>
        <v>0</v>
      </c>
      <c r="AB227" s="110">
        <f t="shared" si="53"/>
        <v>0</v>
      </c>
      <c r="AC227" s="110">
        <f t="shared" si="54"/>
        <v>0</v>
      </c>
      <c r="AD227" s="110">
        <f t="shared" si="55"/>
        <v>0</v>
      </c>
      <c r="AE227" s="110">
        <f t="shared" si="56"/>
        <v>0</v>
      </c>
      <c r="AF227" s="110">
        <f t="shared" si="57"/>
        <v>0</v>
      </c>
      <c r="AG227" s="110">
        <f t="shared" si="58"/>
        <v>0</v>
      </c>
      <c r="AH227" s="110">
        <f t="shared" si="59"/>
        <v>0</v>
      </c>
      <c r="AI227" s="110">
        <f t="shared" si="60"/>
        <v>0</v>
      </c>
      <c r="AJ227" s="110">
        <f t="shared" si="61"/>
        <v>0</v>
      </c>
    </row>
    <row r="228" spans="1:36" s="85" customFormat="1" ht="52.5" hidden="1" customHeight="1" x14ac:dyDescent="0.25">
      <c r="A228" s="83">
        <v>210</v>
      </c>
      <c r="B228" s="83"/>
      <c r="C228" s="84"/>
      <c r="D228" s="93"/>
      <c r="E228" s="83"/>
      <c r="F228" s="83"/>
      <c r="G228" s="83"/>
      <c r="H228" s="83"/>
      <c r="I228" s="83"/>
      <c r="J228" s="83"/>
      <c r="K228" s="83"/>
      <c r="L228" s="83"/>
      <c r="M228" s="83"/>
      <c r="N228" s="83"/>
      <c r="O228" s="83"/>
      <c r="P228" s="83"/>
      <c r="Q228" s="83"/>
      <c r="R228" s="83"/>
      <c r="S228" s="83"/>
      <c r="T228" s="83"/>
      <c r="U228" s="83"/>
      <c r="V228" s="110">
        <f t="shared" si="47"/>
        <v>0</v>
      </c>
      <c r="W228" s="110">
        <f t="shared" si="48"/>
        <v>0</v>
      </c>
      <c r="X228" s="110">
        <f t="shared" si="49"/>
        <v>0</v>
      </c>
      <c r="Y228" s="110">
        <f t="shared" si="50"/>
        <v>0</v>
      </c>
      <c r="Z228" s="110">
        <f t="shared" si="51"/>
        <v>0</v>
      </c>
      <c r="AA228" s="110">
        <f t="shared" si="52"/>
        <v>0</v>
      </c>
      <c r="AB228" s="110">
        <f t="shared" si="53"/>
        <v>0</v>
      </c>
      <c r="AC228" s="110">
        <f t="shared" si="54"/>
        <v>0</v>
      </c>
      <c r="AD228" s="110">
        <f t="shared" si="55"/>
        <v>0</v>
      </c>
      <c r="AE228" s="110">
        <f t="shared" si="56"/>
        <v>0</v>
      </c>
      <c r="AF228" s="110">
        <f t="shared" si="57"/>
        <v>0</v>
      </c>
      <c r="AG228" s="110">
        <f t="shared" si="58"/>
        <v>0</v>
      </c>
      <c r="AH228" s="110">
        <f t="shared" si="59"/>
        <v>0</v>
      </c>
      <c r="AI228" s="110">
        <f t="shared" si="60"/>
        <v>0</v>
      </c>
      <c r="AJ228" s="110">
        <f t="shared" si="61"/>
        <v>0</v>
      </c>
    </row>
    <row r="229" spans="1:36" s="85" customFormat="1" ht="52.5" hidden="1" customHeight="1" x14ac:dyDescent="0.25">
      <c r="A229" s="83">
        <v>211</v>
      </c>
      <c r="B229" s="83"/>
      <c r="C229" s="84"/>
      <c r="D229" s="93"/>
      <c r="E229" s="83"/>
      <c r="F229" s="83"/>
      <c r="G229" s="83"/>
      <c r="H229" s="83"/>
      <c r="I229" s="83"/>
      <c r="J229" s="83"/>
      <c r="K229" s="83"/>
      <c r="L229" s="83"/>
      <c r="M229" s="83"/>
      <c r="N229" s="83"/>
      <c r="O229" s="83"/>
      <c r="P229" s="83"/>
      <c r="Q229" s="83"/>
      <c r="R229" s="83"/>
      <c r="S229" s="83"/>
      <c r="T229" s="83"/>
      <c r="U229" s="83"/>
      <c r="V229" s="110">
        <f t="shared" si="47"/>
        <v>0</v>
      </c>
      <c r="W229" s="110">
        <f t="shared" si="48"/>
        <v>0</v>
      </c>
      <c r="X229" s="110">
        <f t="shared" si="49"/>
        <v>0</v>
      </c>
      <c r="Y229" s="110">
        <f t="shared" si="50"/>
        <v>0</v>
      </c>
      <c r="Z229" s="110">
        <f t="shared" si="51"/>
        <v>0</v>
      </c>
      <c r="AA229" s="110">
        <f t="shared" si="52"/>
        <v>0</v>
      </c>
      <c r="AB229" s="110">
        <f t="shared" si="53"/>
        <v>0</v>
      </c>
      <c r="AC229" s="110">
        <f t="shared" si="54"/>
        <v>0</v>
      </c>
      <c r="AD229" s="110">
        <f t="shared" si="55"/>
        <v>0</v>
      </c>
      <c r="AE229" s="110">
        <f t="shared" si="56"/>
        <v>0</v>
      </c>
      <c r="AF229" s="110">
        <f t="shared" si="57"/>
        <v>0</v>
      </c>
      <c r="AG229" s="110">
        <f t="shared" si="58"/>
        <v>0</v>
      </c>
      <c r="AH229" s="110">
        <f t="shared" si="59"/>
        <v>0</v>
      </c>
      <c r="AI229" s="110">
        <f t="shared" si="60"/>
        <v>0</v>
      </c>
      <c r="AJ229" s="110">
        <f t="shared" si="61"/>
        <v>0</v>
      </c>
    </row>
    <row r="230" spans="1:36" s="85" customFormat="1" ht="52.5" hidden="1" customHeight="1" x14ac:dyDescent="0.25">
      <c r="A230" s="83">
        <v>212</v>
      </c>
      <c r="B230" s="83"/>
      <c r="C230" s="84"/>
      <c r="D230" s="93"/>
      <c r="E230" s="83"/>
      <c r="F230" s="83"/>
      <c r="G230" s="83"/>
      <c r="H230" s="83"/>
      <c r="I230" s="83"/>
      <c r="J230" s="83"/>
      <c r="K230" s="83"/>
      <c r="L230" s="83"/>
      <c r="M230" s="83"/>
      <c r="N230" s="83"/>
      <c r="O230" s="83"/>
      <c r="P230" s="83"/>
      <c r="Q230" s="83"/>
      <c r="R230" s="83"/>
      <c r="S230" s="83"/>
      <c r="T230" s="83"/>
      <c r="U230" s="83"/>
      <c r="V230" s="110">
        <f t="shared" si="47"/>
        <v>0</v>
      </c>
      <c r="W230" s="110">
        <f t="shared" si="48"/>
        <v>0</v>
      </c>
      <c r="X230" s="110">
        <f t="shared" si="49"/>
        <v>0</v>
      </c>
      <c r="Y230" s="110">
        <f t="shared" si="50"/>
        <v>0</v>
      </c>
      <c r="Z230" s="110">
        <f t="shared" si="51"/>
        <v>0</v>
      </c>
      <c r="AA230" s="110">
        <f t="shared" si="52"/>
        <v>0</v>
      </c>
      <c r="AB230" s="110">
        <f t="shared" si="53"/>
        <v>0</v>
      </c>
      <c r="AC230" s="110">
        <f t="shared" si="54"/>
        <v>0</v>
      </c>
      <c r="AD230" s="110">
        <f t="shared" si="55"/>
        <v>0</v>
      </c>
      <c r="AE230" s="110">
        <f t="shared" si="56"/>
        <v>0</v>
      </c>
      <c r="AF230" s="110">
        <f t="shared" si="57"/>
        <v>0</v>
      </c>
      <c r="AG230" s="110">
        <f t="shared" si="58"/>
        <v>0</v>
      </c>
      <c r="AH230" s="110">
        <f t="shared" si="59"/>
        <v>0</v>
      </c>
      <c r="AI230" s="110">
        <f t="shared" si="60"/>
        <v>0</v>
      </c>
      <c r="AJ230" s="110">
        <f t="shared" si="61"/>
        <v>0</v>
      </c>
    </row>
    <row r="231" spans="1:36" s="85" customFormat="1" ht="52.5" hidden="1" customHeight="1" x14ac:dyDescent="0.25">
      <c r="A231" s="83">
        <v>213</v>
      </c>
      <c r="B231" s="83"/>
      <c r="C231" s="84"/>
      <c r="D231" s="93"/>
      <c r="E231" s="83"/>
      <c r="F231" s="83"/>
      <c r="G231" s="83"/>
      <c r="H231" s="83"/>
      <c r="I231" s="83"/>
      <c r="J231" s="83"/>
      <c r="K231" s="83"/>
      <c r="L231" s="83"/>
      <c r="M231" s="83"/>
      <c r="N231" s="83"/>
      <c r="O231" s="83"/>
      <c r="P231" s="83"/>
      <c r="Q231" s="83"/>
      <c r="R231" s="83"/>
      <c r="S231" s="83"/>
      <c r="T231" s="83"/>
      <c r="U231" s="83"/>
      <c r="V231" s="110">
        <f t="shared" si="47"/>
        <v>0</v>
      </c>
      <c r="W231" s="110">
        <f t="shared" si="48"/>
        <v>0</v>
      </c>
      <c r="X231" s="110">
        <f t="shared" si="49"/>
        <v>0</v>
      </c>
      <c r="Y231" s="110">
        <f t="shared" si="50"/>
        <v>0</v>
      </c>
      <c r="Z231" s="110">
        <f t="shared" si="51"/>
        <v>0</v>
      </c>
      <c r="AA231" s="110">
        <f t="shared" si="52"/>
        <v>0</v>
      </c>
      <c r="AB231" s="110">
        <f t="shared" si="53"/>
        <v>0</v>
      </c>
      <c r="AC231" s="110">
        <f t="shared" si="54"/>
        <v>0</v>
      </c>
      <c r="AD231" s="110">
        <f t="shared" si="55"/>
        <v>0</v>
      </c>
      <c r="AE231" s="110">
        <f t="shared" si="56"/>
        <v>0</v>
      </c>
      <c r="AF231" s="110">
        <f t="shared" si="57"/>
        <v>0</v>
      </c>
      <c r="AG231" s="110">
        <f t="shared" si="58"/>
        <v>0</v>
      </c>
      <c r="AH231" s="110">
        <f t="shared" si="59"/>
        <v>0</v>
      </c>
      <c r="AI231" s="110">
        <f t="shared" si="60"/>
        <v>0</v>
      </c>
      <c r="AJ231" s="110">
        <f t="shared" si="61"/>
        <v>0</v>
      </c>
    </row>
    <row r="232" spans="1:36" s="85" customFormat="1" ht="52.5" hidden="1" customHeight="1" x14ac:dyDescent="0.25">
      <c r="A232" s="83">
        <v>214</v>
      </c>
      <c r="B232" s="83"/>
      <c r="C232" s="84"/>
      <c r="D232" s="93"/>
      <c r="E232" s="83"/>
      <c r="F232" s="83"/>
      <c r="G232" s="83"/>
      <c r="H232" s="83"/>
      <c r="I232" s="83"/>
      <c r="J232" s="83"/>
      <c r="K232" s="83"/>
      <c r="L232" s="83"/>
      <c r="M232" s="83"/>
      <c r="N232" s="83"/>
      <c r="O232" s="83"/>
      <c r="P232" s="83"/>
      <c r="Q232" s="83"/>
      <c r="R232" s="83"/>
      <c r="S232" s="83"/>
      <c r="T232" s="83"/>
      <c r="U232" s="83"/>
      <c r="V232" s="110">
        <f t="shared" si="47"/>
        <v>0</v>
      </c>
      <c r="W232" s="110">
        <f t="shared" si="48"/>
        <v>0</v>
      </c>
      <c r="X232" s="110">
        <f t="shared" si="49"/>
        <v>0</v>
      </c>
      <c r="Y232" s="110">
        <f t="shared" si="50"/>
        <v>0</v>
      </c>
      <c r="Z232" s="110">
        <f t="shared" si="51"/>
        <v>0</v>
      </c>
      <c r="AA232" s="110">
        <f t="shared" si="52"/>
        <v>0</v>
      </c>
      <c r="AB232" s="110">
        <f t="shared" si="53"/>
        <v>0</v>
      </c>
      <c r="AC232" s="110">
        <f t="shared" si="54"/>
        <v>0</v>
      </c>
      <c r="AD232" s="110">
        <f t="shared" si="55"/>
        <v>0</v>
      </c>
      <c r="AE232" s="110">
        <f t="shared" si="56"/>
        <v>0</v>
      </c>
      <c r="AF232" s="110">
        <f t="shared" si="57"/>
        <v>0</v>
      </c>
      <c r="AG232" s="110">
        <f t="shared" si="58"/>
        <v>0</v>
      </c>
      <c r="AH232" s="110">
        <f t="shared" si="59"/>
        <v>0</v>
      </c>
      <c r="AI232" s="110">
        <f t="shared" si="60"/>
        <v>0</v>
      </c>
      <c r="AJ232" s="110">
        <f t="shared" si="61"/>
        <v>0</v>
      </c>
    </row>
    <row r="233" spans="1:36" s="85" customFormat="1" ht="52.5" hidden="1" customHeight="1" x14ac:dyDescent="0.25">
      <c r="A233" s="83">
        <v>215</v>
      </c>
      <c r="B233" s="83"/>
      <c r="C233" s="84"/>
      <c r="D233" s="93"/>
      <c r="E233" s="83"/>
      <c r="F233" s="83"/>
      <c r="G233" s="83"/>
      <c r="H233" s="83"/>
      <c r="I233" s="83"/>
      <c r="J233" s="83"/>
      <c r="K233" s="83"/>
      <c r="L233" s="83"/>
      <c r="M233" s="83"/>
      <c r="N233" s="83"/>
      <c r="O233" s="83"/>
      <c r="P233" s="83"/>
      <c r="Q233" s="83"/>
      <c r="R233" s="83"/>
      <c r="S233" s="83"/>
      <c r="T233" s="83"/>
      <c r="U233" s="83"/>
      <c r="V233" s="110">
        <f t="shared" si="47"/>
        <v>0</v>
      </c>
      <c r="W233" s="110">
        <f t="shared" si="48"/>
        <v>0</v>
      </c>
      <c r="X233" s="110">
        <f t="shared" si="49"/>
        <v>0</v>
      </c>
      <c r="Y233" s="110">
        <f t="shared" si="50"/>
        <v>0</v>
      </c>
      <c r="Z233" s="110">
        <f t="shared" si="51"/>
        <v>0</v>
      </c>
      <c r="AA233" s="110">
        <f t="shared" si="52"/>
        <v>0</v>
      </c>
      <c r="AB233" s="110">
        <f t="shared" si="53"/>
        <v>0</v>
      </c>
      <c r="AC233" s="110">
        <f t="shared" si="54"/>
        <v>0</v>
      </c>
      <c r="AD233" s="110">
        <f t="shared" si="55"/>
        <v>0</v>
      </c>
      <c r="AE233" s="110">
        <f t="shared" si="56"/>
        <v>0</v>
      </c>
      <c r="AF233" s="110">
        <f t="shared" si="57"/>
        <v>0</v>
      </c>
      <c r="AG233" s="110">
        <f t="shared" si="58"/>
        <v>0</v>
      </c>
      <c r="AH233" s="110">
        <f t="shared" si="59"/>
        <v>0</v>
      </c>
      <c r="AI233" s="110">
        <f t="shared" si="60"/>
        <v>0</v>
      </c>
      <c r="AJ233" s="110">
        <f t="shared" si="61"/>
        <v>0</v>
      </c>
    </row>
    <row r="234" spans="1:36" s="85" customFormat="1" ht="52.5" hidden="1" customHeight="1" x14ac:dyDescent="0.25">
      <c r="A234" s="83">
        <v>216</v>
      </c>
      <c r="B234" s="83"/>
      <c r="C234" s="84"/>
      <c r="D234" s="93"/>
      <c r="E234" s="83"/>
      <c r="F234" s="83"/>
      <c r="G234" s="83"/>
      <c r="H234" s="83"/>
      <c r="I234" s="83"/>
      <c r="J234" s="83"/>
      <c r="K234" s="83"/>
      <c r="L234" s="83"/>
      <c r="M234" s="83"/>
      <c r="N234" s="83"/>
      <c r="O234" s="83"/>
      <c r="P234" s="83"/>
      <c r="Q234" s="83"/>
      <c r="R234" s="83"/>
      <c r="S234" s="83"/>
      <c r="T234" s="83"/>
      <c r="U234" s="83"/>
      <c r="V234" s="110">
        <f t="shared" si="47"/>
        <v>0</v>
      </c>
      <c r="W234" s="110">
        <f t="shared" si="48"/>
        <v>0</v>
      </c>
      <c r="X234" s="110">
        <f t="shared" si="49"/>
        <v>0</v>
      </c>
      <c r="Y234" s="110">
        <f t="shared" si="50"/>
        <v>0</v>
      </c>
      <c r="Z234" s="110">
        <f t="shared" si="51"/>
        <v>0</v>
      </c>
      <c r="AA234" s="110">
        <f t="shared" si="52"/>
        <v>0</v>
      </c>
      <c r="AB234" s="110">
        <f t="shared" si="53"/>
        <v>0</v>
      </c>
      <c r="AC234" s="110">
        <f t="shared" si="54"/>
        <v>0</v>
      </c>
      <c r="AD234" s="110">
        <f t="shared" si="55"/>
        <v>0</v>
      </c>
      <c r="AE234" s="110">
        <f t="shared" si="56"/>
        <v>0</v>
      </c>
      <c r="AF234" s="110">
        <f t="shared" si="57"/>
        <v>0</v>
      </c>
      <c r="AG234" s="110">
        <f t="shared" si="58"/>
        <v>0</v>
      </c>
      <c r="AH234" s="110">
        <f t="shared" si="59"/>
        <v>0</v>
      </c>
      <c r="AI234" s="110">
        <f t="shared" si="60"/>
        <v>0</v>
      </c>
      <c r="AJ234" s="110">
        <f t="shared" si="61"/>
        <v>0</v>
      </c>
    </row>
    <row r="235" spans="1:36" s="85" customFormat="1" ht="52.5" hidden="1" customHeight="1" x14ac:dyDescent="0.25">
      <c r="A235" s="83">
        <v>217</v>
      </c>
      <c r="B235" s="83"/>
      <c r="C235" s="84"/>
      <c r="D235" s="93"/>
      <c r="E235" s="83"/>
      <c r="F235" s="83"/>
      <c r="G235" s="83"/>
      <c r="H235" s="83"/>
      <c r="I235" s="83"/>
      <c r="J235" s="83"/>
      <c r="K235" s="83"/>
      <c r="L235" s="83"/>
      <c r="M235" s="83"/>
      <c r="N235" s="83"/>
      <c r="O235" s="83"/>
      <c r="P235" s="83"/>
      <c r="Q235" s="83"/>
      <c r="R235" s="83"/>
      <c r="S235" s="83"/>
      <c r="T235" s="83"/>
      <c r="U235" s="83"/>
      <c r="V235" s="110">
        <f t="shared" si="47"/>
        <v>0</v>
      </c>
      <c r="W235" s="110">
        <f t="shared" si="48"/>
        <v>0</v>
      </c>
      <c r="X235" s="110">
        <f t="shared" si="49"/>
        <v>0</v>
      </c>
      <c r="Y235" s="110">
        <f t="shared" si="50"/>
        <v>0</v>
      </c>
      <c r="Z235" s="110">
        <f t="shared" si="51"/>
        <v>0</v>
      </c>
      <c r="AA235" s="110">
        <f t="shared" si="52"/>
        <v>0</v>
      </c>
      <c r="AB235" s="110">
        <f t="shared" si="53"/>
        <v>0</v>
      </c>
      <c r="AC235" s="110">
        <f t="shared" si="54"/>
        <v>0</v>
      </c>
      <c r="AD235" s="110">
        <f t="shared" si="55"/>
        <v>0</v>
      </c>
      <c r="AE235" s="110">
        <f t="shared" si="56"/>
        <v>0</v>
      </c>
      <c r="AF235" s="110">
        <f t="shared" si="57"/>
        <v>0</v>
      </c>
      <c r="AG235" s="110">
        <f t="shared" si="58"/>
        <v>0</v>
      </c>
      <c r="AH235" s="110">
        <f t="shared" si="59"/>
        <v>0</v>
      </c>
      <c r="AI235" s="110">
        <f t="shared" si="60"/>
        <v>0</v>
      </c>
      <c r="AJ235" s="110">
        <f t="shared" si="61"/>
        <v>0</v>
      </c>
    </row>
    <row r="236" spans="1:36" s="85" customFormat="1" ht="52.5" hidden="1" customHeight="1" x14ac:dyDescent="0.25">
      <c r="A236" s="83">
        <v>218</v>
      </c>
      <c r="B236" s="83"/>
      <c r="C236" s="84"/>
      <c r="D236" s="93"/>
      <c r="E236" s="83"/>
      <c r="F236" s="83"/>
      <c r="G236" s="83"/>
      <c r="H236" s="83"/>
      <c r="I236" s="83"/>
      <c r="J236" s="83"/>
      <c r="K236" s="83"/>
      <c r="L236" s="83"/>
      <c r="M236" s="83"/>
      <c r="N236" s="83"/>
      <c r="O236" s="83"/>
      <c r="P236" s="83"/>
      <c r="Q236" s="83"/>
      <c r="R236" s="83"/>
      <c r="S236" s="83"/>
      <c r="T236" s="83"/>
      <c r="U236" s="83"/>
      <c r="V236" s="110">
        <f t="shared" si="47"/>
        <v>0</v>
      </c>
      <c r="W236" s="110">
        <f t="shared" si="48"/>
        <v>0</v>
      </c>
      <c r="X236" s="110">
        <f t="shared" si="49"/>
        <v>0</v>
      </c>
      <c r="Y236" s="110">
        <f t="shared" si="50"/>
        <v>0</v>
      </c>
      <c r="Z236" s="110">
        <f t="shared" si="51"/>
        <v>0</v>
      </c>
      <c r="AA236" s="110">
        <f t="shared" si="52"/>
        <v>0</v>
      </c>
      <c r="AB236" s="110">
        <f t="shared" si="53"/>
        <v>0</v>
      </c>
      <c r="AC236" s="110">
        <f t="shared" si="54"/>
        <v>0</v>
      </c>
      <c r="AD236" s="110">
        <f t="shared" si="55"/>
        <v>0</v>
      </c>
      <c r="AE236" s="110">
        <f t="shared" si="56"/>
        <v>0</v>
      </c>
      <c r="AF236" s="110">
        <f t="shared" si="57"/>
        <v>0</v>
      </c>
      <c r="AG236" s="110">
        <f t="shared" si="58"/>
        <v>0</v>
      </c>
      <c r="AH236" s="110">
        <f t="shared" si="59"/>
        <v>0</v>
      </c>
      <c r="AI236" s="110">
        <f t="shared" si="60"/>
        <v>0</v>
      </c>
      <c r="AJ236" s="110">
        <f t="shared" si="61"/>
        <v>0</v>
      </c>
    </row>
    <row r="237" spans="1:36" s="85" customFormat="1" ht="52.5" hidden="1" customHeight="1" x14ac:dyDescent="0.25">
      <c r="A237" s="83">
        <v>219</v>
      </c>
      <c r="B237" s="83"/>
      <c r="C237" s="84"/>
      <c r="D237" s="93"/>
      <c r="E237" s="83"/>
      <c r="F237" s="83"/>
      <c r="G237" s="83"/>
      <c r="H237" s="83"/>
      <c r="I237" s="83"/>
      <c r="J237" s="83"/>
      <c r="K237" s="83"/>
      <c r="L237" s="83"/>
      <c r="M237" s="83"/>
      <c r="N237" s="83"/>
      <c r="O237" s="83"/>
      <c r="P237" s="83"/>
      <c r="Q237" s="83"/>
      <c r="R237" s="83"/>
      <c r="S237" s="83"/>
      <c r="T237" s="83"/>
      <c r="U237" s="83"/>
      <c r="V237" s="110">
        <f t="shared" si="47"/>
        <v>0</v>
      </c>
      <c r="W237" s="110">
        <f t="shared" si="48"/>
        <v>0</v>
      </c>
      <c r="X237" s="110">
        <f t="shared" si="49"/>
        <v>0</v>
      </c>
      <c r="Y237" s="110">
        <f t="shared" si="50"/>
        <v>0</v>
      </c>
      <c r="Z237" s="110">
        <f t="shared" si="51"/>
        <v>0</v>
      </c>
      <c r="AA237" s="110">
        <f t="shared" si="52"/>
        <v>0</v>
      </c>
      <c r="AB237" s="110">
        <f t="shared" si="53"/>
        <v>0</v>
      </c>
      <c r="AC237" s="110">
        <f t="shared" si="54"/>
        <v>0</v>
      </c>
      <c r="AD237" s="110">
        <f t="shared" si="55"/>
        <v>0</v>
      </c>
      <c r="AE237" s="110">
        <f t="shared" si="56"/>
        <v>0</v>
      </c>
      <c r="AF237" s="110">
        <f t="shared" si="57"/>
        <v>0</v>
      </c>
      <c r="AG237" s="110">
        <f t="shared" si="58"/>
        <v>0</v>
      </c>
      <c r="AH237" s="110">
        <f t="shared" si="59"/>
        <v>0</v>
      </c>
      <c r="AI237" s="110">
        <f t="shared" si="60"/>
        <v>0</v>
      </c>
      <c r="AJ237" s="110">
        <f t="shared" si="61"/>
        <v>0</v>
      </c>
    </row>
    <row r="238" spans="1:36" s="85" customFormat="1" ht="52.5" hidden="1" customHeight="1" x14ac:dyDescent="0.25">
      <c r="A238" s="83">
        <v>220</v>
      </c>
      <c r="B238" s="83"/>
      <c r="C238" s="84"/>
      <c r="D238" s="93"/>
      <c r="E238" s="83"/>
      <c r="F238" s="83"/>
      <c r="G238" s="83"/>
      <c r="H238" s="83"/>
      <c r="I238" s="83"/>
      <c r="J238" s="83"/>
      <c r="K238" s="83"/>
      <c r="L238" s="83"/>
      <c r="M238" s="83"/>
      <c r="N238" s="83"/>
      <c r="O238" s="83"/>
      <c r="P238" s="83"/>
      <c r="Q238" s="83"/>
      <c r="R238" s="83"/>
      <c r="S238" s="83"/>
      <c r="T238" s="83"/>
      <c r="U238" s="83"/>
      <c r="V238" s="110">
        <f t="shared" si="47"/>
        <v>0</v>
      </c>
      <c r="W238" s="110">
        <f t="shared" si="48"/>
        <v>0</v>
      </c>
      <c r="X238" s="110">
        <f t="shared" si="49"/>
        <v>0</v>
      </c>
      <c r="Y238" s="110">
        <f t="shared" si="50"/>
        <v>0</v>
      </c>
      <c r="Z238" s="110">
        <f t="shared" si="51"/>
        <v>0</v>
      </c>
      <c r="AA238" s="110">
        <f t="shared" si="52"/>
        <v>0</v>
      </c>
      <c r="AB238" s="110">
        <f t="shared" si="53"/>
        <v>0</v>
      </c>
      <c r="AC238" s="110">
        <f t="shared" si="54"/>
        <v>0</v>
      </c>
      <c r="AD238" s="110">
        <f t="shared" si="55"/>
        <v>0</v>
      </c>
      <c r="AE238" s="110">
        <f t="shared" si="56"/>
        <v>0</v>
      </c>
      <c r="AF238" s="110">
        <f t="shared" si="57"/>
        <v>0</v>
      </c>
      <c r="AG238" s="110">
        <f t="shared" si="58"/>
        <v>0</v>
      </c>
      <c r="AH238" s="110">
        <f t="shared" si="59"/>
        <v>0</v>
      </c>
      <c r="AI238" s="110">
        <f t="shared" si="60"/>
        <v>0</v>
      </c>
      <c r="AJ238" s="110">
        <f t="shared" si="61"/>
        <v>0</v>
      </c>
    </row>
    <row r="239" spans="1:36" s="85" customFormat="1" ht="52.5" hidden="1" customHeight="1" x14ac:dyDescent="0.25">
      <c r="A239" s="83">
        <v>221</v>
      </c>
      <c r="B239" s="83"/>
      <c r="C239" s="84"/>
      <c r="D239" s="93"/>
      <c r="E239" s="83"/>
      <c r="F239" s="83"/>
      <c r="G239" s="83"/>
      <c r="H239" s="83"/>
      <c r="I239" s="83"/>
      <c r="J239" s="83"/>
      <c r="K239" s="83"/>
      <c r="L239" s="83"/>
      <c r="M239" s="83"/>
      <c r="N239" s="83"/>
      <c r="O239" s="83"/>
      <c r="P239" s="83"/>
      <c r="Q239" s="83"/>
      <c r="R239" s="83"/>
      <c r="S239" s="83"/>
      <c r="T239" s="83"/>
      <c r="U239" s="83"/>
      <c r="V239" s="110">
        <f t="shared" si="47"/>
        <v>0</v>
      </c>
      <c r="W239" s="110">
        <f t="shared" si="48"/>
        <v>0</v>
      </c>
      <c r="X239" s="110">
        <f t="shared" si="49"/>
        <v>0</v>
      </c>
      <c r="Y239" s="110">
        <f t="shared" si="50"/>
        <v>0</v>
      </c>
      <c r="Z239" s="110">
        <f t="shared" si="51"/>
        <v>0</v>
      </c>
      <c r="AA239" s="110">
        <f t="shared" si="52"/>
        <v>0</v>
      </c>
      <c r="AB239" s="110">
        <f t="shared" si="53"/>
        <v>0</v>
      </c>
      <c r="AC239" s="110">
        <f t="shared" si="54"/>
        <v>0</v>
      </c>
      <c r="AD239" s="110">
        <f t="shared" si="55"/>
        <v>0</v>
      </c>
      <c r="AE239" s="110">
        <f t="shared" si="56"/>
        <v>0</v>
      </c>
      <c r="AF239" s="110">
        <f t="shared" si="57"/>
        <v>0</v>
      </c>
      <c r="AG239" s="110">
        <f t="shared" si="58"/>
        <v>0</v>
      </c>
      <c r="AH239" s="110">
        <f t="shared" si="59"/>
        <v>0</v>
      </c>
      <c r="AI239" s="110">
        <f t="shared" si="60"/>
        <v>0</v>
      </c>
      <c r="AJ239" s="110">
        <f t="shared" si="61"/>
        <v>0</v>
      </c>
    </row>
    <row r="240" spans="1:36" s="85" customFormat="1" ht="52.5" hidden="1" customHeight="1" x14ac:dyDescent="0.25">
      <c r="A240" s="83">
        <v>222</v>
      </c>
      <c r="B240" s="83"/>
      <c r="C240" s="84"/>
      <c r="D240" s="93"/>
      <c r="E240" s="83"/>
      <c r="F240" s="83"/>
      <c r="G240" s="83"/>
      <c r="H240" s="83"/>
      <c r="I240" s="83"/>
      <c r="J240" s="83"/>
      <c r="K240" s="83"/>
      <c r="L240" s="83"/>
      <c r="M240" s="83"/>
      <c r="N240" s="83"/>
      <c r="O240" s="83"/>
      <c r="P240" s="83"/>
      <c r="Q240" s="83"/>
      <c r="R240" s="83"/>
      <c r="S240" s="83"/>
      <c r="T240" s="83"/>
      <c r="U240" s="83"/>
      <c r="V240" s="110">
        <f t="shared" si="47"/>
        <v>0</v>
      </c>
      <c r="W240" s="110">
        <f t="shared" si="48"/>
        <v>0</v>
      </c>
      <c r="X240" s="110">
        <f t="shared" si="49"/>
        <v>0</v>
      </c>
      <c r="Y240" s="110">
        <f t="shared" si="50"/>
        <v>0</v>
      </c>
      <c r="Z240" s="110">
        <f t="shared" si="51"/>
        <v>0</v>
      </c>
      <c r="AA240" s="110">
        <f t="shared" si="52"/>
        <v>0</v>
      </c>
      <c r="AB240" s="110">
        <f t="shared" si="53"/>
        <v>0</v>
      </c>
      <c r="AC240" s="110">
        <f t="shared" si="54"/>
        <v>0</v>
      </c>
      <c r="AD240" s="110">
        <f t="shared" si="55"/>
        <v>0</v>
      </c>
      <c r="AE240" s="110">
        <f t="shared" si="56"/>
        <v>0</v>
      </c>
      <c r="AF240" s="110">
        <f t="shared" si="57"/>
        <v>0</v>
      </c>
      <c r="AG240" s="110">
        <f t="shared" si="58"/>
        <v>0</v>
      </c>
      <c r="AH240" s="110">
        <f t="shared" si="59"/>
        <v>0</v>
      </c>
      <c r="AI240" s="110">
        <f t="shared" si="60"/>
        <v>0</v>
      </c>
      <c r="AJ240" s="110">
        <f t="shared" si="61"/>
        <v>0</v>
      </c>
    </row>
    <row r="241" spans="1:36" s="85" customFormat="1" ht="52.5" hidden="1" customHeight="1" x14ac:dyDescent="0.25">
      <c r="A241" s="83">
        <v>223</v>
      </c>
      <c r="B241" s="83"/>
      <c r="C241" s="84"/>
      <c r="D241" s="93"/>
      <c r="E241" s="83"/>
      <c r="F241" s="83"/>
      <c r="G241" s="83"/>
      <c r="H241" s="83"/>
      <c r="I241" s="83"/>
      <c r="J241" s="83"/>
      <c r="K241" s="83"/>
      <c r="L241" s="83"/>
      <c r="M241" s="83"/>
      <c r="N241" s="83"/>
      <c r="O241" s="83"/>
      <c r="P241" s="83"/>
      <c r="Q241" s="83"/>
      <c r="R241" s="83"/>
      <c r="S241" s="83"/>
      <c r="T241" s="83"/>
      <c r="U241" s="83"/>
      <c r="V241" s="110">
        <f t="shared" si="47"/>
        <v>0</v>
      </c>
      <c r="W241" s="110">
        <f t="shared" si="48"/>
        <v>0</v>
      </c>
      <c r="X241" s="110">
        <f t="shared" si="49"/>
        <v>0</v>
      </c>
      <c r="Y241" s="110">
        <f t="shared" si="50"/>
        <v>0</v>
      </c>
      <c r="Z241" s="110">
        <f t="shared" si="51"/>
        <v>0</v>
      </c>
      <c r="AA241" s="110">
        <f t="shared" si="52"/>
        <v>0</v>
      </c>
      <c r="AB241" s="110">
        <f t="shared" si="53"/>
        <v>0</v>
      </c>
      <c r="AC241" s="110">
        <f t="shared" si="54"/>
        <v>0</v>
      </c>
      <c r="AD241" s="110">
        <f t="shared" si="55"/>
        <v>0</v>
      </c>
      <c r="AE241" s="110">
        <f t="shared" si="56"/>
        <v>0</v>
      </c>
      <c r="AF241" s="110">
        <f t="shared" si="57"/>
        <v>0</v>
      </c>
      <c r="AG241" s="110">
        <f t="shared" si="58"/>
        <v>0</v>
      </c>
      <c r="AH241" s="110">
        <f t="shared" si="59"/>
        <v>0</v>
      </c>
      <c r="AI241" s="110">
        <f t="shared" si="60"/>
        <v>0</v>
      </c>
      <c r="AJ241" s="110">
        <f t="shared" si="61"/>
        <v>0</v>
      </c>
    </row>
    <row r="242" spans="1:36" s="85" customFormat="1" ht="52.5" hidden="1" customHeight="1" x14ac:dyDescent="0.25">
      <c r="A242" s="83">
        <v>224</v>
      </c>
      <c r="B242" s="83"/>
      <c r="C242" s="84"/>
      <c r="D242" s="93"/>
      <c r="E242" s="83"/>
      <c r="F242" s="83"/>
      <c r="G242" s="83"/>
      <c r="H242" s="83"/>
      <c r="I242" s="83"/>
      <c r="J242" s="83"/>
      <c r="K242" s="83"/>
      <c r="L242" s="83"/>
      <c r="M242" s="83"/>
      <c r="N242" s="83"/>
      <c r="O242" s="83"/>
      <c r="P242" s="83"/>
      <c r="Q242" s="83"/>
      <c r="R242" s="83"/>
      <c r="S242" s="83"/>
      <c r="T242" s="83"/>
      <c r="U242" s="83"/>
      <c r="V242" s="110">
        <f t="shared" si="47"/>
        <v>0</v>
      </c>
      <c r="W242" s="110">
        <f t="shared" si="48"/>
        <v>0</v>
      </c>
      <c r="X242" s="110">
        <f t="shared" si="49"/>
        <v>0</v>
      </c>
      <c r="Y242" s="110">
        <f t="shared" si="50"/>
        <v>0</v>
      </c>
      <c r="Z242" s="110">
        <f t="shared" si="51"/>
        <v>0</v>
      </c>
      <c r="AA242" s="110">
        <f t="shared" si="52"/>
        <v>0</v>
      </c>
      <c r="AB242" s="110">
        <f t="shared" si="53"/>
        <v>0</v>
      </c>
      <c r="AC242" s="110">
        <f t="shared" si="54"/>
        <v>0</v>
      </c>
      <c r="AD242" s="110">
        <f t="shared" si="55"/>
        <v>0</v>
      </c>
      <c r="AE242" s="110">
        <f t="shared" si="56"/>
        <v>0</v>
      </c>
      <c r="AF242" s="110">
        <f t="shared" si="57"/>
        <v>0</v>
      </c>
      <c r="AG242" s="110">
        <f t="shared" si="58"/>
        <v>0</v>
      </c>
      <c r="AH242" s="110">
        <f t="shared" si="59"/>
        <v>0</v>
      </c>
      <c r="AI242" s="110">
        <f t="shared" si="60"/>
        <v>0</v>
      </c>
      <c r="AJ242" s="110">
        <f t="shared" si="61"/>
        <v>0</v>
      </c>
    </row>
    <row r="243" spans="1:36" s="85" customFormat="1" ht="52.5" hidden="1" customHeight="1" x14ac:dyDescent="0.25">
      <c r="A243" s="83">
        <v>225</v>
      </c>
      <c r="B243" s="83"/>
      <c r="C243" s="84"/>
      <c r="D243" s="93"/>
      <c r="E243" s="83"/>
      <c r="F243" s="83"/>
      <c r="G243" s="83"/>
      <c r="H243" s="83"/>
      <c r="I243" s="83"/>
      <c r="J243" s="83"/>
      <c r="K243" s="83"/>
      <c r="L243" s="83"/>
      <c r="M243" s="83"/>
      <c r="N243" s="83"/>
      <c r="O243" s="83"/>
      <c r="P243" s="83"/>
      <c r="Q243" s="83"/>
      <c r="R243" s="83"/>
      <c r="S243" s="83"/>
      <c r="T243" s="83"/>
      <c r="U243" s="83"/>
      <c r="V243" s="110">
        <f t="shared" si="47"/>
        <v>0</v>
      </c>
      <c r="W243" s="110">
        <f t="shared" si="48"/>
        <v>0</v>
      </c>
      <c r="X243" s="110">
        <f t="shared" si="49"/>
        <v>0</v>
      </c>
      <c r="Y243" s="110">
        <f t="shared" si="50"/>
        <v>0</v>
      </c>
      <c r="Z243" s="110">
        <f t="shared" si="51"/>
        <v>0</v>
      </c>
      <c r="AA243" s="110">
        <f t="shared" si="52"/>
        <v>0</v>
      </c>
      <c r="AB243" s="110">
        <f t="shared" si="53"/>
        <v>0</v>
      </c>
      <c r="AC243" s="110">
        <f t="shared" si="54"/>
        <v>0</v>
      </c>
      <c r="AD243" s="110">
        <f t="shared" si="55"/>
        <v>0</v>
      </c>
      <c r="AE243" s="110">
        <f t="shared" si="56"/>
        <v>0</v>
      </c>
      <c r="AF243" s="110">
        <f t="shared" si="57"/>
        <v>0</v>
      </c>
      <c r="AG243" s="110">
        <f t="shared" si="58"/>
        <v>0</v>
      </c>
      <c r="AH243" s="110">
        <f t="shared" si="59"/>
        <v>0</v>
      </c>
      <c r="AI243" s="110">
        <f t="shared" si="60"/>
        <v>0</v>
      </c>
      <c r="AJ243" s="110">
        <f t="shared" si="61"/>
        <v>0</v>
      </c>
    </row>
    <row r="244" spans="1:36" s="85" customFormat="1" ht="52.5" hidden="1" customHeight="1" x14ac:dyDescent="0.25">
      <c r="A244" s="83">
        <v>226</v>
      </c>
      <c r="B244" s="83"/>
      <c r="C244" s="84"/>
      <c r="D244" s="93"/>
      <c r="E244" s="83"/>
      <c r="F244" s="83"/>
      <c r="G244" s="83"/>
      <c r="H244" s="83"/>
      <c r="I244" s="83"/>
      <c r="J244" s="83"/>
      <c r="K244" s="83"/>
      <c r="L244" s="83"/>
      <c r="M244" s="83"/>
      <c r="N244" s="83"/>
      <c r="O244" s="83"/>
      <c r="P244" s="83"/>
      <c r="Q244" s="83"/>
      <c r="R244" s="83"/>
      <c r="S244" s="83"/>
      <c r="T244" s="83"/>
      <c r="U244" s="83"/>
      <c r="V244" s="110">
        <f t="shared" si="47"/>
        <v>0</v>
      </c>
      <c r="W244" s="110">
        <f t="shared" si="48"/>
        <v>0</v>
      </c>
      <c r="X244" s="110">
        <f t="shared" si="49"/>
        <v>0</v>
      </c>
      <c r="Y244" s="110">
        <f t="shared" si="50"/>
        <v>0</v>
      </c>
      <c r="Z244" s="110">
        <f t="shared" si="51"/>
        <v>0</v>
      </c>
      <c r="AA244" s="110">
        <f t="shared" si="52"/>
        <v>0</v>
      </c>
      <c r="AB244" s="110">
        <f t="shared" si="53"/>
        <v>0</v>
      </c>
      <c r="AC244" s="110">
        <f t="shared" si="54"/>
        <v>0</v>
      </c>
      <c r="AD244" s="110">
        <f t="shared" si="55"/>
        <v>0</v>
      </c>
      <c r="AE244" s="110">
        <f t="shared" si="56"/>
        <v>0</v>
      </c>
      <c r="AF244" s="110">
        <f t="shared" si="57"/>
        <v>0</v>
      </c>
      <c r="AG244" s="110">
        <f t="shared" si="58"/>
        <v>0</v>
      </c>
      <c r="AH244" s="110">
        <f t="shared" si="59"/>
        <v>0</v>
      </c>
      <c r="AI244" s="110">
        <f t="shared" si="60"/>
        <v>0</v>
      </c>
      <c r="AJ244" s="110">
        <f t="shared" si="61"/>
        <v>0</v>
      </c>
    </row>
    <row r="245" spans="1:36" s="85" customFormat="1" ht="52.5" hidden="1" customHeight="1" x14ac:dyDescent="0.25">
      <c r="A245" s="83">
        <v>227</v>
      </c>
      <c r="B245" s="83"/>
      <c r="C245" s="84"/>
      <c r="D245" s="93"/>
      <c r="E245" s="83"/>
      <c r="F245" s="83"/>
      <c r="G245" s="83"/>
      <c r="H245" s="83"/>
      <c r="I245" s="83"/>
      <c r="J245" s="83"/>
      <c r="K245" s="83"/>
      <c r="L245" s="83"/>
      <c r="M245" s="83"/>
      <c r="N245" s="83"/>
      <c r="O245" s="83"/>
      <c r="P245" s="83"/>
      <c r="Q245" s="83"/>
      <c r="R245" s="83"/>
      <c r="S245" s="83"/>
      <c r="T245" s="83"/>
      <c r="U245" s="83"/>
      <c r="V245" s="110">
        <f t="shared" si="47"/>
        <v>0</v>
      </c>
      <c r="W245" s="110">
        <f t="shared" si="48"/>
        <v>0</v>
      </c>
      <c r="X245" s="110">
        <f t="shared" si="49"/>
        <v>0</v>
      </c>
      <c r="Y245" s="110">
        <f t="shared" si="50"/>
        <v>0</v>
      </c>
      <c r="Z245" s="110">
        <f t="shared" si="51"/>
        <v>0</v>
      </c>
      <c r="AA245" s="110">
        <f t="shared" si="52"/>
        <v>0</v>
      </c>
      <c r="AB245" s="110">
        <f t="shared" si="53"/>
        <v>0</v>
      </c>
      <c r="AC245" s="110">
        <f t="shared" si="54"/>
        <v>0</v>
      </c>
      <c r="AD245" s="110">
        <f t="shared" si="55"/>
        <v>0</v>
      </c>
      <c r="AE245" s="110">
        <f t="shared" si="56"/>
        <v>0</v>
      </c>
      <c r="AF245" s="110">
        <f t="shared" si="57"/>
        <v>0</v>
      </c>
      <c r="AG245" s="110">
        <f t="shared" si="58"/>
        <v>0</v>
      </c>
      <c r="AH245" s="110">
        <f t="shared" si="59"/>
        <v>0</v>
      </c>
      <c r="AI245" s="110">
        <f t="shared" si="60"/>
        <v>0</v>
      </c>
      <c r="AJ245" s="110">
        <f t="shared" si="61"/>
        <v>0</v>
      </c>
    </row>
    <row r="246" spans="1:36" s="85" customFormat="1" ht="52.5" hidden="1" customHeight="1" x14ac:dyDescent="0.25">
      <c r="A246" s="83">
        <v>228</v>
      </c>
      <c r="B246" s="83"/>
      <c r="C246" s="84"/>
      <c r="D246" s="93"/>
      <c r="E246" s="83"/>
      <c r="F246" s="83"/>
      <c r="G246" s="83"/>
      <c r="H246" s="83"/>
      <c r="I246" s="83"/>
      <c r="J246" s="83"/>
      <c r="K246" s="83"/>
      <c r="L246" s="83"/>
      <c r="M246" s="83"/>
      <c r="N246" s="83"/>
      <c r="O246" s="83"/>
      <c r="P246" s="83"/>
      <c r="Q246" s="83"/>
      <c r="R246" s="83"/>
      <c r="S246" s="83"/>
      <c r="T246" s="83"/>
      <c r="U246" s="83"/>
      <c r="V246" s="110">
        <f t="shared" si="47"/>
        <v>0</v>
      </c>
      <c r="W246" s="110">
        <f t="shared" si="48"/>
        <v>0</v>
      </c>
      <c r="X246" s="110">
        <f t="shared" si="49"/>
        <v>0</v>
      </c>
      <c r="Y246" s="110">
        <f t="shared" si="50"/>
        <v>0</v>
      </c>
      <c r="Z246" s="110">
        <f t="shared" si="51"/>
        <v>0</v>
      </c>
      <c r="AA246" s="110">
        <f t="shared" si="52"/>
        <v>0</v>
      </c>
      <c r="AB246" s="110">
        <f t="shared" si="53"/>
        <v>0</v>
      </c>
      <c r="AC246" s="110">
        <f t="shared" si="54"/>
        <v>0</v>
      </c>
      <c r="AD246" s="110">
        <f t="shared" si="55"/>
        <v>0</v>
      </c>
      <c r="AE246" s="110">
        <f t="shared" si="56"/>
        <v>0</v>
      </c>
      <c r="AF246" s="110">
        <f t="shared" si="57"/>
        <v>0</v>
      </c>
      <c r="AG246" s="110">
        <f t="shared" si="58"/>
        <v>0</v>
      </c>
      <c r="AH246" s="110">
        <f t="shared" si="59"/>
        <v>0</v>
      </c>
      <c r="AI246" s="110">
        <f t="shared" si="60"/>
        <v>0</v>
      </c>
      <c r="AJ246" s="110">
        <f t="shared" si="61"/>
        <v>0</v>
      </c>
    </row>
    <row r="247" spans="1:36" s="85" customFormat="1" ht="52.5" hidden="1" customHeight="1" x14ac:dyDescent="0.25">
      <c r="A247" s="83">
        <v>229</v>
      </c>
      <c r="B247" s="83"/>
      <c r="C247" s="84"/>
      <c r="D247" s="93"/>
      <c r="E247" s="83"/>
      <c r="F247" s="83"/>
      <c r="G247" s="83"/>
      <c r="H247" s="83"/>
      <c r="I247" s="83"/>
      <c r="J247" s="83"/>
      <c r="K247" s="83"/>
      <c r="L247" s="83"/>
      <c r="M247" s="83"/>
      <c r="N247" s="83"/>
      <c r="O247" s="83"/>
      <c r="P247" s="83"/>
      <c r="Q247" s="83"/>
      <c r="R247" s="83"/>
      <c r="S247" s="83"/>
      <c r="T247" s="83"/>
      <c r="U247" s="83"/>
      <c r="V247" s="110">
        <f t="shared" si="47"/>
        <v>0</v>
      </c>
      <c r="W247" s="110">
        <f t="shared" si="48"/>
        <v>0</v>
      </c>
      <c r="X247" s="110">
        <f t="shared" si="49"/>
        <v>0</v>
      </c>
      <c r="Y247" s="110">
        <f t="shared" si="50"/>
        <v>0</v>
      </c>
      <c r="Z247" s="110">
        <f t="shared" si="51"/>
        <v>0</v>
      </c>
      <c r="AA247" s="110">
        <f t="shared" si="52"/>
        <v>0</v>
      </c>
      <c r="AB247" s="110">
        <f t="shared" si="53"/>
        <v>0</v>
      </c>
      <c r="AC247" s="110">
        <f t="shared" si="54"/>
        <v>0</v>
      </c>
      <c r="AD247" s="110">
        <f t="shared" si="55"/>
        <v>0</v>
      </c>
      <c r="AE247" s="110">
        <f t="shared" si="56"/>
        <v>0</v>
      </c>
      <c r="AF247" s="110">
        <f t="shared" si="57"/>
        <v>0</v>
      </c>
      <c r="AG247" s="110">
        <f t="shared" si="58"/>
        <v>0</v>
      </c>
      <c r="AH247" s="110">
        <f t="shared" si="59"/>
        <v>0</v>
      </c>
      <c r="AI247" s="110">
        <f t="shared" si="60"/>
        <v>0</v>
      </c>
      <c r="AJ247" s="110">
        <f t="shared" si="61"/>
        <v>0</v>
      </c>
    </row>
    <row r="248" spans="1:36" s="85" customFormat="1" ht="52.5" hidden="1" customHeight="1" x14ac:dyDescent="0.25">
      <c r="A248" s="83">
        <v>230</v>
      </c>
      <c r="B248" s="83"/>
      <c r="C248" s="84"/>
      <c r="D248" s="93"/>
      <c r="E248" s="83"/>
      <c r="F248" s="83"/>
      <c r="G248" s="83"/>
      <c r="H248" s="83"/>
      <c r="I248" s="83"/>
      <c r="J248" s="83"/>
      <c r="K248" s="83"/>
      <c r="L248" s="83"/>
      <c r="M248" s="83"/>
      <c r="N248" s="83"/>
      <c r="O248" s="83"/>
      <c r="P248" s="83"/>
      <c r="Q248" s="83"/>
      <c r="R248" s="83"/>
      <c r="S248" s="83"/>
      <c r="T248" s="83"/>
      <c r="U248" s="83"/>
      <c r="V248" s="110">
        <f t="shared" si="47"/>
        <v>0</v>
      </c>
      <c r="W248" s="110">
        <f t="shared" si="48"/>
        <v>0</v>
      </c>
      <c r="X248" s="110">
        <f t="shared" si="49"/>
        <v>0</v>
      </c>
      <c r="Y248" s="110">
        <f t="shared" si="50"/>
        <v>0</v>
      </c>
      <c r="Z248" s="110">
        <f t="shared" si="51"/>
        <v>0</v>
      </c>
      <c r="AA248" s="110">
        <f t="shared" si="52"/>
        <v>0</v>
      </c>
      <c r="AB248" s="110">
        <f t="shared" si="53"/>
        <v>0</v>
      </c>
      <c r="AC248" s="110">
        <f t="shared" si="54"/>
        <v>0</v>
      </c>
      <c r="AD248" s="110">
        <f t="shared" si="55"/>
        <v>0</v>
      </c>
      <c r="AE248" s="110">
        <f t="shared" si="56"/>
        <v>0</v>
      </c>
      <c r="AF248" s="110">
        <f t="shared" si="57"/>
        <v>0</v>
      </c>
      <c r="AG248" s="110">
        <f t="shared" si="58"/>
        <v>0</v>
      </c>
      <c r="AH248" s="110">
        <f t="shared" si="59"/>
        <v>0</v>
      </c>
      <c r="AI248" s="110">
        <f t="shared" si="60"/>
        <v>0</v>
      </c>
      <c r="AJ248" s="110">
        <f t="shared" si="61"/>
        <v>0</v>
      </c>
    </row>
    <row r="249" spans="1:36" s="85" customFormat="1" ht="52.5" hidden="1" customHeight="1" x14ac:dyDescent="0.25">
      <c r="A249" s="83">
        <v>231</v>
      </c>
      <c r="B249" s="83"/>
      <c r="C249" s="84"/>
      <c r="D249" s="93"/>
      <c r="E249" s="83"/>
      <c r="F249" s="83"/>
      <c r="G249" s="83"/>
      <c r="H249" s="83"/>
      <c r="I249" s="83"/>
      <c r="J249" s="83"/>
      <c r="K249" s="83"/>
      <c r="L249" s="83"/>
      <c r="M249" s="83"/>
      <c r="N249" s="83"/>
      <c r="O249" s="83"/>
      <c r="P249" s="83"/>
      <c r="Q249" s="83"/>
      <c r="R249" s="83"/>
      <c r="S249" s="83"/>
      <c r="T249" s="83"/>
      <c r="U249" s="83"/>
      <c r="V249" s="110">
        <f t="shared" si="47"/>
        <v>0</v>
      </c>
      <c r="W249" s="110">
        <f t="shared" si="48"/>
        <v>0</v>
      </c>
      <c r="X249" s="110">
        <f t="shared" si="49"/>
        <v>0</v>
      </c>
      <c r="Y249" s="110">
        <f t="shared" si="50"/>
        <v>0</v>
      </c>
      <c r="Z249" s="110">
        <f t="shared" si="51"/>
        <v>0</v>
      </c>
      <c r="AA249" s="110">
        <f t="shared" si="52"/>
        <v>0</v>
      </c>
      <c r="AB249" s="110">
        <f t="shared" si="53"/>
        <v>0</v>
      </c>
      <c r="AC249" s="110">
        <f t="shared" si="54"/>
        <v>0</v>
      </c>
      <c r="AD249" s="110">
        <f t="shared" si="55"/>
        <v>0</v>
      </c>
      <c r="AE249" s="110">
        <f t="shared" si="56"/>
        <v>0</v>
      </c>
      <c r="AF249" s="110">
        <f t="shared" si="57"/>
        <v>0</v>
      </c>
      <c r="AG249" s="110">
        <f t="shared" si="58"/>
        <v>0</v>
      </c>
      <c r="AH249" s="110">
        <f t="shared" si="59"/>
        <v>0</v>
      </c>
      <c r="AI249" s="110">
        <f t="shared" si="60"/>
        <v>0</v>
      </c>
      <c r="AJ249" s="110">
        <f t="shared" si="61"/>
        <v>0</v>
      </c>
    </row>
    <row r="250" spans="1:36" s="85" customFormat="1" ht="52.5" hidden="1" customHeight="1" x14ac:dyDescent="0.25">
      <c r="A250" s="83">
        <v>232</v>
      </c>
      <c r="B250" s="83"/>
      <c r="C250" s="84"/>
      <c r="D250" s="93"/>
      <c r="E250" s="83"/>
      <c r="F250" s="83"/>
      <c r="G250" s="83"/>
      <c r="H250" s="83"/>
      <c r="I250" s="83"/>
      <c r="J250" s="83"/>
      <c r="K250" s="83"/>
      <c r="L250" s="83"/>
      <c r="M250" s="83"/>
      <c r="N250" s="83"/>
      <c r="O250" s="83"/>
      <c r="P250" s="83"/>
      <c r="Q250" s="83"/>
      <c r="R250" s="83"/>
      <c r="S250" s="83"/>
      <c r="T250" s="83"/>
      <c r="U250" s="83"/>
      <c r="V250" s="110">
        <f t="shared" si="47"/>
        <v>0</v>
      </c>
      <c r="W250" s="110">
        <f t="shared" si="48"/>
        <v>0</v>
      </c>
      <c r="X250" s="110">
        <f t="shared" si="49"/>
        <v>0</v>
      </c>
      <c r="Y250" s="110">
        <f t="shared" si="50"/>
        <v>0</v>
      </c>
      <c r="Z250" s="110">
        <f t="shared" si="51"/>
        <v>0</v>
      </c>
      <c r="AA250" s="110">
        <f t="shared" si="52"/>
        <v>0</v>
      </c>
      <c r="AB250" s="110">
        <f t="shared" si="53"/>
        <v>0</v>
      </c>
      <c r="AC250" s="110">
        <f t="shared" si="54"/>
        <v>0</v>
      </c>
      <c r="AD250" s="110">
        <f t="shared" si="55"/>
        <v>0</v>
      </c>
      <c r="AE250" s="110">
        <f t="shared" si="56"/>
        <v>0</v>
      </c>
      <c r="AF250" s="110">
        <f t="shared" si="57"/>
        <v>0</v>
      </c>
      <c r="AG250" s="110">
        <f t="shared" si="58"/>
        <v>0</v>
      </c>
      <c r="AH250" s="110">
        <f t="shared" si="59"/>
        <v>0</v>
      </c>
      <c r="AI250" s="110">
        <f t="shared" si="60"/>
        <v>0</v>
      </c>
      <c r="AJ250" s="110">
        <f t="shared" si="61"/>
        <v>0</v>
      </c>
    </row>
    <row r="251" spans="1:36" s="85" customFormat="1" ht="52.5" hidden="1" customHeight="1" x14ac:dyDescent="0.25">
      <c r="A251" s="83">
        <v>233</v>
      </c>
      <c r="B251" s="83"/>
      <c r="C251" s="84"/>
      <c r="D251" s="93"/>
      <c r="E251" s="83"/>
      <c r="F251" s="83"/>
      <c r="G251" s="83"/>
      <c r="H251" s="83"/>
      <c r="I251" s="83"/>
      <c r="J251" s="83"/>
      <c r="K251" s="83"/>
      <c r="L251" s="83"/>
      <c r="M251" s="83"/>
      <c r="N251" s="83"/>
      <c r="O251" s="83"/>
      <c r="P251" s="83"/>
      <c r="Q251" s="83"/>
      <c r="R251" s="83"/>
      <c r="S251" s="83"/>
      <c r="T251" s="83"/>
      <c r="U251" s="83"/>
      <c r="V251" s="110">
        <f t="shared" si="47"/>
        <v>0</v>
      </c>
      <c r="W251" s="110">
        <f t="shared" si="48"/>
        <v>0</v>
      </c>
      <c r="X251" s="110">
        <f t="shared" si="49"/>
        <v>0</v>
      </c>
      <c r="Y251" s="110">
        <f t="shared" si="50"/>
        <v>0</v>
      </c>
      <c r="Z251" s="110">
        <f t="shared" si="51"/>
        <v>0</v>
      </c>
      <c r="AA251" s="110">
        <f t="shared" si="52"/>
        <v>0</v>
      </c>
      <c r="AB251" s="110">
        <f t="shared" si="53"/>
        <v>0</v>
      </c>
      <c r="AC251" s="110">
        <f t="shared" si="54"/>
        <v>0</v>
      </c>
      <c r="AD251" s="110">
        <f t="shared" si="55"/>
        <v>0</v>
      </c>
      <c r="AE251" s="110">
        <f t="shared" si="56"/>
        <v>0</v>
      </c>
      <c r="AF251" s="110">
        <f t="shared" si="57"/>
        <v>0</v>
      </c>
      <c r="AG251" s="110">
        <f t="shared" si="58"/>
        <v>0</v>
      </c>
      <c r="AH251" s="110">
        <f t="shared" si="59"/>
        <v>0</v>
      </c>
      <c r="AI251" s="110">
        <f t="shared" si="60"/>
        <v>0</v>
      </c>
      <c r="AJ251" s="110">
        <f t="shared" si="61"/>
        <v>0</v>
      </c>
    </row>
    <row r="252" spans="1:36" s="85" customFormat="1" ht="52.5" hidden="1" customHeight="1" x14ac:dyDescent="0.25">
      <c r="A252" s="83">
        <v>234</v>
      </c>
      <c r="B252" s="83"/>
      <c r="C252" s="84"/>
      <c r="D252" s="93"/>
      <c r="E252" s="83"/>
      <c r="F252" s="83"/>
      <c r="G252" s="83"/>
      <c r="H252" s="83"/>
      <c r="I252" s="83"/>
      <c r="J252" s="83"/>
      <c r="K252" s="83"/>
      <c r="L252" s="83"/>
      <c r="M252" s="83"/>
      <c r="N252" s="83"/>
      <c r="O252" s="83"/>
      <c r="P252" s="83"/>
      <c r="Q252" s="83"/>
      <c r="R252" s="83"/>
      <c r="S252" s="83"/>
      <c r="T252" s="83"/>
      <c r="U252" s="83"/>
      <c r="V252" s="110">
        <f t="shared" si="47"/>
        <v>0</v>
      </c>
      <c r="W252" s="110">
        <f t="shared" si="48"/>
        <v>0</v>
      </c>
      <c r="X252" s="110">
        <f t="shared" si="49"/>
        <v>0</v>
      </c>
      <c r="Y252" s="110">
        <f t="shared" si="50"/>
        <v>0</v>
      </c>
      <c r="Z252" s="110">
        <f t="shared" si="51"/>
        <v>0</v>
      </c>
      <c r="AA252" s="110">
        <f t="shared" si="52"/>
        <v>0</v>
      </c>
      <c r="AB252" s="110">
        <f t="shared" si="53"/>
        <v>0</v>
      </c>
      <c r="AC252" s="110">
        <f t="shared" si="54"/>
        <v>0</v>
      </c>
      <c r="AD252" s="110">
        <f t="shared" si="55"/>
        <v>0</v>
      </c>
      <c r="AE252" s="110">
        <f t="shared" si="56"/>
        <v>0</v>
      </c>
      <c r="AF252" s="110">
        <f t="shared" si="57"/>
        <v>0</v>
      </c>
      <c r="AG252" s="110">
        <f t="shared" si="58"/>
        <v>0</v>
      </c>
      <c r="AH252" s="110">
        <f t="shared" si="59"/>
        <v>0</v>
      </c>
      <c r="AI252" s="110">
        <f t="shared" si="60"/>
        <v>0</v>
      </c>
      <c r="AJ252" s="110">
        <f t="shared" si="61"/>
        <v>0</v>
      </c>
    </row>
    <row r="253" spans="1:36" s="85" customFormat="1" ht="52.5" hidden="1" customHeight="1" x14ac:dyDescent="0.25">
      <c r="A253" s="83">
        <v>235</v>
      </c>
      <c r="B253" s="83"/>
      <c r="C253" s="84"/>
      <c r="D253" s="93"/>
      <c r="E253" s="83"/>
      <c r="F253" s="83"/>
      <c r="G253" s="83"/>
      <c r="H253" s="83"/>
      <c r="I253" s="83"/>
      <c r="J253" s="83"/>
      <c r="K253" s="83"/>
      <c r="L253" s="83"/>
      <c r="M253" s="83"/>
      <c r="N253" s="83"/>
      <c r="O253" s="83"/>
      <c r="P253" s="83"/>
      <c r="Q253" s="83"/>
      <c r="R253" s="83"/>
      <c r="S253" s="83"/>
      <c r="T253" s="83"/>
      <c r="U253" s="83"/>
      <c r="V253" s="110">
        <f t="shared" si="47"/>
        <v>0</v>
      </c>
      <c r="W253" s="110">
        <f t="shared" si="48"/>
        <v>0</v>
      </c>
      <c r="X253" s="110">
        <f t="shared" si="49"/>
        <v>0</v>
      </c>
      <c r="Y253" s="110">
        <f t="shared" si="50"/>
        <v>0</v>
      </c>
      <c r="Z253" s="110">
        <f t="shared" si="51"/>
        <v>0</v>
      </c>
      <c r="AA253" s="110">
        <f t="shared" si="52"/>
        <v>0</v>
      </c>
      <c r="AB253" s="110">
        <f t="shared" si="53"/>
        <v>0</v>
      </c>
      <c r="AC253" s="110">
        <f t="shared" si="54"/>
        <v>0</v>
      </c>
      <c r="AD253" s="110">
        <f t="shared" si="55"/>
        <v>0</v>
      </c>
      <c r="AE253" s="110">
        <f t="shared" si="56"/>
        <v>0</v>
      </c>
      <c r="AF253" s="110">
        <f t="shared" si="57"/>
        <v>0</v>
      </c>
      <c r="AG253" s="110">
        <f t="shared" si="58"/>
        <v>0</v>
      </c>
      <c r="AH253" s="110">
        <f t="shared" si="59"/>
        <v>0</v>
      </c>
      <c r="AI253" s="110">
        <f t="shared" si="60"/>
        <v>0</v>
      </c>
      <c r="AJ253" s="110">
        <f t="shared" si="61"/>
        <v>0</v>
      </c>
    </row>
    <row r="254" spans="1:36" s="85" customFormat="1" ht="52.5" hidden="1" customHeight="1" x14ac:dyDescent="0.25">
      <c r="A254" s="83">
        <v>236</v>
      </c>
      <c r="B254" s="83"/>
      <c r="C254" s="84"/>
      <c r="D254" s="93"/>
      <c r="E254" s="83"/>
      <c r="F254" s="83"/>
      <c r="G254" s="83"/>
      <c r="H254" s="83"/>
      <c r="I254" s="83"/>
      <c r="J254" s="83"/>
      <c r="K254" s="83"/>
      <c r="L254" s="83"/>
      <c r="M254" s="83"/>
      <c r="N254" s="83"/>
      <c r="O254" s="83"/>
      <c r="P254" s="83"/>
      <c r="Q254" s="83"/>
      <c r="R254" s="83"/>
      <c r="S254" s="83"/>
      <c r="T254" s="83"/>
      <c r="U254" s="83"/>
      <c r="V254" s="110">
        <f t="shared" si="47"/>
        <v>0</v>
      </c>
      <c r="W254" s="110">
        <f t="shared" si="48"/>
        <v>0</v>
      </c>
      <c r="X254" s="110">
        <f t="shared" si="49"/>
        <v>0</v>
      </c>
      <c r="Y254" s="110">
        <f t="shared" si="50"/>
        <v>0</v>
      </c>
      <c r="Z254" s="110">
        <f t="shared" si="51"/>
        <v>0</v>
      </c>
      <c r="AA254" s="110">
        <f t="shared" si="52"/>
        <v>0</v>
      </c>
      <c r="AB254" s="110">
        <f t="shared" si="53"/>
        <v>0</v>
      </c>
      <c r="AC254" s="110">
        <f t="shared" si="54"/>
        <v>0</v>
      </c>
      <c r="AD254" s="110">
        <f t="shared" si="55"/>
        <v>0</v>
      </c>
      <c r="AE254" s="110">
        <f t="shared" si="56"/>
        <v>0</v>
      </c>
      <c r="AF254" s="110">
        <f t="shared" si="57"/>
        <v>0</v>
      </c>
      <c r="AG254" s="110">
        <f t="shared" si="58"/>
        <v>0</v>
      </c>
      <c r="AH254" s="110">
        <f t="shared" si="59"/>
        <v>0</v>
      </c>
      <c r="AI254" s="110">
        <f t="shared" si="60"/>
        <v>0</v>
      </c>
      <c r="AJ254" s="110">
        <f t="shared" si="61"/>
        <v>0</v>
      </c>
    </row>
    <row r="255" spans="1:36" s="85" customFormat="1" ht="52.5" hidden="1" customHeight="1" x14ac:dyDescent="0.25">
      <c r="A255" s="83">
        <v>237</v>
      </c>
      <c r="B255" s="83"/>
      <c r="C255" s="84"/>
      <c r="D255" s="93"/>
      <c r="E255" s="83"/>
      <c r="F255" s="83"/>
      <c r="G255" s="83"/>
      <c r="H255" s="83"/>
      <c r="I255" s="83"/>
      <c r="J255" s="83"/>
      <c r="K255" s="83"/>
      <c r="L255" s="83"/>
      <c r="M255" s="83"/>
      <c r="N255" s="83"/>
      <c r="O255" s="83"/>
      <c r="P255" s="83"/>
      <c r="Q255" s="83"/>
      <c r="R255" s="83"/>
      <c r="S255" s="83"/>
      <c r="T255" s="83"/>
      <c r="U255" s="83"/>
      <c r="V255" s="110">
        <f t="shared" si="47"/>
        <v>0</v>
      </c>
      <c r="W255" s="110">
        <f t="shared" si="48"/>
        <v>0</v>
      </c>
      <c r="X255" s="110">
        <f t="shared" si="49"/>
        <v>0</v>
      </c>
      <c r="Y255" s="110">
        <f t="shared" si="50"/>
        <v>0</v>
      </c>
      <c r="Z255" s="110">
        <f t="shared" si="51"/>
        <v>0</v>
      </c>
      <c r="AA255" s="110">
        <f t="shared" si="52"/>
        <v>0</v>
      </c>
      <c r="AB255" s="110">
        <f t="shared" si="53"/>
        <v>0</v>
      </c>
      <c r="AC255" s="110">
        <f t="shared" si="54"/>
        <v>0</v>
      </c>
      <c r="AD255" s="110">
        <f t="shared" si="55"/>
        <v>0</v>
      </c>
      <c r="AE255" s="110">
        <f t="shared" si="56"/>
        <v>0</v>
      </c>
      <c r="AF255" s="110">
        <f t="shared" si="57"/>
        <v>0</v>
      </c>
      <c r="AG255" s="110">
        <f t="shared" si="58"/>
        <v>0</v>
      </c>
      <c r="AH255" s="110">
        <f t="shared" si="59"/>
        <v>0</v>
      </c>
      <c r="AI255" s="110">
        <f t="shared" si="60"/>
        <v>0</v>
      </c>
      <c r="AJ255" s="110">
        <f t="shared" si="61"/>
        <v>0</v>
      </c>
    </row>
    <row r="256" spans="1:36" s="85" customFormat="1" ht="52.5" hidden="1" customHeight="1" x14ac:dyDescent="0.25">
      <c r="A256" s="83">
        <v>238</v>
      </c>
      <c r="B256" s="83"/>
      <c r="C256" s="84"/>
      <c r="D256" s="93"/>
      <c r="E256" s="83"/>
      <c r="F256" s="83"/>
      <c r="G256" s="83"/>
      <c r="H256" s="83"/>
      <c r="I256" s="83"/>
      <c r="J256" s="83"/>
      <c r="K256" s="83"/>
      <c r="L256" s="83"/>
      <c r="M256" s="83"/>
      <c r="N256" s="83"/>
      <c r="O256" s="83"/>
      <c r="P256" s="83"/>
      <c r="Q256" s="83"/>
      <c r="R256" s="83"/>
      <c r="S256" s="83"/>
      <c r="T256" s="83"/>
      <c r="U256" s="83"/>
      <c r="V256" s="110">
        <f t="shared" si="47"/>
        <v>0</v>
      </c>
      <c r="W256" s="110">
        <f t="shared" si="48"/>
        <v>0</v>
      </c>
      <c r="X256" s="110">
        <f t="shared" si="49"/>
        <v>0</v>
      </c>
      <c r="Y256" s="110">
        <f t="shared" si="50"/>
        <v>0</v>
      </c>
      <c r="Z256" s="110">
        <f t="shared" si="51"/>
        <v>0</v>
      </c>
      <c r="AA256" s="110">
        <f t="shared" si="52"/>
        <v>0</v>
      </c>
      <c r="AB256" s="110">
        <f t="shared" si="53"/>
        <v>0</v>
      </c>
      <c r="AC256" s="110">
        <f t="shared" si="54"/>
        <v>0</v>
      </c>
      <c r="AD256" s="110">
        <f t="shared" si="55"/>
        <v>0</v>
      </c>
      <c r="AE256" s="110">
        <f t="shared" si="56"/>
        <v>0</v>
      </c>
      <c r="AF256" s="110">
        <f t="shared" si="57"/>
        <v>0</v>
      </c>
      <c r="AG256" s="110">
        <f t="shared" si="58"/>
        <v>0</v>
      </c>
      <c r="AH256" s="110">
        <f t="shared" si="59"/>
        <v>0</v>
      </c>
      <c r="AI256" s="110">
        <f t="shared" si="60"/>
        <v>0</v>
      </c>
      <c r="AJ256" s="110">
        <f t="shared" si="61"/>
        <v>0</v>
      </c>
    </row>
    <row r="257" spans="1:36" s="85" customFormat="1" ht="52.5" hidden="1" customHeight="1" x14ac:dyDescent="0.25">
      <c r="A257" s="83">
        <v>239</v>
      </c>
      <c r="B257" s="83"/>
      <c r="C257" s="84"/>
      <c r="D257" s="93"/>
      <c r="E257" s="83"/>
      <c r="F257" s="83"/>
      <c r="G257" s="83"/>
      <c r="H257" s="83"/>
      <c r="I257" s="83"/>
      <c r="J257" s="83"/>
      <c r="K257" s="83"/>
      <c r="L257" s="83"/>
      <c r="M257" s="83"/>
      <c r="N257" s="83"/>
      <c r="O257" s="83"/>
      <c r="P257" s="83"/>
      <c r="Q257" s="83"/>
      <c r="R257" s="83"/>
      <c r="S257" s="83"/>
      <c r="T257" s="83"/>
      <c r="U257" s="83"/>
      <c r="V257" s="110">
        <f t="shared" si="47"/>
        <v>0</v>
      </c>
      <c r="W257" s="110">
        <f t="shared" si="48"/>
        <v>0</v>
      </c>
      <c r="X257" s="110">
        <f t="shared" si="49"/>
        <v>0</v>
      </c>
      <c r="Y257" s="110">
        <f t="shared" si="50"/>
        <v>0</v>
      </c>
      <c r="Z257" s="110">
        <f t="shared" si="51"/>
        <v>0</v>
      </c>
      <c r="AA257" s="110">
        <f t="shared" si="52"/>
        <v>0</v>
      </c>
      <c r="AB257" s="110">
        <f t="shared" si="53"/>
        <v>0</v>
      </c>
      <c r="AC257" s="110">
        <f t="shared" si="54"/>
        <v>0</v>
      </c>
      <c r="AD257" s="110">
        <f t="shared" si="55"/>
        <v>0</v>
      </c>
      <c r="AE257" s="110">
        <f t="shared" si="56"/>
        <v>0</v>
      </c>
      <c r="AF257" s="110">
        <f t="shared" si="57"/>
        <v>0</v>
      </c>
      <c r="AG257" s="110">
        <f t="shared" si="58"/>
        <v>0</v>
      </c>
      <c r="AH257" s="110">
        <f t="shared" si="59"/>
        <v>0</v>
      </c>
      <c r="AI257" s="110">
        <f t="shared" si="60"/>
        <v>0</v>
      </c>
      <c r="AJ257" s="110">
        <f t="shared" si="61"/>
        <v>0</v>
      </c>
    </row>
    <row r="258" spans="1:36" s="85" customFormat="1" ht="52.5" hidden="1" customHeight="1" x14ac:dyDescent="0.25">
      <c r="A258" s="83">
        <v>240</v>
      </c>
      <c r="B258" s="83"/>
      <c r="C258" s="84"/>
      <c r="D258" s="93"/>
      <c r="E258" s="83"/>
      <c r="F258" s="83"/>
      <c r="G258" s="83"/>
      <c r="H258" s="83"/>
      <c r="I258" s="83"/>
      <c r="J258" s="83"/>
      <c r="K258" s="83"/>
      <c r="L258" s="83"/>
      <c r="M258" s="83"/>
      <c r="N258" s="83"/>
      <c r="O258" s="83"/>
      <c r="P258" s="83"/>
      <c r="Q258" s="83"/>
      <c r="R258" s="83"/>
      <c r="S258" s="83"/>
      <c r="T258" s="83"/>
      <c r="U258" s="83"/>
      <c r="V258" s="110">
        <f t="shared" si="47"/>
        <v>0</v>
      </c>
      <c r="W258" s="110">
        <f t="shared" si="48"/>
        <v>0</v>
      </c>
      <c r="X258" s="110">
        <f t="shared" si="49"/>
        <v>0</v>
      </c>
      <c r="Y258" s="110">
        <f t="shared" si="50"/>
        <v>0</v>
      </c>
      <c r="Z258" s="110">
        <f t="shared" si="51"/>
        <v>0</v>
      </c>
      <c r="AA258" s="110">
        <f t="shared" si="52"/>
        <v>0</v>
      </c>
      <c r="AB258" s="110">
        <f t="shared" si="53"/>
        <v>0</v>
      </c>
      <c r="AC258" s="110">
        <f t="shared" si="54"/>
        <v>0</v>
      </c>
      <c r="AD258" s="110">
        <f t="shared" si="55"/>
        <v>0</v>
      </c>
      <c r="AE258" s="110">
        <f t="shared" si="56"/>
        <v>0</v>
      </c>
      <c r="AF258" s="110">
        <f t="shared" si="57"/>
        <v>0</v>
      </c>
      <c r="AG258" s="110">
        <f t="shared" si="58"/>
        <v>0</v>
      </c>
      <c r="AH258" s="110">
        <f t="shared" si="59"/>
        <v>0</v>
      </c>
      <c r="AI258" s="110">
        <f t="shared" si="60"/>
        <v>0</v>
      </c>
      <c r="AJ258" s="110">
        <f t="shared" si="61"/>
        <v>0</v>
      </c>
    </row>
    <row r="259" spans="1:36" s="85" customFormat="1" ht="52.5" hidden="1" customHeight="1" x14ac:dyDescent="0.25">
      <c r="A259" s="83">
        <v>241</v>
      </c>
      <c r="B259" s="83"/>
      <c r="C259" s="84"/>
      <c r="D259" s="93"/>
      <c r="E259" s="83"/>
      <c r="F259" s="83"/>
      <c r="G259" s="83"/>
      <c r="H259" s="83"/>
      <c r="I259" s="83"/>
      <c r="J259" s="83"/>
      <c r="K259" s="83"/>
      <c r="L259" s="83"/>
      <c r="M259" s="83"/>
      <c r="N259" s="83"/>
      <c r="O259" s="83"/>
      <c r="P259" s="83"/>
      <c r="Q259" s="83"/>
      <c r="R259" s="83"/>
      <c r="S259" s="83"/>
      <c r="T259" s="83"/>
      <c r="U259" s="83"/>
      <c r="V259" s="110">
        <f t="shared" si="47"/>
        <v>0</v>
      </c>
      <c r="W259" s="110">
        <f t="shared" si="48"/>
        <v>0</v>
      </c>
      <c r="X259" s="110">
        <f t="shared" si="49"/>
        <v>0</v>
      </c>
      <c r="Y259" s="110">
        <f t="shared" si="50"/>
        <v>0</v>
      </c>
      <c r="Z259" s="110">
        <f t="shared" si="51"/>
        <v>0</v>
      </c>
      <c r="AA259" s="110">
        <f t="shared" si="52"/>
        <v>0</v>
      </c>
      <c r="AB259" s="110">
        <f t="shared" si="53"/>
        <v>0</v>
      </c>
      <c r="AC259" s="110">
        <f t="shared" si="54"/>
        <v>0</v>
      </c>
      <c r="AD259" s="110">
        <f t="shared" si="55"/>
        <v>0</v>
      </c>
      <c r="AE259" s="110">
        <f t="shared" si="56"/>
        <v>0</v>
      </c>
      <c r="AF259" s="110">
        <f t="shared" si="57"/>
        <v>0</v>
      </c>
      <c r="AG259" s="110">
        <f t="shared" si="58"/>
        <v>0</v>
      </c>
      <c r="AH259" s="110">
        <f t="shared" si="59"/>
        <v>0</v>
      </c>
      <c r="AI259" s="110">
        <f t="shared" si="60"/>
        <v>0</v>
      </c>
      <c r="AJ259" s="110">
        <f t="shared" si="61"/>
        <v>0</v>
      </c>
    </row>
    <row r="260" spans="1:36" s="85" customFormat="1" ht="52.5" hidden="1" customHeight="1" x14ac:dyDescent="0.25">
      <c r="A260" s="83">
        <v>242</v>
      </c>
      <c r="B260" s="83"/>
      <c r="C260" s="84"/>
      <c r="D260" s="93"/>
      <c r="E260" s="83"/>
      <c r="F260" s="83"/>
      <c r="G260" s="83"/>
      <c r="H260" s="83"/>
      <c r="I260" s="83"/>
      <c r="J260" s="83"/>
      <c r="K260" s="83"/>
      <c r="L260" s="83"/>
      <c r="M260" s="83"/>
      <c r="N260" s="83"/>
      <c r="O260" s="83"/>
      <c r="P260" s="83"/>
      <c r="Q260" s="83"/>
      <c r="R260" s="83"/>
      <c r="S260" s="83"/>
      <c r="T260" s="83"/>
      <c r="U260" s="83"/>
      <c r="V260" s="110">
        <f t="shared" si="47"/>
        <v>0</v>
      </c>
      <c r="W260" s="110">
        <f t="shared" si="48"/>
        <v>0</v>
      </c>
      <c r="X260" s="110">
        <f t="shared" si="49"/>
        <v>0</v>
      </c>
      <c r="Y260" s="110">
        <f t="shared" si="50"/>
        <v>0</v>
      </c>
      <c r="Z260" s="110">
        <f t="shared" si="51"/>
        <v>0</v>
      </c>
      <c r="AA260" s="110">
        <f t="shared" si="52"/>
        <v>0</v>
      </c>
      <c r="AB260" s="110">
        <f t="shared" si="53"/>
        <v>0</v>
      </c>
      <c r="AC260" s="110">
        <f t="shared" si="54"/>
        <v>0</v>
      </c>
      <c r="AD260" s="110">
        <f t="shared" si="55"/>
        <v>0</v>
      </c>
      <c r="AE260" s="110">
        <f t="shared" si="56"/>
        <v>0</v>
      </c>
      <c r="AF260" s="110">
        <f t="shared" si="57"/>
        <v>0</v>
      </c>
      <c r="AG260" s="110">
        <f t="shared" si="58"/>
        <v>0</v>
      </c>
      <c r="AH260" s="110">
        <f t="shared" si="59"/>
        <v>0</v>
      </c>
      <c r="AI260" s="110">
        <f t="shared" si="60"/>
        <v>0</v>
      </c>
      <c r="AJ260" s="110">
        <f t="shared" si="61"/>
        <v>0</v>
      </c>
    </row>
    <row r="261" spans="1:36" s="85" customFormat="1" ht="52.5" hidden="1" customHeight="1" x14ac:dyDescent="0.25">
      <c r="A261" s="83">
        <v>243</v>
      </c>
      <c r="B261" s="83"/>
      <c r="C261" s="84"/>
      <c r="D261" s="93"/>
      <c r="E261" s="83"/>
      <c r="F261" s="83"/>
      <c r="G261" s="83"/>
      <c r="H261" s="83"/>
      <c r="I261" s="83"/>
      <c r="J261" s="83"/>
      <c r="K261" s="83"/>
      <c r="L261" s="83"/>
      <c r="M261" s="83"/>
      <c r="N261" s="83"/>
      <c r="O261" s="83"/>
      <c r="P261" s="83"/>
      <c r="Q261" s="83"/>
      <c r="R261" s="83"/>
      <c r="S261" s="83"/>
      <c r="T261" s="83"/>
      <c r="U261" s="83"/>
      <c r="V261" s="110">
        <f t="shared" si="47"/>
        <v>0</v>
      </c>
      <c r="W261" s="110">
        <f t="shared" si="48"/>
        <v>0</v>
      </c>
      <c r="X261" s="110">
        <f t="shared" si="49"/>
        <v>0</v>
      </c>
      <c r="Y261" s="110">
        <f t="shared" si="50"/>
        <v>0</v>
      </c>
      <c r="Z261" s="110">
        <f t="shared" si="51"/>
        <v>0</v>
      </c>
      <c r="AA261" s="110">
        <f t="shared" si="52"/>
        <v>0</v>
      </c>
      <c r="AB261" s="110">
        <f t="shared" si="53"/>
        <v>0</v>
      </c>
      <c r="AC261" s="110">
        <f t="shared" si="54"/>
        <v>0</v>
      </c>
      <c r="AD261" s="110">
        <f t="shared" si="55"/>
        <v>0</v>
      </c>
      <c r="AE261" s="110">
        <f t="shared" si="56"/>
        <v>0</v>
      </c>
      <c r="AF261" s="110">
        <f t="shared" si="57"/>
        <v>0</v>
      </c>
      <c r="AG261" s="110">
        <f t="shared" si="58"/>
        <v>0</v>
      </c>
      <c r="AH261" s="110">
        <f t="shared" si="59"/>
        <v>0</v>
      </c>
      <c r="AI261" s="110">
        <f t="shared" si="60"/>
        <v>0</v>
      </c>
      <c r="AJ261" s="110">
        <f t="shared" si="61"/>
        <v>0</v>
      </c>
    </row>
    <row r="262" spans="1:36" s="85" customFormat="1" ht="52.5" hidden="1" customHeight="1" x14ac:dyDescent="0.25">
      <c r="A262" s="83">
        <v>244</v>
      </c>
      <c r="B262" s="83"/>
      <c r="C262" s="84"/>
      <c r="D262" s="93"/>
      <c r="E262" s="83"/>
      <c r="F262" s="83"/>
      <c r="G262" s="83"/>
      <c r="H262" s="83"/>
      <c r="I262" s="83"/>
      <c r="J262" s="83"/>
      <c r="K262" s="83"/>
      <c r="L262" s="83"/>
      <c r="M262" s="83"/>
      <c r="N262" s="83"/>
      <c r="O262" s="83"/>
      <c r="P262" s="83"/>
      <c r="Q262" s="83"/>
      <c r="R262" s="83"/>
      <c r="S262" s="83"/>
      <c r="T262" s="83"/>
      <c r="U262" s="83"/>
      <c r="V262" s="110">
        <f t="shared" si="47"/>
        <v>0</v>
      </c>
      <c r="W262" s="110">
        <f t="shared" si="48"/>
        <v>0</v>
      </c>
      <c r="X262" s="110">
        <f t="shared" si="49"/>
        <v>0</v>
      </c>
      <c r="Y262" s="110">
        <f t="shared" si="50"/>
        <v>0</v>
      </c>
      <c r="Z262" s="110">
        <f t="shared" si="51"/>
        <v>0</v>
      </c>
      <c r="AA262" s="110">
        <f t="shared" si="52"/>
        <v>0</v>
      </c>
      <c r="AB262" s="110">
        <f t="shared" si="53"/>
        <v>0</v>
      </c>
      <c r="AC262" s="110">
        <f t="shared" si="54"/>
        <v>0</v>
      </c>
      <c r="AD262" s="110">
        <f t="shared" si="55"/>
        <v>0</v>
      </c>
      <c r="AE262" s="110">
        <f t="shared" si="56"/>
        <v>0</v>
      </c>
      <c r="AF262" s="110">
        <f t="shared" si="57"/>
        <v>0</v>
      </c>
      <c r="AG262" s="110">
        <f t="shared" si="58"/>
        <v>0</v>
      </c>
      <c r="AH262" s="110">
        <f t="shared" si="59"/>
        <v>0</v>
      </c>
      <c r="AI262" s="110">
        <f t="shared" si="60"/>
        <v>0</v>
      </c>
      <c r="AJ262" s="110">
        <f t="shared" si="61"/>
        <v>0</v>
      </c>
    </row>
    <row r="263" spans="1:36" s="85" customFormat="1" ht="52.5" hidden="1" customHeight="1" x14ac:dyDescent="0.25">
      <c r="A263" s="83">
        <v>245</v>
      </c>
      <c r="B263" s="83"/>
      <c r="C263" s="84"/>
      <c r="D263" s="93"/>
      <c r="E263" s="83"/>
      <c r="F263" s="83"/>
      <c r="G263" s="83"/>
      <c r="H263" s="83"/>
      <c r="I263" s="83"/>
      <c r="J263" s="83"/>
      <c r="K263" s="83"/>
      <c r="L263" s="83"/>
      <c r="M263" s="83"/>
      <c r="N263" s="83"/>
      <c r="O263" s="83"/>
      <c r="P263" s="83"/>
      <c r="Q263" s="83"/>
      <c r="R263" s="83"/>
      <c r="S263" s="83"/>
      <c r="T263" s="83"/>
      <c r="U263" s="83"/>
      <c r="V263" s="110">
        <f t="shared" si="47"/>
        <v>0</v>
      </c>
      <c r="W263" s="110">
        <f t="shared" si="48"/>
        <v>0</v>
      </c>
      <c r="X263" s="110">
        <f t="shared" si="49"/>
        <v>0</v>
      </c>
      <c r="Y263" s="110">
        <f t="shared" si="50"/>
        <v>0</v>
      </c>
      <c r="Z263" s="110">
        <f t="shared" si="51"/>
        <v>0</v>
      </c>
      <c r="AA263" s="110">
        <f t="shared" si="52"/>
        <v>0</v>
      </c>
      <c r="AB263" s="110">
        <f t="shared" si="53"/>
        <v>0</v>
      </c>
      <c r="AC263" s="110">
        <f t="shared" si="54"/>
        <v>0</v>
      </c>
      <c r="AD263" s="110">
        <f t="shared" si="55"/>
        <v>0</v>
      </c>
      <c r="AE263" s="110">
        <f t="shared" si="56"/>
        <v>0</v>
      </c>
      <c r="AF263" s="110">
        <f t="shared" si="57"/>
        <v>0</v>
      </c>
      <c r="AG263" s="110">
        <f t="shared" si="58"/>
        <v>0</v>
      </c>
      <c r="AH263" s="110">
        <f t="shared" si="59"/>
        <v>0</v>
      </c>
      <c r="AI263" s="110">
        <f t="shared" si="60"/>
        <v>0</v>
      </c>
      <c r="AJ263" s="110">
        <f t="shared" si="61"/>
        <v>0</v>
      </c>
    </row>
    <row r="264" spans="1:36" s="85" customFormat="1" ht="52.5" hidden="1" customHeight="1" x14ac:dyDescent="0.25">
      <c r="A264" s="83">
        <v>246</v>
      </c>
      <c r="B264" s="83"/>
      <c r="C264" s="84"/>
      <c r="D264" s="93"/>
      <c r="E264" s="83"/>
      <c r="F264" s="83"/>
      <c r="G264" s="83"/>
      <c r="H264" s="83"/>
      <c r="I264" s="83"/>
      <c r="J264" s="83"/>
      <c r="K264" s="83"/>
      <c r="L264" s="83"/>
      <c r="M264" s="83"/>
      <c r="N264" s="83"/>
      <c r="O264" s="83"/>
      <c r="P264" s="83"/>
      <c r="Q264" s="83"/>
      <c r="R264" s="83"/>
      <c r="S264" s="83"/>
      <c r="T264" s="83"/>
      <c r="U264" s="83"/>
      <c r="V264" s="110">
        <f t="shared" si="47"/>
        <v>0</v>
      </c>
      <c r="W264" s="110">
        <f t="shared" si="48"/>
        <v>0</v>
      </c>
      <c r="X264" s="110">
        <f t="shared" si="49"/>
        <v>0</v>
      </c>
      <c r="Y264" s="110">
        <f t="shared" si="50"/>
        <v>0</v>
      </c>
      <c r="Z264" s="110">
        <f t="shared" si="51"/>
        <v>0</v>
      </c>
      <c r="AA264" s="110">
        <f t="shared" si="52"/>
        <v>0</v>
      </c>
      <c r="AB264" s="110">
        <f t="shared" si="53"/>
        <v>0</v>
      </c>
      <c r="AC264" s="110">
        <f t="shared" si="54"/>
        <v>0</v>
      </c>
      <c r="AD264" s="110">
        <f t="shared" si="55"/>
        <v>0</v>
      </c>
      <c r="AE264" s="110">
        <f t="shared" si="56"/>
        <v>0</v>
      </c>
      <c r="AF264" s="110">
        <f t="shared" si="57"/>
        <v>0</v>
      </c>
      <c r="AG264" s="110">
        <f t="shared" si="58"/>
        <v>0</v>
      </c>
      <c r="AH264" s="110">
        <f t="shared" si="59"/>
        <v>0</v>
      </c>
      <c r="AI264" s="110">
        <f t="shared" si="60"/>
        <v>0</v>
      </c>
      <c r="AJ264" s="110">
        <f t="shared" si="61"/>
        <v>0</v>
      </c>
    </row>
    <row r="265" spans="1:36" s="85" customFormat="1" ht="52.5" hidden="1" customHeight="1" x14ac:dyDescent="0.25">
      <c r="A265" s="83">
        <v>247</v>
      </c>
      <c r="B265" s="83"/>
      <c r="C265" s="84"/>
      <c r="D265" s="93"/>
      <c r="E265" s="83"/>
      <c r="F265" s="83"/>
      <c r="G265" s="83"/>
      <c r="H265" s="83"/>
      <c r="I265" s="83"/>
      <c r="J265" s="83"/>
      <c r="K265" s="83"/>
      <c r="L265" s="83"/>
      <c r="M265" s="83"/>
      <c r="N265" s="83"/>
      <c r="O265" s="83"/>
      <c r="P265" s="83"/>
      <c r="Q265" s="83"/>
      <c r="R265" s="83"/>
      <c r="S265" s="83"/>
      <c r="T265" s="83"/>
      <c r="U265" s="83"/>
      <c r="V265" s="110">
        <f t="shared" si="47"/>
        <v>0</v>
      </c>
      <c r="W265" s="110">
        <f t="shared" si="48"/>
        <v>0</v>
      </c>
      <c r="X265" s="110">
        <f t="shared" si="49"/>
        <v>0</v>
      </c>
      <c r="Y265" s="110">
        <f t="shared" si="50"/>
        <v>0</v>
      </c>
      <c r="Z265" s="110">
        <f t="shared" si="51"/>
        <v>0</v>
      </c>
      <c r="AA265" s="110">
        <f t="shared" si="52"/>
        <v>0</v>
      </c>
      <c r="AB265" s="110">
        <f t="shared" si="53"/>
        <v>0</v>
      </c>
      <c r="AC265" s="110">
        <f t="shared" si="54"/>
        <v>0</v>
      </c>
      <c r="AD265" s="110">
        <f t="shared" si="55"/>
        <v>0</v>
      </c>
      <c r="AE265" s="110">
        <f t="shared" si="56"/>
        <v>0</v>
      </c>
      <c r="AF265" s="110">
        <f t="shared" si="57"/>
        <v>0</v>
      </c>
      <c r="AG265" s="110">
        <f t="shared" si="58"/>
        <v>0</v>
      </c>
      <c r="AH265" s="110">
        <f t="shared" si="59"/>
        <v>0</v>
      </c>
      <c r="AI265" s="110">
        <f t="shared" si="60"/>
        <v>0</v>
      </c>
      <c r="AJ265" s="110">
        <f t="shared" si="61"/>
        <v>0</v>
      </c>
    </row>
    <row r="266" spans="1:36" s="85" customFormat="1" ht="52.5" hidden="1" customHeight="1" x14ac:dyDescent="0.25">
      <c r="A266" s="83">
        <v>248</v>
      </c>
      <c r="B266" s="83"/>
      <c r="C266" s="84"/>
      <c r="D266" s="93"/>
      <c r="E266" s="83"/>
      <c r="F266" s="83"/>
      <c r="G266" s="83"/>
      <c r="H266" s="83"/>
      <c r="I266" s="83"/>
      <c r="J266" s="83"/>
      <c r="K266" s="83"/>
      <c r="L266" s="83"/>
      <c r="M266" s="83"/>
      <c r="N266" s="83"/>
      <c r="O266" s="83"/>
      <c r="P266" s="83"/>
      <c r="Q266" s="83"/>
      <c r="R266" s="83"/>
      <c r="S266" s="83"/>
      <c r="T266" s="83"/>
      <c r="U266" s="83"/>
      <c r="V266" s="110">
        <f t="shared" si="47"/>
        <v>0</v>
      </c>
      <c r="W266" s="110">
        <f t="shared" si="48"/>
        <v>0</v>
      </c>
      <c r="X266" s="110">
        <f t="shared" si="49"/>
        <v>0</v>
      </c>
      <c r="Y266" s="110">
        <f t="shared" si="50"/>
        <v>0</v>
      </c>
      <c r="Z266" s="110">
        <f t="shared" si="51"/>
        <v>0</v>
      </c>
      <c r="AA266" s="110">
        <f t="shared" si="52"/>
        <v>0</v>
      </c>
      <c r="AB266" s="110">
        <f t="shared" si="53"/>
        <v>0</v>
      </c>
      <c r="AC266" s="110">
        <f t="shared" si="54"/>
        <v>0</v>
      </c>
      <c r="AD266" s="110">
        <f t="shared" si="55"/>
        <v>0</v>
      </c>
      <c r="AE266" s="110">
        <f t="shared" si="56"/>
        <v>0</v>
      </c>
      <c r="AF266" s="110">
        <f t="shared" si="57"/>
        <v>0</v>
      </c>
      <c r="AG266" s="110">
        <f t="shared" si="58"/>
        <v>0</v>
      </c>
      <c r="AH266" s="110">
        <f t="shared" si="59"/>
        <v>0</v>
      </c>
      <c r="AI266" s="110">
        <f t="shared" si="60"/>
        <v>0</v>
      </c>
      <c r="AJ266" s="110">
        <f t="shared" si="61"/>
        <v>0</v>
      </c>
    </row>
    <row r="267" spans="1:36" s="85" customFormat="1" ht="52.5" hidden="1" customHeight="1" x14ac:dyDescent="0.25">
      <c r="A267" s="83">
        <v>249</v>
      </c>
      <c r="B267" s="83"/>
      <c r="C267" s="84"/>
      <c r="D267" s="93"/>
      <c r="E267" s="83"/>
      <c r="F267" s="83"/>
      <c r="G267" s="83"/>
      <c r="H267" s="83"/>
      <c r="I267" s="83"/>
      <c r="J267" s="83"/>
      <c r="K267" s="83"/>
      <c r="L267" s="83"/>
      <c r="M267" s="83"/>
      <c r="N267" s="83"/>
      <c r="O267" s="83"/>
      <c r="P267" s="83"/>
      <c r="Q267" s="83"/>
      <c r="R267" s="83"/>
      <c r="S267" s="83"/>
      <c r="T267" s="83"/>
      <c r="U267" s="83"/>
      <c r="V267" s="110">
        <f t="shared" si="47"/>
        <v>0</v>
      </c>
      <c r="W267" s="110">
        <f t="shared" si="48"/>
        <v>0</v>
      </c>
      <c r="X267" s="110">
        <f t="shared" si="49"/>
        <v>0</v>
      </c>
      <c r="Y267" s="110">
        <f t="shared" si="50"/>
        <v>0</v>
      </c>
      <c r="Z267" s="110">
        <f t="shared" si="51"/>
        <v>0</v>
      </c>
      <c r="AA267" s="110">
        <f t="shared" si="52"/>
        <v>0</v>
      </c>
      <c r="AB267" s="110">
        <f t="shared" si="53"/>
        <v>0</v>
      </c>
      <c r="AC267" s="110">
        <f t="shared" si="54"/>
        <v>0</v>
      </c>
      <c r="AD267" s="110">
        <f t="shared" si="55"/>
        <v>0</v>
      </c>
      <c r="AE267" s="110">
        <f t="shared" si="56"/>
        <v>0</v>
      </c>
      <c r="AF267" s="110">
        <f t="shared" si="57"/>
        <v>0</v>
      </c>
      <c r="AG267" s="110">
        <f t="shared" si="58"/>
        <v>0</v>
      </c>
      <c r="AH267" s="110">
        <f t="shared" si="59"/>
        <v>0</v>
      </c>
      <c r="AI267" s="110">
        <f t="shared" si="60"/>
        <v>0</v>
      </c>
      <c r="AJ267" s="110">
        <f t="shared" si="61"/>
        <v>0</v>
      </c>
    </row>
    <row r="268" spans="1:36" s="85" customFormat="1" ht="52.5" hidden="1" customHeight="1" x14ac:dyDescent="0.25">
      <c r="A268" s="83">
        <v>250</v>
      </c>
      <c r="B268" s="83"/>
      <c r="C268" s="84"/>
      <c r="D268" s="93"/>
      <c r="E268" s="83"/>
      <c r="F268" s="83"/>
      <c r="G268" s="83"/>
      <c r="H268" s="83"/>
      <c r="I268" s="83"/>
      <c r="J268" s="83"/>
      <c r="K268" s="83"/>
      <c r="L268" s="83"/>
      <c r="M268" s="83"/>
      <c r="N268" s="83"/>
      <c r="O268" s="83"/>
      <c r="P268" s="83"/>
      <c r="Q268" s="83"/>
      <c r="R268" s="83"/>
      <c r="S268" s="83"/>
      <c r="T268" s="83"/>
      <c r="U268" s="83"/>
      <c r="V268" s="110">
        <f t="shared" si="47"/>
        <v>0</v>
      </c>
      <c r="W268" s="110">
        <f t="shared" si="48"/>
        <v>0</v>
      </c>
      <c r="X268" s="110">
        <f t="shared" si="49"/>
        <v>0</v>
      </c>
      <c r="Y268" s="110">
        <f t="shared" si="50"/>
        <v>0</v>
      </c>
      <c r="Z268" s="110">
        <f t="shared" si="51"/>
        <v>0</v>
      </c>
      <c r="AA268" s="110">
        <f t="shared" si="52"/>
        <v>0</v>
      </c>
      <c r="AB268" s="110">
        <f t="shared" si="53"/>
        <v>0</v>
      </c>
      <c r="AC268" s="110">
        <f t="shared" si="54"/>
        <v>0</v>
      </c>
      <c r="AD268" s="110">
        <f t="shared" si="55"/>
        <v>0</v>
      </c>
      <c r="AE268" s="110">
        <f t="shared" si="56"/>
        <v>0</v>
      </c>
      <c r="AF268" s="110">
        <f t="shared" si="57"/>
        <v>0</v>
      </c>
      <c r="AG268" s="110">
        <f t="shared" si="58"/>
        <v>0</v>
      </c>
      <c r="AH268" s="110">
        <f t="shared" si="59"/>
        <v>0</v>
      </c>
      <c r="AI268" s="110">
        <f t="shared" si="60"/>
        <v>0</v>
      </c>
      <c r="AJ268" s="110">
        <f t="shared" si="61"/>
        <v>0</v>
      </c>
    </row>
    <row r="269" spans="1:36" s="85" customFormat="1" ht="52.5" hidden="1" customHeight="1" x14ac:dyDescent="0.25">
      <c r="A269" s="83">
        <v>251</v>
      </c>
      <c r="B269" s="83"/>
      <c r="C269" s="84"/>
      <c r="D269" s="93"/>
      <c r="E269" s="83"/>
      <c r="F269" s="83"/>
      <c r="G269" s="83"/>
      <c r="H269" s="83"/>
      <c r="I269" s="83"/>
      <c r="J269" s="83"/>
      <c r="K269" s="83"/>
      <c r="L269" s="83"/>
      <c r="M269" s="83"/>
      <c r="N269" s="83"/>
      <c r="O269" s="83"/>
      <c r="P269" s="83"/>
      <c r="Q269" s="83"/>
      <c r="R269" s="83"/>
      <c r="S269" s="83"/>
      <c r="T269" s="83"/>
      <c r="U269" s="83"/>
      <c r="V269" s="110">
        <f t="shared" si="47"/>
        <v>0</v>
      </c>
      <c r="W269" s="110">
        <f t="shared" si="48"/>
        <v>0</v>
      </c>
      <c r="X269" s="110">
        <f t="shared" si="49"/>
        <v>0</v>
      </c>
      <c r="Y269" s="110">
        <f t="shared" si="50"/>
        <v>0</v>
      </c>
      <c r="Z269" s="110">
        <f t="shared" si="51"/>
        <v>0</v>
      </c>
      <c r="AA269" s="110">
        <f t="shared" si="52"/>
        <v>0</v>
      </c>
      <c r="AB269" s="110">
        <f t="shared" si="53"/>
        <v>0</v>
      </c>
      <c r="AC269" s="110">
        <f t="shared" si="54"/>
        <v>0</v>
      </c>
      <c r="AD269" s="110">
        <f t="shared" si="55"/>
        <v>0</v>
      </c>
      <c r="AE269" s="110">
        <f t="shared" si="56"/>
        <v>0</v>
      </c>
      <c r="AF269" s="110">
        <f t="shared" si="57"/>
        <v>0</v>
      </c>
      <c r="AG269" s="110">
        <f t="shared" si="58"/>
        <v>0</v>
      </c>
      <c r="AH269" s="110">
        <f t="shared" si="59"/>
        <v>0</v>
      </c>
      <c r="AI269" s="110">
        <f t="shared" si="60"/>
        <v>0</v>
      </c>
      <c r="AJ269" s="110">
        <f t="shared" si="61"/>
        <v>0</v>
      </c>
    </row>
    <row r="270" spans="1:36" s="85" customFormat="1" ht="52.5" hidden="1" customHeight="1" x14ac:dyDescent="0.25">
      <c r="A270" s="83">
        <v>252</v>
      </c>
      <c r="B270" s="83"/>
      <c r="C270" s="84"/>
      <c r="D270" s="93"/>
      <c r="E270" s="83"/>
      <c r="F270" s="83"/>
      <c r="G270" s="83"/>
      <c r="H270" s="83"/>
      <c r="I270" s="83"/>
      <c r="J270" s="83"/>
      <c r="K270" s="83"/>
      <c r="L270" s="83"/>
      <c r="M270" s="83"/>
      <c r="N270" s="83"/>
      <c r="O270" s="83"/>
      <c r="P270" s="83"/>
      <c r="Q270" s="83"/>
      <c r="R270" s="83"/>
      <c r="S270" s="83"/>
      <c r="T270" s="83"/>
      <c r="U270" s="83"/>
      <c r="V270" s="110">
        <f t="shared" si="47"/>
        <v>0</v>
      </c>
      <c r="W270" s="110">
        <f t="shared" si="48"/>
        <v>0</v>
      </c>
      <c r="X270" s="110">
        <f t="shared" si="49"/>
        <v>0</v>
      </c>
      <c r="Y270" s="110">
        <f t="shared" si="50"/>
        <v>0</v>
      </c>
      <c r="Z270" s="110">
        <f t="shared" si="51"/>
        <v>0</v>
      </c>
      <c r="AA270" s="110">
        <f t="shared" si="52"/>
        <v>0</v>
      </c>
      <c r="AB270" s="110">
        <f t="shared" si="53"/>
        <v>0</v>
      </c>
      <c r="AC270" s="110">
        <f t="shared" si="54"/>
        <v>0</v>
      </c>
      <c r="AD270" s="110">
        <f t="shared" si="55"/>
        <v>0</v>
      </c>
      <c r="AE270" s="110">
        <f t="shared" si="56"/>
        <v>0</v>
      </c>
      <c r="AF270" s="110">
        <f t="shared" si="57"/>
        <v>0</v>
      </c>
      <c r="AG270" s="110">
        <f t="shared" si="58"/>
        <v>0</v>
      </c>
      <c r="AH270" s="110">
        <f t="shared" si="59"/>
        <v>0</v>
      </c>
      <c r="AI270" s="110">
        <f t="shared" si="60"/>
        <v>0</v>
      </c>
      <c r="AJ270" s="110">
        <f t="shared" si="61"/>
        <v>0</v>
      </c>
    </row>
    <row r="271" spans="1:36" s="85" customFormat="1" ht="52.5" hidden="1" customHeight="1" x14ac:dyDescent="0.25">
      <c r="A271" s="83">
        <v>253</v>
      </c>
      <c r="B271" s="83"/>
      <c r="C271" s="84"/>
      <c r="D271" s="93"/>
      <c r="E271" s="83"/>
      <c r="F271" s="83"/>
      <c r="G271" s="83"/>
      <c r="H271" s="83"/>
      <c r="I271" s="83"/>
      <c r="J271" s="83"/>
      <c r="K271" s="83"/>
      <c r="L271" s="83"/>
      <c r="M271" s="83"/>
      <c r="N271" s="83"/>
      <c r="O271" s="83"/>
      <c r="P271" s="83"/>
      <c r="Q271" s="83"/>
      <c r="R271" s="83"/>
      <c r="S271" s="83"/>
      <c r="T271" s="83"/>
      <c r="U271" s="83"/>
      <c r="V271" s="110">
        <f t="shared" si="47"/>
        <v>0</v>
      </c>
      <c r="W271" s="110">
        <f t="shared" si="48"/>
        <v>0</v>
      </c>
      <c r="X271" s="110">
        <f t="shared" si="49"/>
        <v>0</v>
      </c>
      <c r="Y271" s="110">
        <f t="shared" si="50"/>
        <v>0</v>
      </c>
      <c r="Z271" s="110">
        <f t="shared" si="51"/>
        <v>0</v>
      </c>
      <c r="AA271" s="110">
        <f t="shared" si="52"/>
        <v>0</v>
      </c>
      <c r="AB271" s="110">
        <f t="shared" si="53"/>
        <v>0</v>
      </c>
      <c r="AC271" s="110">
        <f t="shared" si="54"/>
        <v>0</v>
      </c>
      <c r="AD271" s="110">
        <f t="shared" si="55"/>
        <v>0</v>
      </c>
      <c r="AE271" s="110">
        <f t="shared" si="56"/>
        <v>0</v>
      </c>
      <c r="AF271" s="110">
        <f t="shared" si="57"/>
        <v>0</v>
      </c>
      <c r="AG271" s="110">
        <f t="shared" si="58"/>
        <v>0</v>
      </c>
      <c r="AH271" s="110">
        <f t="shared" si="59"/>
        <v>0</v>
      </c>
      <c r="AI271" s="110">
        <f t="shared" si="60"/>
        <v>0</v>
      </c>
      <c r="AJ271" s="110">
        <f t="shared" si="61"/>
        <v>0</v>
      </c>
    </row>
    <row r="272" spans="1:36" s="85" customFormat="1" ht="52.5" hidden="1" customHeight="1" x14ac:dyDescent="0.25">
      <c r="A272" s="83">
        <v>254</v>
      </c>
      <c r="B272" s="83"/>
      <c r="C272" s="84"/>
      <c r="D272" s="93"/>
      <c r="E272" s="83"/>
      <c r="F272" s="83"/>
      <c r="G272" s="83"/>
      <c r="H272" s="83"/>
      <c r="I272" s="83"/>
      <c r="J272" s="83"/>
      <c r="K272" s="83"/>
      <c r="L272" s="83"/>
      <c r="M272" s="83"/>
      <c r="N272" s="83"/>
      <c r="O272" s="83"/>
      <c r="P272" s="83"/>
      <c r="Q272" s="83"/>
      <c r="R272" s="83"/>
      <c r="S272" s="83"/>
      <c r="T272" s="83"/>
      <c r="U272" s="83"/>
      <c r="V272" s="110">
        <f t="shared" si="47"/>
        <v>0</v>
      </c>
      <c r="W272" s="110">
        <f t="shared" si="48"/>
        <v>0</v>
      </c>
      <c r="X272" s="110">
        <f t="shared" si="49"/>
        <v>0</v>
      </c>
      <c r="Y272" s="110">
        <f t="shared" si="50"/>
        <v>0</v>
      </c>
      <c r="Z272" s="110">
        <f t="shared" si="51"/>
        <v>0</v>
      </c>
      <c r="AA272" s="110">
        <f t="shared" si="52"/>
        <v>0</v>
      </c>
      <c r="AB272" s="110">
        <f t="shared" si="53"/>
        <v>0</v>
      </c>
      <c r="AC272" s="110">
        <f t="shared" si="54"/>
        <v>0</v>
      </c>
      <c r="AD272" s="110">
        <f t="shared" si="55"/>
        <v>0</v>
      </c>
      <c r="AE272" s="110">
        <f t="shared" si="56"/>
        <v>0</v>
      </c>
      <c r="AF272" s="110">
        <f t="shared" si="57"/>
        <v>0</v>
      </c>
      <c r="AG272" s="110">
        <f t="shared" si="58"/>
        <v>0</v>
      </c>
      <c r="AH272" s="110">
        <f t="shared" si="59"/>
        <v>0</v>
      </c>
      <c r="AI272" s="110">
        <f t="shared" si="60"/>
        <v>0</v>
      </c>
      <c r="AJ272" s="110">
        <f t="shared" si="61"/>
        <v>0</v>
      </c>
    </row>
    <row r="273" spans="1:36" s="85" customFormat="1" ht="52.5" hidden="1" customHeight="1" x14ac:dyDescent="0.25">
      <c r="A273" s="83">
        <v>255</v>
      </c>
      <c r="B273" s="83"/>
      <c r="C273" s="84"/>
      <c r="D273" s="93"/>
      <c r="E273" s="83"/>
      <c r="F273" s="83"/>
      <c r="G273" s="83"/>
      <c r="H273" s="83"/>
      <c r="I273" s="83"/>
      <c r="J273" s="83"/>
      <c r="K273" s="83"/>
      <c r="L273" s="83"/>
      <c r="M273" s="83"/>
      <c r="N273" s="83"/>
      <c r="O273" s="83"/>
      <c r="P273" s="83"/>
      <c r="Q273" s="83"/>
      <c r="R273" s="83"/>
      <c r="S273" s="83"/>
      <c r="T273" s="83"/>
      <c r="U273" s="83"/>
      <c r="V273" s="110">
        <f t="shared" si="47"/>
        <v>0</v>
      </c>
      <c r="W273" s="110">
        <f t="shared" si="48"/>
        <v>0</v>
      </c>
      <c r="X273" s="110">
        <f t="shared" si="49"/>
        <v>0</v>
      </c>
      <c r="Y273" s="110">
        <f t="shared" si="50"/>
        <v>0</v>
      </c>
      <c r="Z273" s="110">
        <f t="shared" si="51"/>
        <v>0</v>
      </c>
      <c r="AA273" s="110">
        <f t="shared" si="52"/>
        <v>0</v>
      </c>
      <c r="AB273" s="110">
        <f t="shared" si="53"/>
        <v>0</v>
      </c>
      <c r="AC273" s="110">
        <f t="shared" si="54"/>
        <v>0</v>
      </c>
      <c r="AD273" s="110">
        <f t="shared" si="55"/>
        <v>0</v>
      </c>
      <c r="AE273" s="110">
        <f t="shared" si="56"/>
        <v>0</v>
      </c>
      <c r="AF273" s="110">
        <f t="shared" si="57"/>
        <v>0</v>
      </c>
      <c r="AG273" s="110">
        <f t="shared" si="58"/>
        <v>0</v>
      </c>
      <c r="AH273" s="110">
        <f t="shared" si="59"/>
        <v>0</v>
      </c>
      <c r="AI273" s="110">
        <f t="shared" si="60"/>
        <v>0</v>
      </c>
      <c r="AJ273" s="110">
        <f t="shared" si="61"/>
        <v>0</v>
      </c>
    </row>
    <row r="274" spans="1:36" s="85" customFormat="1" ht="52.5" hidden="1" customHeight="1" x14ac:dyDescent="0.25">
      <c r="A274" s="83">
        <v>256</v>
      </c>
      <c r="B274" s="83"/>
      <c r="C274" s="84"/>
      <c r="D274" s="93"/>
      <c r="E274" s="83"/>
      <c r="F274" s="83"/>
      <c r="G274" s="83"/>
      <c r="H274" s="83"/>
      <c r="I274" s="83"/>
      <c r="J274" s="83"/>
      <c r="K274" s="83"/>
      <c r="L274" s="83"/>
      <c r="M274" s="83"/>
      <c r="N274" s="83"/>
      <c r="O274" s="83"/>
      <c r="P274" s="83"/>
      <c r="Q274" s="83"/>
      <c r="R274" s="83"/>
      <c r="S274" s="83"/>
      <c r="T274" s="83"/>
      <c r="U274" s="83"/>
      <c r="V274" s="110">
        <f t="shared" si="47"/>
        <v>0</v>
      </c>
      <c r="W274" s="110">
        <f t="shared" si="48"/>
        <v>0</v>
      </c>
      <c r="X274" s="110">
        <f t="shared" si="49"/>
        <v>0</v>
      </c>
      <c r="Y274" s="110">
        <f t="shared" si="50"/>
        <v>0</v>
      </c>
      <c r="Z274" s="110">
        <f t="shared" si="51"/>
        <v>0</v>
      </c>
      <c r="AA274" s="110">
        <f t="shared" si="52"/>
        <v>0</v>
      </c>
      <c r="AB274" s="110">
        <f t="shared" si="53"/>
        <v>0</v>
      </c>
      <c r="AC274" s="110">
        <f t="shared" si="54"/>
        <v>0</v>
      </c>
      <c r="AD274" s="110">
        <f t="shared" si="55"/>
        <v>0</v>
      </c>
      <c r="AE274" s="110">
        <f t="shared" si="56"/>
        <v>0</v>
      </c>
      <c r="AF274" s="110">
        <f t="shared" si="57"/>
        <v>0</v>
      </c>
      <c r="AG274" s="110">
        <f t="shared" si="58"/>
        <v>0</v>
      </c>
      <c r="AH274" s="110">
        <f t="shared" si="59"/>
        <v>0</v>
      </c>
      <c r="AI274" s="110">
        <f t="shared" si="60"/>
        <v>0</v>
      </c>
      <c r="AJ274" s="110">
        <f t="shared" si="61"/>
        <v>0</v>
      </c>
    </row>
    <row r="275" spans="1:36" s="85" customFormat="1" ht="52.5" hidden="1" customHeight="1" x14ac:dyDescent="0.25">
      <c r="A275" s="83">
        <v>257</v>
      </c>
      <c r="B275" s="83"/>
      <c r="C275" s="84"/>
      <c r="D275" s="93"/>
      <c r="E275" s="83"/>
      <c r="F275" s="83"/>
      <c r="G275" s="83"/>
      <c r="H275" s="83"/>
      <c r="I275" s="83"/>
      <c r="J275" s="83"/>
      <c r="K275" s="83"/>
      <c r="L275" s="83"/>
      <c r="M275" s="83"/>
      <c r="N275" s="83"/>
      <c r="O275" s="83"/>
      <c r="P275" s="83"/>
      <c r="Q275" s="83"/>
      <c r="R275" s="83"/>
      <c r="S275" s="83"/>
      <c r="T275" s="83"/>
      <c r="U275" s="83"/>
      <c r="V275" s="110">
        <f t="shared" ref="V275:V318" si="62">((((E275*2.5)+(J275*10)+O275+P275)/(400))*100)</f>
        <v>0</v>
      </c>
      <c r="W275" s="110">
        <f t="shared" ref="W275:W318" si="63">((((F275*2.5)+(K275*10)+O275+P275)/(400))*100)</f>
        <v>0</v>
      </c>
      <c r="X275" s="110">
        <f t="shared" ref="X275:X318" si="64">((((G275*2.5)+(L275*10)+O275+P275)/(400))*100)</f>
        <v>0</v>
      </c>
      <c r="Y275" s="110">
        <f t="shared" ref="Y275:Y318" si="65">((((H275*2.5)+(M275*10)+O275+P275)/(400))*100)</f>
        <v>0</v>
      </c>
      <c r="Z275" s="110">
        <f t="shared" ref="Z275:Z318" si="66">((((I275*2.5)+(N275*10)+O275+P275)/(400))*100)</f>
        <v>0</v>
      </c>
      <c r="AA275" s="110">
        <f t="shared" si="52"/>
        <v>0</v>
      </c>
      <c r="AB275" s="110">
        <f t="shared" si="53"/>
        <v>0</v>
      </c>
      <c r="AC275" s="110">
        <f t="shared" si="54"/>
        <v>0</v>
      </c>
      <c r="AD275" s="110">
        <f t="shared" si="55"/>
        <v>0</v>
      </c>
      <c r="AE275" s="110">
        <f t="shared" si="56"/>
        <v>0</v>
      </c>
      <c r="AF275" s="110">
        <f t="shared" si="57"/>
        <v>0</v>
      </c>
      <c r="AG275" s="110">
        <f t="shared" si="58"/>
        <v>0</v>
      </c>
      <c r="AH275" s="110">
        <f t="shared" si="59"/>
        <v>0</v>
      </c>
      <c r="AI275" s="110">
        <f t="shared" si="60"/>
        <v>0</v>
      </c>
      <c r="AJ275" s="110">
        <f t="shared" si="61"/>
        <v>0</v>
      </c>
    </row>
    <row r="276" spans="1:36" s="85" customFormat="1" ht="52.5" hidden="1" customHeight="1" x14ac:dyDescent="0.25">
      <c r="A276" s="83">
        <v>258</v>
      </c>
      <c r="B276" s="83"/>
      <c r="C276" s="84"/>
      <c r="D276" s="93"/>
      <c r="E276" s="83"/>
      <c r="F276" s="83"/>
      <c r="G276" s="83"/>
      <c r="H276" s="83"/>
      <c r="I276" s="83"/>
      <c r="J276" s="83"/>
      <c r="K276" s="83"/>
      <c r="L276" s="83"/>
      <c r="M276" s="83"/>
      <c r="N276" s="83"/>
      <c r="O276" s="83"/>
      <c r="P276" s="83"/>
      <c r="Q276" s="83"/>
      <c r="R276" s="83"/>
      <c r="S276" s="83"/>
      <c r="T276" s="83"/>
      <c r="U276" s="83"/>
      <c r="V276" s="110">
        <f t="shared" si="62"/>
        <v>0</v>
      </c>
      <c r="W276" s="110">
        <f t="shared" si="63"/>
        <v>0</v>
      </c>
      <c r="X276" s="110">
        <f t="shared" si="64"/>
        <v>0</v>
      </c>
      <c r="Y276" s="110">
        <f t="shared" si="65"/>
        <v>0</v>
      </c>
      <c r="Z276" s="110">
        <f t="shared" si="66"/>
        <v>0</v>
      </c>
      <c r="AA276" s="110">
        <f t="shared" ref="AA276:AA318" si="67">(Q276/20)*100</f>
        <v>0</v>
      </c>
      <c r="AB276" s="110">
        <f t="shared" ref="AB276:AB318" si="68">(R276/20)*100</f>
        <v>0</v>
      </c>
      <c r="AC276" s="110">
        <f t="shared" ref="AC276:AC318" si="69">(S276/20)*100</f>
        <v>0</v>
      </c>
      <c r="AD276" s="110">
        <f t="shared" ref="AD276:AD318" si="70">(T276/20)*100</f>
        <v>0</v>
      </c>
      <c r="AE276" s="110">
        <f t="shared" ref="AE276:AE318" si="71">(U276/20)*100</f>
        <v>0</v>
      </c>
      <c r="AF276" s="110">
        <f t="shared" ref="AF276:AF318" si="72">(V276*0.4+AA276*0.6)</f>
        <v>0</v>
      </c>
      <c r="AG276" s="110">
        <f t="shared" ref="AG276:AG318" si="73">(W276*0.4+AB276*0.6)</f>
        <v>0</v>
      </c>
      <c r="AH276" s="110">
        <f t="shared" ref="AH276:AH318" si="74">(X276*0.4+AC276*0.6)</f>
        <v>0</v>
      </c>
      <c r="AI276" s="110">
        <f t="shared" ref="AI276:AI318" si="75">(Y276*0.4+AD276*0.6)</f>
        <v>0</v>
      </c>
      <c r="AJ276" s="110">
        <f t="shared" ref="AJ276:AJ318" si="76">(Z276*0.4+AE276*0.6)</f>
        <v>0</v>
      </c>
    </row>
    <row r="277" spans="1:36" s="85" customFormat="1" ht="52.5" hidden="1" customHeight="1" x14ac:dyDescent="0.25">
      <c r="A277" s="83">
        <v>259</v>
      </c>
      <c r="B277" s="83"/>
      <c r="C277" s="84"/>
      <c r="D277" s="93"/>
      <c r="E277" s="83"/>
      <c r="F277" s="83"/>
      <c r="G277" s="83"/>
      <c r="H277" s="83"/>
      <c r="I277" s="83"/>
      <c r="J277" s="83"/>
      <c r="K277" s="83"/>
      <c r="L277" s="83"/>
      <c r="M277" s="83"/>
      <c r="N277" s="83"/>
      <c r="O277" s="83"/>
      <c r="P277" s="83"/>
      <c r="Q277" s="83"/>
      <c r="R277" s="83"/>
      <c r="S277" s="83"/>
      <c r="T277" s="83"/>
      <c r="U277" s="83"/>
      <c r="V277" s="110">
        <f t="shared" si="62"/>
        <v>0</v>
      </c>
      <c r="W277" s="110">
        <f t="shared" si="63"/>
        <v>0</v>
      </c>
      <c r="X277" s="110">
        <f t="shared" si="64"/>
        <v>0</v>
      </c>
      <c r="Y277" s="110">
        <f t="shared" si="65"/>
        <v>0</v>
      </c>
      <c r="Z277" s="110">
        <f t="shared" si="66"/>
        <v>0</v>
      </c>
      <c r="AA277" s="110">
        <f t="shared" si="67"/>
        <v>0</v>
      </c>
      <c r="AB277" s="110">
        <f t="shared" si="68"/>
        <v>0</v>
      </c>
      <c r="AC277" s="110">
        <f t="shared" si="69"/>
        <v>0</v>
      </c>
      <c r="AD277" s="110">
        <f t="shared" si="70"/>
        <v>0</v>
      </c>
      <c r="AE277" s="110">
        <f t="shared" si="71"/>
        <v>0</v>
      </c>
      <c r="AF277" s="110">
        <f t="shared" si="72"/>
        <v>0</v>
      </c>
      <c r="AG277" s="110">
        <f t="shared" si="73"/>
        <v>0</v>
      </c>
      <c r="AH277" s="110">
        <f t="shared" si="74"/>
        <v>0</v>
      </c>
      <c r="AI277" s="110">
        <f t="shared" si="75"/>
        <v>0</v>
      </c>
      <c r="AJ277" s="110">
        <f t="shared" si="76"/>
        <v>0</v>
      </c>
    </row>
    <row r="278" spans="1:36" s="85" customFormat="1" ht="52.5" hidden="1" customHeight="1" x14ac:dyDescent="0.25">
      <c r="A278" s="83">
        <v>260</v>
      </c>
      <c r="B278" s="83"/>
      <c r="C278" s="84"/>
      <c r="D278" s="93"/>
      <c r="E278" s="83"/>
      <c r="F278" s="83"/>
      <c r="G278" s="83"/>
      <c r="H278" s="83"/>
      <c r="I278" s="83"/>
      <c r="J278" s="83"/>
      <c r="K278" s="83"/>
      <c r="L278" s="83"/>
      <c r="M278" s="83"/>
      <c r="N278" s="83"/>
      <c r="O278" s="83"/>
      <c r="P278" s="83"/>
      <c r="Q278" s="83"/>
      <c r="R278" s="83"/>
      <c r="S278" s="83"/>
      <c r="T278" s="83"/>
      <c r="U278" s="83"/>
      <c r="V278" s="110">
        <f t="shared" si="62"/>
        <v>0</v>
      </c>
      <c r="W278" s="110">
        <f t="shared" si="63"/>
        <v>0</v>
      </c>
      <c r="X278" s="110">
        <f t="shared" si="64"/>
        <v>0</v>
      </c>
      <c r="Y278" s="110">
        <f t="shared" si="65"/>
        <v>0</v>
      </c>
      <c r="Z278" s="110">
        <f t="shared" si="66"/>
        <v>0</v>
      </c>
      <c r="AA278" s="110">
        <f t="shared" si="67"/>
        <v>0</v>
      </c>
      <c r="AB278" s="110">
        <f t="shared" si="68"/>
        <v>0</v>
      </c>
      <c r="AC278" s="110">
        <f t="shared" si="69"/>
        <v>0</v>
      </c>
      <c r="AD278" s="110">
        <f t="shared" si="70"/>
        <v>0</v>
      </c>
      <c r="AE278" s="110">
        <f t="shared" si="71"/>
        <v>0</v>
      </c>
      <c r="AF278" s="110">
        <f t="shared" si="72"/>
        <v>0</v>
      </c>
      <c r="AG278" s="110">
        <f t="shared" si="73"/>
        <v>0</v>
      </c>
      <c r="AH278" s="110">
        <f t="shared" si="74"/>
        <v>0</v>
      </c>
      <c r="AI278" s="110">
        <f t="shared" si="75"/>
        <v>0</v>
      </c>
      <c r="AJ278" s="110">
        <f t="shared" si="76"/>
        <v>0</v>
      </c>
    </row>
    <row r="279" spans="1:36" s="85" customFormat="1" ht="52.5" hidden="1" customHeight="1" x14ac:dyDescent="0.25">
      <c r="A279" s="83">
        <v>261</v>
      </c>
      <c r="B279" s="83"/>
      <c r="C279" s="84"/>
      <c r="D279" s="93"/>
      <c r="E279" s="83"/>
      <c r="F279" s="83"/>
      <c r="G279" s="83"/>
      <c r="H279" s="83"/>
      <c r="I279" s="83"/>
      <c r="J279" s="83"/>
      <c r="K279" s="83"/>
      <c r="L279" s="83"/>
      <c r="M279" s="83"/>
      <c r="N279" s="83"/>
      <c r="O279" s="83"/>
      <c r="P279" s="83"/>
      <c r="Q279" s="83"/>
      <c r="R279" s="83"/>
      <c r="S279" s="83"/>
      <c r="T279" s="83"/>
      <c r="U279" s="83"/>
      <c r="V279" s="110">
        <f t="shared" si="62"/>
        <v>0</v>
      </c>
      <c r="W279" s="110">
        <f t="shared" si="63"/>
        <v>0</v>
      </c>
      <c r="X279" s="110">
        <f t="shared" si="64"/>
        <v>0</v>
      </c>
      <c r="Y279" s="110">
        <f t="shared" si="65"/>
        <v>0</v>
      </c>
      <c r="Z279" s="110">
        <f t="shared" si="66"/>
        <v>0</v>
      </c>
      <c r="AA279" s="110">
        <f t="shared" si="67"/>
        <v>0</v>
      </c>
      <c r="AB279" s="110">
        <f t="shared" si="68"/>
        <v>0</v>
      </c>
      <c r="AC279" s="110">
        <f t="shared" si="69"/>
        <v>0</v>
      </c>
      <c r="AD279" s="110">
        <f t="shared" si="70"/>
        <v>0</v>
      </c>
      <c r="AE279" s="110">
        <f t="shared" si="71"/>
        <v>0</v>
      </c>
      <c r="AF279" s="110">
        <f t="shared" si="72"/>
        <v>0</v>
      </c>
      <c r="AG279" s="110">
        <f t="shared" si="73"/>
        <v>0</v>
      </c>
      <c r="AH279" s="110">
        <f t="shared" si="74"/>
        <v>0</v>
      </c>
      <c r="AI279" s="110">
        <f t="shared" si="75"/>
        <v>0</v>
      </c>
      <c r="AJ279" s="110">
        <f t="shared" si="76"/>
        <v>0</v>
      </c>
    </row>
    <row r="280" spans="1:36" s="85" customFormat="1" ht="52.5" hidden="1" customHeight="1" x14ac:dyDescent="0.25">
      <c r="A280" s="83">
        <v>262</v>
      </c>
      <c r="B280" s="83"/>
      <c r="C280" s="84"/>
      <c r="D280" s="93"/>
      <c r="E280" s="83"/>
      <c r="F280" s="83"/>
      <c r="G280" s="83"/>
      <c r="H280" s="83"/>
      <c r="I280" s="83"/>
      <c r="J280" s="83"/>
      <c r="K280" s="83"/>
      <c r="L280" s="83"/>
      <c r="M280" s="83"/>
      <c r="N280" s="83"/>
      <c r="O280" s="83"/>
      <c r="P280" s="83"/>
      <c r="Q280" s="83"/>
      <c r="R280" s="83"/>
      <c r="S280" s="83"/>
      <c r="T280" s="83"/>
      <c r="U280" s="83"/>
      <c r="V280" s="110">
        <f t="shared" si="62"/>
        <v>0</v>
      </c>
      <c r="W280" s="110">
        <f t="shared" si="63"/>
        <v>0</v>
      </c>
      <c r="X280" s="110">
        <f t="shared" si="64"/>
        <v>0</v>
      </c>
      <c r="Y280" s="110">
        <f t="shared" si="65"/>
        <v>0</v>
      </c>
      <c r="Z280" s="110">
        <f t="shared" si="66"/>
        <v>0</v>
      </c>
      <c r="AA280" s="110">
        <f t="shared" si="67"/>
        <v>0</v>
      </c>
      <c r="AB280" s="110">
        <f t="shared" si="68"/>
        <v>0</v>
      </c>
      <c r="AC280" s="110">
        <f t="shared" si="69"/>
        <v>0</v>
      </c>
      <c r="AD280" s="110">
        <f t="shared" si="70"/>
        <v>0</v>
      </c>
      <c r="AE280" s="110">
        <f t="shared" si="71"/>
        <v>0</v>
      </c>
      <c r="AF280" s="110">
        <f t="shared" si="72"/>
        <v>0</v>
      </c>
      <c r="AG280" s="110">
        <f t="shared" si="73"/>
        <v>0</v>
      </c>
      <c r="AH280" s="110">
        <f t="shared" si="74"/>
        <v>0</v>
      </c>
      <c r="AI280" s="110">
        <f t="shared" si="75"/>
        <v>0</v>
      </c>
      <c r="AJ280" s="110">
        <f t="shared" si="76"/>
        <v>0</v>
      </c>
    </row>
    <row r="281" spans="1:36" s="85" customFormat="1" ht="52.5" hidden="1" customHeight="1" x14ac:dyDescent="0.25">
      <c r="A281" s="83">
        <v>263</v>
      </c>
      <c r="B281" s="83"/>
      <c r="C281" s="84"/>
      <c r="D281" s="93"/>
      <c r="E281" s="83"/>
      <c r="F281" s="83"/>
      <c r="G281" s="83"/>
      <c r="H281" s="83"/>
      <c r="I281" s="83"/>
      <c r="J281" s="83"/>
      <c r="K281" s="83"/>
      <c r="L281" s="83"/>
      <c r="M281" s="83"/>
      <c r="N281" s="83"/>
      <c r="O281" s="83"/>
      <c r="P281" s="83"/>
      <c r="Q281" s="83"/>
      <c r="R281" s="83"/>
      <c r="S281" s="83"/>
      <c r="T281" s="83"/>
      <c r="U281" s="83"/>
      <c r="V281" s="110">
        <f t="shared" si="62"/>
        <v>0</v>
      </c>
      <c r="W281" s="110">
        <f t="shared" si="63"/>
        <v>0</v>
      </c>
      <c r="X281" s="110">
        <f t="shared" si="64"/>
        <v>0</v>
      </c>
      <c r="Y281" s="110">
        <f t="shared" si="65"/>
        <v>0</v>
      </c>
      <c r="Z281" s="110">
        <f t="shared" si="66"/>
        <v>0</v>
      </c>
      <c r="AA281" s="110">
        <f t="shared" si="67"/>
        <v>0</v>
      </c>
      <c r="AB281" s="110">
        <f t="shared" si="68"/>
        <v>0</v>
      </c>
      <c r="AC281" s="110">
        <f t="shared" si="69"/>
        <v>0</v>
      </c>
      <c r="AD281" s="110">
        <f t="shared" si="70"/>
        <v>0</v>
      </c>
      <c r="AE281" s="110">
        <f t="shared" si="71"/>
        <v>0</v>
      </c>
      <c r="AF281" s="110">
        <f t="shared" si="72"/>
        <v>0</v>
      </c>
      <c r="AG281" s="110">
        <f t="shared" si="73"/>
        <v>0</v>
      </c>
      <c r="AH281" s="110">
        <f t="shared" si="74"/>
        <v>0</v>
      </c>
      <c r="AI281" s="110">
        <f t="shared" si="75"/>
        <v>0</v>
      </c>
      <c r="AJ281" s="110">
        <f t="shared" si="76"/>
        <v>0</v>
      </c>
    </row>
    <row r="282" spans="1:36" s="85" customFormat="1" ht="52.5" hidden="1" customHeight="1" x14ac:dyDescent="0.25">
      <c r="A282" s="83">
        <v>264</v>
      </c>
      <c r="B282" s="83"/>
      <c r="C282" s="84"/>
      <c r="D282" s="93"/>
      <c r="E282" s="83"/>
      <c r="F282" s="83"/>
      <c r="G282" s="83"/>
      <c r="H282" s="83"/>
      <c r="I282" s="83"/>
      <c r="J282" s="83"/>
      <c r="K282" s="83"/>
      <c r="L282" s="83"/>
      <c r="M282" s="83"/>
      <c r="N282" s="83"/>
      <c r="O282" s="83"/>
      <c r="P282" s="83"/>
      <c r="Q282" s="83"/>
      <c r="R282" s="83"/>
      <c r="S282" s="83"/>
      <c r="T282" s="83"/>
      <c r="U282" s="83"/>
      <c r="V282" s="110">
        <f t="shared" si="62"/>
        <v>0</v>
      </c>
      <c r="W282" s="110">
        <f t="shared" si="63"/>
        <v>0</v>
      </c>
      <c r="X282" s="110">
        <f t="shared" si="64"/>
        <v>0</v>
      </c>
      <c r="Y282" s="110">
        <f t="shared" si="65"/>
        <v>0</v>
      </c>
      <c r="Z282" s="110">
        <f t="shared" si="66"/>
        <v>0</v>
      </c>
      <c r="AA282" s="110">
        <f t="shared" si="67"/>
        <v>0</v>
      </c>
      <c r="AB282" s="110">
        <f t="shared" si="68"/>
        <v>0</v>
      </c>
      <c r="AC282" s="110">
        <f t="shared" si="69"/>
        <v>0</v>
      </c>
      <c r="AD282" s="110">
        <f t="shared" si="70"/>
        <v>0</v>
      </c>
      <c r="AE282" s="110">
        <f t="shared" si="71"/>
        <v>0</v>
      </c>
      <c r="AF282" s="110">
        <f t="shared" si="72"/>
        <v>0</v>
      </c>
      <c r="AG282" s="110">
        <f t="shared" si="73"/>
        <v>0</v>
      </c>
      <c r="AH282" s="110">
        <f t="shared" si="74"/>
        <v>0</v>
      </c>
      <c r="AI282" s="110">
        <f t="shared" si="75"/>
        <v>0</v>
      </c>
      <c r="AJ282" s="110">
        <f t="shared" si="76"/>
        <v>0</v>
      </c>
    </row>
    <row r="283" spans="1:36" s="85" customFormat="1" ht="52.5" hidden="1" customHeight="1" x14ac:dyDescent="0.25">
      <c r="A283" s="83">
        <v>265</v>
      </c>
      <c r="B283" s="83"/>
      <c r="C283" s="84"/>
      <c r="D283" s="93"/>
      <c r="E283" s="83"/>
      <c r="F283" s="83"/>
      <c r="G283" s="83"/>
      <c r="H283" s="83"/>
      <c r="I283" s="83"/>
      <c r="J283" s="83"/>
      <c r="K283" s="83"/>
      <c r="L283" s="83"/>
      <c r="M283" s="83"/>
      <c r="N283" s="83"/>
      <c r="O283" s="83"/>
      <c r="P283" s="83"/>
      <c r="Q283" s="83"/>
      <c r="R283" s="83"/>
      <c r="S283" s="83"/>
      <c r="T283" s="83"/>
      <c r="U283" s="83"/>
      <c r="V283" s="110">
        <f t="shared" si="62"/>
        <v>0</v>
      </c>
      <c r="W283" s="110">
        <f t="shared" si="63"/>
        <v>0</v>
      </c>
      <c r="X283" s="110">
        <f t="shared" si="64"/>
        <v>0</v>
      </c>
      <c r="Y283" s="110">
        <f t="shared" si="65"/>
        <v>0</v>
      </c>
      <c r="Z283" s="110">
        <f t="shared" si="66"/>
        <v>0</v>
      </c>
      <c r="AA283" s="110">
        <f t="shared" si="67"/>
        <v>0</v>
      </c>
      <c r="AB283" s="110">
        <f t="shared" si="68"/>
        <v>0</v>
      </c>
      <c r="AC283" s="110">
        <f t="shared" si="69"/>
        <v>0</v>
      </c>
      <c r="AD283" s="110">
        <f t="shared" si="70"/>
        <v>0</v>
      </c>
      <c r="AE283" s="110">
        <f t="shared" si="71"/>
        <v>0</v>
      </c>
      <c r="AF283" s="110">
        <f t="shared" si="72"/>
        <v>0</v>
      </c>
      <c r="AG283" s="110">
        <f t="shared" si="73"/>
        <v>0</v>
      </c>
      <c r="AH283" s="110">
        <f t="shared" si="74"/>
        <v>0</v>
      </c>
      <c r="AI283" s="110">
        <f t="shared" si="75"/>
        <v>0</v>
      </c>
      <c r="AJ283" s="110">
        <f t="shared" si="76"/>
        <v>0</v>
      </c>
    </row>
    <row r="284" spans="1:36" s="85" customFormat="1" ht="52.5" hidden="1" customHeight="1" x14ac:dyDescent="0.25">
      <c r="A284" s="83">
        <v>266</v>
      </c>
      <c r="B284" s="83"/>
      <c r="C284" s="84"/>
      <c r="D284" s="93"/>
      <c r="E284" s="83"/>
      <c r="F284" s="83"/>
      <c r="G284" s="83"/>
      <c r="H284" s="83"/>
      <c r="I284" s="83"/>
      <c r="J284" s="83"/>
      <c r="K284" s="83"/>
      <c r="L284" s="83"/>
      <c r="M284" s="83"/>
      <c r="N284" s="83"/>
      <c r="O284" s="83"/>
      <c r="P284" s="83"/>
      <c r="Q284" s="83"/>
      <c r="R284" s="83"/>
      <c r="S284" s="83"/>
      <c r="T284" s="83"/>
      <c r="U284" s="83"/>
      <c r="V284" s="110">
        <f t="shared" si="62"/>
        <v>0</v>
      </c>
      <c r="W284" s="110">
        <f t="shared" si="63"/>
        <v>0</v>
      </c>
      <c r="X284" s="110">
        <f t="shared" si="64"/>
        <v>0</v>
      </c>
      <c r="Y284" s="110">
        <f t="shared" si="65"/>
        <v>0</v>
      </c>
      <c r="Z284" s="110">
        <f t="shared" si="66"/>
        <v>0</v>
      </c>
      <c r="AA284" s="110">
        <f t="shared" si="67"/>
        <v>0</v>
      </c>
      <c r="AB284" s="110">
        <f t="shared" si="68"/>
        <v>0</v>
      </c>
      <c r="AC284" s="110">
        <f t="shared" si="69"/>
        <v>0</v>
      </c>
      <c r="AD284" s="110">
        <f t="shared" si="70"/>
        <v>0</v>
      </c>
      <c r="AE284" s="110">
        <f t="shared" si="71"/>
        <v>0</v>
      </c>
      <c r="AF284" s="110">
        <f t="shared" si="72"/>
        <v>0</v>
      </c>
      <c r="AG284" s="110">
        <f t="shared" si="73"/>
        <v>0</v>
      </c>
      <c r="AH284" s="110">
        <f t="shared" si="74"/>
        <v>0</v>
      </c>
      <c r="AI284" s="110">
        <f t="shared" si="75"/>
        <v>0</v>
      </c>
      <c r="AJ284" s="110">
        <f t="shared" si="76"/>
        <v>0</v>
      </c>
    </row>
    <row r="285" spans="1:36" s="85" customFormat="1" ht="52.5" hidden="1" customHeight="1" x14ac:dyDescent="0.25">
      <c r="A285" s="83">
        <v>267</v>
      </c>
      <c r="B285" s="83"/>
      <c r="C285" s="84"/>
      <c r="D285" s="93"/>
      <c r="E285" s="83"/>
      <c r="F285" s="83"/>
      <c r="G285" s="83"/>
      <c r="H285" s="83"/>
      <c r="I285" s="83"/>
      <c r="J285" s="83"/>
      <c r="K285" s="83"/>
      <c r="L285" s="83"/>
      <c r="M285" s="83"/>
      <c r="N285" s="83"/>
      <c r="O285" s="83"/>
      <c r="P285" s="83"/>
      <c r="Q285" s="83"/>
      <c r="R285" s="83"/>
      <c r="S285" s="83"/>
      <c r="T285" s="83"/>
      <c r="U285" s="83"/>
      <c r="V285" s="110">
        <f t="shared" si="62"/>
        <v>0</v>
      </c>
      <c r="W285" s="110">
        <f t="shared" si="63"/>
        <v>0</v>
      </c>
      <c r="X285" s="110">
        <f t="shared" si="64"/>
        <v>0</v>
      </c>
      <c r="Y285" s="110">
        <f t="shared" si="65"/>
        <v>0</v>
      </c>
      <c r="Z285" s="110">
        <f t="shared" si="66"/>
        <v>0</v>
      </c>
      <c r="AA285" s="110">
        <f t="shared" si="67"/>
        <v>0</v>
      </c>
      <c r="AB285" s="110">
        <f t="shared" si="68"/>
        <v>0</v>
      </c>
      <c r="AC285" s="110">
        <f t="shared" si="69"/>
        <v>0</v>
      </c>
      <c r="AD285" s="110">
        <f t="shared" si="70"/>
        <v>0</v>
      </c>
      <c r="AE285" s="110">
        <f t="shared" si="71"/>
        <v>0</v>
      </c>
      <c r="AF285" s="110">
        <f t="shared" si="72"/>
        <v>0</v>
      </c>
      <c r="AG285" s="110">
        <f t="shared" si="73"/>
        <v>0</v>
      </c>
      <c r="AH285" s="110">
        <f t="shared" si="74"/>
        <v>0</v>
      </c>
      <c r="AI285" s="110">
        <f t="shared" si="75"/>
        <v>0</v>
      </c>
      <c r="AJ285" s="110">
        <f t="shared" si="76"/>
        <v>0</v>
      </c>
    </row>
    <row r="286" spans="1:36" s="85" customFormat="1" ht="52.5" hidden="1" customHeight="1" x14ac:dyDescent="0.25">
      <c r="A286" s="83">
        <v>268</v>
      </c>
      <c r="B286" s="83"/>
      <c r="C286" s="84"/>
      <c r="D286" s="93"/>
      <c r="E286" s="83"/>
      <c r="F286" s="83"/>
      <c r="G286" s="83"/>
      <c r="H286" s="83"/>
      <c r="I286" s="83"/>
      <c r="J286" s="83"/>
      <c r="K286" s="83"/>
      <c r="L286" s="83"/>
      <c r="M286" s="83"/>
      <c r="N286" s="83"/>
      <c r="O286" s="83"/>
      <c r="P286" s="83"/>
      <c r="Q286" s="83"/>
      <c r="R286" s="83"/>
      <c r="S286" s="83"/>
      <c r="T286" s="83"/>
      <c r="U286" s="83"/>
      <c r="V286" s="110">
        <f t="shared" si="62"/>
        <v>0</v>
      </c>
      <c r="W286" s="110">
        <f t="shared" si="63"/>
        <v>0</v>
      </c>
      <c r="X286" s="110">
        <f t="shared" si="64"/>
        <v>0</v>
      </c>
      <c r="Y286" s="110">
        <f t="shared" si="65"/>
        <v>0</v>
      </c>
      <c r="Z286" s="110">
        <f t="shared" si="66"/>
        <v>0</v>
      </c>
      <c r="AA286" s="110">
        <f t="shared" si="67"/>
        <v>0</v>
      </c>
      <c r="AB286" s="110">
        <f t="shared" si="68"/>
        <v>0</v>
      </c>
      <c r="AC286" s="110">
        <f t="shared" si="69"/>
        <v>0</v>
      </c>
      <c r="AD286" s="110">
        <f t="shared" si="70"/>
        <v>0</v>
      </c>
      <c r="AE286" s="110">
        <f t="shared" si="71"/>
        <v>0</v>
      </c>
      <c r="AF286" s="110">
        <f t="shared" si="72"/>
        <v>0</v>
      </c>
      <c r="AG286" s="110">
        <f t="shared" si="73"/>
        <v>0</v>
      </c>
      <c r="AH286" s="110">
        <f t="shared" si="74"/>
        <v>0</v>
      </c>
      <c r="AI286" s="110">
        <f t="shared" si="75"/>
        <v>0</v>
      </c>
      <c r="AJ286" s="110">
        <f t="shared" si="76"/>
        <v>0</v>
      </c>
    </row>
    <row r="287" spans="1:36" s="85" customFormat="1" ht="52.5" hidden="1" customHeight="1" x14ac:dyDescent="0.25">
      <c r="A287" s="83">
        <v>269</v>
      </c>
      <c r="B287" s="83"/>
      <c r="C287" s="84"/>
      <c r="D287" s="93"/>
      <c r="E287" s="83"/>
      <c r="F287" s="83"/>
      <c r="G287" s="83"/>
      <c r="H287" s="83"/>
      <c r="I287" s="83"/>
      <c r="J287" s="83"/>
      <c r="K287" s="83"/>
      <c r="L287" s="83"/>
      <c r="M287" s="83"/>
      <c r="N287" s="83"/>
      <c r="O287" s="83"/>
      <c r="P287" s="83"/>
      <c r="Q287" s="83"/>
      <c r="R287" s="83"/>
      <c r="S287" s="83"/>
      <c r="T287" s="83"/>
      <c r="U287" s="83"/>
      <c r="V287" s="110">
        <f t="shared" si="62"/>
        <v>0</v>
      </c>
      <c r="W287" s="110">
        <f t="shared" si="63"/>
        <v>0</v>
      </c>
      <c r="X287" s="110">
        <f t="shared" si="64"/>
        <v>0</v>
      </c>
      <c r="Y287" s="110">
        <f t="shared" si="65"/>
        <v>0</v>
      </c>
      <c r="Z287" s="110">
        <f t="shared" si="66"/>
        <v>0</v>
      </c>
      <c r="AA287" s="110">
        <f t="shared" si="67"/>
        <v>0</v>
      </c>
      <c r="AB287" s="110">
        <f t="shared" si="68"/>
        <v>0</v>
      </c>
      <c r="AC287" s="110">
        <f t="shared" si="69"/>
        <v>0</v>
      </c>
      <c r="AD287" s="110">
        <f t="shared" si="70"/>
        <v>0</v>
      </c>
      <c r="AE287" s="110">
        <f t="shared" si="71"/>
        <v>0</v>
      </c>
      <c r="AF287" s="110">
        <f t="shared" si="72"/>
        <v>0</v>
      </c>
      <c r="AG287" s="110">
        <f t="shared" si="73"/>
        <v>0</v>
      </c>
      <c r="AH287" s="110">
        <f t="shared" si="74"/>
        <v>0</v>
      </c>
      <c r="AI287" s="110">
        <f t="shared" si="75"/>
        <v>0</v>
      </c>
      <c r="AJ287" s="110">
        <f t="shared" si="76"/>
        <v>0</v>
      </c>
    </row>
    <row r="288" spans="1:36" s="85" customFormat="1" ht="52.5" hidden="1" customHeight="1" x14ac:dyDescent="0.25">
      <c r="A288" s="83">
        <v>270</v>
      </c>
      <c r="B288" s="83"/>
      <c r="C288" s="84"/>
      <c r="D288" s="93"/>
      <c r="E288" s="83"/>
      <c r="F288" s="83"/>
      <c r="G288" s="83"/>
      <c r="H288" s="83"/>
      <c r="I288" s="83"/>
      <c r="J288" s="83"/>
      <c r="K288" s="83"/>
      <c r="L288" s="83"/>
      <c r="M288" s="83"/>
      <c r="N288" s="83"/>
      <c r="O288" s="83"/>
      <c r="P288" s="83"/>
      <c r="Q288" s="83"/>
      <c r="R288" s="83"/>
      <c r="S288" s="83"/>
      <c r="T288" s="83"/>
      <c r="U288" s="83"/>
      <c r="V288" s="110">
        <f t="shared" si="62"/>
        <v>0</v>
      </c>
      <c r="W288" s="110">
        <f t="shared" si="63"/>
        <v>0</v>
      </c>
      <c r="X288" s="110">
        <f t="shared" si="64"/>
        <v>0</v>
      </c>
      <c r="Y288" s="110">
        <f t="shared" si="65"/>
        <v>0</v>
      </c>
      <c r="Z288" s="110">
        <f t="shared" si="66"/>
        <v>0</v>
      </c>
      <c r="AA288" s="110">
        <f t="shared" si="67"/>
        <v>0</v>
      </c>
      <c r="AB288" s="110">
        <f t="shared" si="68"/>
        <v>0</v>
      </c>
      <c r="AC288" s="110">
        <f t="shared" si="69"/>
        <v>0</v>
      </c>
      <c r="AD288" s="110">
        <f t="shared" si="70"/>
        <v>0</v>
      </c>
      <c r="AE288" s="110">
        <f t="shared" si="71"/>
        <v>0</v>
      </c>
      <c r="AF288" s="110">
        <f t="shared" si="72"/>
        <v>0</v>
      </c>
      <c r="AG288" s="110">
        <f t="shared" si="73"/>
        <v>0</v>
      </c>
      <c r="AH288" s="110">
        <f t="shared" si="74"/>
        <v>0</v>
      </c>
      <c r="AI288" s="110">
        <f t="shared" si="75"/>
        <v>0</v>
      </c>
      <c r="AJ288" s="110">
        <f t="shared" si="76"/>
        <v>0</v>
      </c>
    </row>
    <row r="289" spans="1:36" s="85" customFormat="1" ht="52.5" hidden="1" customHeight="1" x14ac:dyDescent="0.25">
      <c r="A289" s="83">
        <v>271</v>
      </c>
      <c r="B289" s="83"/>
      <c r="C289" s="84"/>
      <c r="D289" s="93"/>
      <c r="E289" s="83"/>
      <c r="F289" s="83"/>
      <c r="G289" s="83"/>
      <c r="H289" s="83"/>
      <c r="I289" s="83"/>
      <c r="J289" s="83"/>
      <c r="K289" s="83"/>
      <c r="L289" s="83"/>
      <c r="M289" s="83"/>
      <c r="N289" s="83"/>
      <c r="O289" s="83"/>
      <c r="P289" s="83"/>
      <c r="Q289" s="83"/>
      <c r="R289" s="83"/>
      <c r="S289" s="83"/>
      <c r="T289" s="83"/>
      <c r="U289" s="83"/>
      <c r="V289" s="110">
        <f t="shared" si="62"/>
        <v>0</v>
      </c>
      <c r="W289" s="110">
        <f t="shared" si="63"/>
        <v>0</v>
      </c>
      <c r="X289" s="110">
        <f t="shared" si="64"/>
        <v>0</v>
      </c>
      <c r="Y289" s="110">
        <f t="shared" si="65"/>
        <v>0</v>
      </c>
      <c r="Z289" s="110">
        <f t="shared" si="66"/>
        <v>0</v>
      </c>
      <c r="AA289" s="110">
        <f t="shared" si="67"/>
        <v>0</v>
      </c>
      <c r="AB289" s="110">
        <f t="shared" si="68"/>
        <v>0</v>
      </c>
      <c r="AC289" s="110">
        <f t="shared" si="69"/>
        <v>0</v>
      </c>
      <c r="AD289" s="110">
        <f t="shared" si="70"/>
        <v>0</v>
      </c>
      <c r="AE289" s="110">
        <f t="shared" si="71"/>
        <v>0</v>
      </c>
      <c r="AF289" s="110">
        <f t="shared" si="72"/>
        <v>0</v>
      </c>
      <c r="AG289" s="110">
        <f t="shared" si="73"/>
        <v>0</v>
      </c>
      <c r="AH289" s="110">
        <f t="shared" si="74"/>
        <v>0</v>
      </c>
      <c r="AI289" s="110">
        <f t="shared" si="75"/>
        <v>0</v>
      </c>
      <c r="AJ289" s="110">
        <f t="shared" si="76"/>
        <v>0</v>
      </c>
    </row>
    <row r="290" spans="1:36" s="85" customFormat="1" ht="52.5" hidden="1" customHeight="1" x14ac:dyDescent="0.25">
      <c r="A290" s="83">
        <v>272</v>
      </c>
      <c r="B290" s="83"/>
      <c r="C290" s="84"/>
      <c r="D290" s="93"/>
      <c r="E290" s="83"/>
      <c r="F290" s="83"/>
      <c r="G290" s="83"/>
      <c r="H290" s="83"/>
      <c r="I290" s="83"/>
      <c r="J290" s="83"/>
      <c r="K290" s="83"/>
      <c r="L290" s="83"/>
      <c r="M290" s="83"/>
      <c r="N290" s="83"/>
      <c r="O290" s="83"/>
      <c r="P290" s="83"/>
      <c r="Q290" s="83"/>
      <c r="R290" s="83"/>
      <c r="S290" s="83"/>
      <c r="T290" s="83"/>
      <c r="U290" s="83"/>
      <c r="V290" s="110">
        <f t="shared" si="62"/>
        <v>0</v>
      </c>
      <c r="W290" s="110">
        <f t="shared" si="63"/>
        <v>0</v>
      </c>
      <c r="X290" s="110">
        <f t="shared" si="64"/>
        <v>0</v>
      </c>
      <c r="Y290" s="110">
        <f t="shared" si="65"/>
        <v>0</v>
      </c>
      <c r="Z290" s="110">
        <f t="shared" si="66"/>
        <v>0</v>
      </c>
      <c r="AA290" s="110">
        <f t="shared" si="67"/>
        <v>0</v>
      </c>
      <c r="AB290" s="110">
        <f t="shared" si="68"/>
        <v>0</v>
      </c>
      <c r="AC290" s="110">
        <f t="shared" si="69"/>
        <v>0</v>
      </c>
      <c r="AD290" s="110">
        <f t="shared" si="70"/>
        <v>0</v>
      </c>
      <c r="AE290" s="110">
        <f t="shared" si="71"/>
        <v>0</v>
      </c>
      <c r="AF290" s="110">
        <f t="shared" si="72"/>
        <v>0</v>
      </c>
      <c r="AG290" s="110">
        <f t="shared" si="73"/>
        <v>0</v>
      </c>
      <c r="AH290" s="110">
        <f t="shared" si="74"/>
        <v>0</v>
      </c>
      <c r="AI290" s="110">
        <f t="shared" si="75"/>
        <v>0</v>
      </c>
      <c r="AJ290" s="110">
        <f t="shared" si="76"/>
        <v>0</v>
      </c>
    </row>
    <row r="291" spans="1:36" s="85" customFormat="1" ht="52.5" hidden="1" customHeight="1" x14ac:dyDescent="0.25">
      <c r="A291" s="83">
        <v>273</v>
      </c>
      <c r="B291" s="83"/>
      <c r="C291" s="84"/>
      <c r="D291" s="93"/>
      <c r="E291" s="83"/>
      <c r="F291" s="83"/>
      <c r="G291" s="83"/>
      <c r="H291" s="83"/>
      <c r="I291" s="83"/>
      <c r="J291" s="83"/>
      <c r="K291" s="83"/>
      <c r="L291" s="83"/>
      <c r="M291" s="83"/>
      <c r="N291" s="83"/>
      <c r="O291" s="83"/>
      <c r="P291" s="83"/>
      <c r="Q291" s="83"/>
      <c r="R291" s="83"/>
      <c r="S291" s="83"/>
      <c r="T291" s="83"/>
      <c r="U291" s="83"/>
      <c r="V291" s="110">
        <f t="shared" si="62"/>
        <v>0</v>
      </c>
      <c r="W291" s="110">
        <f t="shared" si="63"/>
        <v>0</v>
      </c>
      <c r="X291" s="110">
        <f t="shared" si="64"/>
        <v>0</v>
      </c>
      <c r="Y291" s="110">
        <f t="shared" si="65"/>
        <v>0</v>
      </c>
      <c r="Z291" s="110">
        <f t="shared" si="66"/>
        <v>0</v>
      </c>
      <c r="AA291" s="110">
        <f t="shared" si="67"/>
        <v>0</v>
      </c>
      <c r="AB291" s="110">
        <f t="shared" si="68"/>
        <v>0</v>
      </c>
      <c r="AC291" s="110">
        <f t="shared" si="69"/>
        <v>0</v>
      </c>
      <c r="AD291" s="110">
        <f t="shared" si="70"/>
        <v>0</v>
      </c>
      <c r="AE291" s="110">
        <f t="shared" si="71"/>
        <v>0</v>
      </c>
      <c r="AF291" s="110">
        <f t="shared" si="72"/>
        <v>0</v>
      </c>
      <c r="AG291" s="110">
        <f t="shared" si="73"/>
        <v>0</v>
      </c>
      <c r="AH291" s="110">
        <f t="shared" si="74"/>
        <v>0</v>
      </c>
      <c r="AI291" s="110">
        <f t="shared" si="75"/>
        <v>0</v>
      </c>
      <c r="AJ291" s="110">
        <f t="shared" si="76"/>
        <v>0</v>
      </c>
    </row>
    <row r="292" spans="1:36" s="85" customFormat="1" ht="52.5" hidden="1" customHeight="1" x14ac:dyDescent="0.25">
      <c r="A292" s="83">
        <v>274</v>
      </c>
      <c r="B292" s="83"/>
      <c r="C292" s="84"/>
      <c r="D292" s="93"/>
      <c r="E292" s="83"/>
      <c r="F292" s="83"/>
      <c r="G292" s="83"/>
      <c r="H292" s="83"/>
      <c r="I292" s="83"/>
      <c r="J292" s="83"/>
      <c r="K292" s="83"/>
      <c r="L292" s="83"/>
      <c r="M292" s="83"/>
      <c r="N292" s="83"/>
      <c r="O292" s="83"/>
      <c r="P292" s="83"/>
      <c r="Q292" s="83"/>
      <c r="R292" s="83"/>
      <c r="S292" s="83"/>
      <c r="T292" s="83"/>
      <c r="U292" s="83"/>
      <c r="V292" s="110">
        <f t="shared" si="62"/>
        <v>0</v>
      </c>
      <c r="W292" s="110">
        <f t="shared" si="63"/>
        <v>0</v>
      </c>
      <c r="X292" s="110">
        <f t="shared" si="64"/>
        <v>0</v>
      </c>
      <c r="Y292" s="110">
        <f t="shared" si="65"/>
        <v>0</v>
      </c>
      <c r="Z292" s="110">
        <f t="shared" si="66"/>
        <v>0</v>
      </c>
      <c r="AA292" s="110">
        <f t="shared" si="67"/>
        <v>0</v>
      </c>
      <c r="AB292" s="110">
        <f t="shared" si="68"/>
        <v>0</v>
      </c>
      <c r="AC292" s="110">
        <f t="shared" si="69"/>
        <v>0</v>
      </c>
      <c r="AD292" s="110">
        <f t="shared" si="70"/>
        <v>0</v>
      </c>
      <c r="AE292" s="110">
        <f t="shared" si="71"/>
        <v>0</v>
      </c>
      <c r="AF292" s="110">
        <f t="shared" si="72"/>
        <v>0</v>
      </c>
      <c r="AG292" s="110">
        <f t="shared" si="73"/>
        <v>0</v>
      </c>
      <c r="AH292" s="110">
        <f t="shared" si="74"/>
        <v>0</v>
      </c>
      <c r="AI292" s="110">
        <f t="shared" si="75"/>
        <v>0</v>
      </c>
      <c r="AJ292" s="110">
        <f t="shared" si="76"/>
        <v>0</v>
      </c>
    </row>
    <row r="293" spans="1:36" s="85" customFormat="1" ht="52.5" hidden="1" customHeight="1" x14ac:dyDescent="0.25">
      <c r="A293" s="83">
        <v>275</v>
      </c>
      <c r="B293" s="83"/>
      <c r="C293" s="84"/>
      <c r="D293" s="93"/>
      <c r="E293" s="83"/>
      <c r="F293" s="83"/>
      <c r="G293" s="83"/>
      <c r="H293" s="83"/>
      <c r="I293" s="83"/>
      <c r="J293" s="83"/>
      <c r="K293" s="83"/>
      <c r="L293" s="83"/>
      <c r="M293" s="83"/>
      <c r="N293" s="83"/>
      <c r="O293" s="83"/>
      <c r="P293" s="83"/>
      <c r="Q293" s="83"/>
      <c r="R293" s="83"/>
      <c r="S293" s="83"/>
      <c r="T293" s="83"/>
      <c r="U293" s="83"/>
      <c r="V293" s="110">
        <f t="shared" si="62"/>
        <v>0</v>
      </c>
      <c r="W293" s="110">
        <f t="shared" si="63"/>
        <v>0</v>
      </c>
      <c r="X293" s="110">
        <f t="shared" si="64"/>
        <v>0</v>
      </c>
      <c r="Y293" s="110">
        <f t="shared" si="65"/>
        <v>0</v>
      </c>
      <c r="Z293" s="110">
        <f t="shared" si="66"/>
        <v>0</v>
      </c>
      <c r="AA293" s="110">
        <f t="shared" si="67"/>
        <v>0</v>
      </c>
      <c r="AB293" s="110">
        <f t="shared" si="68"/>
        <v>0</v>
      </c>
      <c r="AC293" s="110">
        <f t="shared" si="69"/>
        <v>0</v>
      </c>
      <c r="AD293" s="110">
        <f t="shared" si="70"/>
        <v>0</v>
      </c>
      <c r="AE293" s="110">
        <f t="shared" si="71"/>
        <v>0</v>
      </c>
      <c r="AF293" s="110">
        <f t="shared" si="72"/>
        <v>0</v>
      </c>
      <c r="AG293" s="110">
        <f t="shared" si="73"/>
        <v>0</v>
      </c>
      <c r="AH293" s="110">
        <f t="shared" si="74"/>
        <v>0</v>
      </c>
      <c r="AI293" s="110">
        <f t="shared" si="75"/>
        <v>0</v>
      </c>
      <c r="AJ293" s="110">
        <f t="shared" si="76"/>
        <v>0</v>
      </c>
    </row>
    <row r="294" spans="1:36" s="85" customFormat="1" ht="52.5" hidden="1" customHeight="1" x14ac:dyDescent="0.25">
      <c r="A294" s="83">
        <v>276</v>
      </c>
      <c r="B294" s="83"/>
      <c r="C294" s="84"/>
      <c r="D294" s="93"/>
      <c r="E294" s="83"/>
      <c r="F294" s="83"/>
      <c r="G294" s="83"/>
      <c r="H294" s="83"/>
      <c r="I294" s="83"/>
      <c r="J294" s="83"/>
      <c r="K294" s="83"/>
      <c r="L294" s="83"/>
      <c r="M294" s="83"/>
      <c r="N294" s="83"/>
      <c r="O294" s="83"/>
      <c r="P294" s="83"/>
      <c r="Q294" s="83"/>
      <c r="R294" s="83"/>
      <c r="S294" s="83"/>
      <c r="T294" s="83"/>
      <c r="U294" s="83"/>
      <c r="V294" s="110">
        <f t="shared" si="62"/>
        <v>0</v>
      </c>
      <c r="W294" s="110">
        <f t="shared" si="63"/>
        <v>0</v>
      </c>
      <c r="X294" s="110">
        <f t="shared" si="64"/>
        <v>0</v>
      </c>
      <c r="Y294" s="110">
        <f t="shared" si="65"/>
        <v>0</v>
      </c>
      <c r="Z294" s="110">
        <f t="shared" si="66"/>
        <v>0</v>
      </c>
      <c r="AA294" s="110">
        <f t="shared" si="67"/>
        <v>0</v>
      </c>
      <c r="AB294" s="110">
        <f t="shared" si="68"/>
        <v>0</v>
      </c>
      <c r="AC294" s="110">
        <f t="shared" si="69"/>
        <v>0</v>
      </c>
      <c r="AD294" s="110">
        <f t="shared" si="70"/>
        <v>0</v>
      </c>
      <c r="AE294" s="110">
        <f t="shared" si="71"/>
        <v>0</v>
      </c>
      <c r="AF294" s="110">
        <f t="shared" si="72"/>
        <v>0</v>
      </c>
      <c r="AG294" s="110">
        <f t="shared" si="73"/>
        <v>0</v>
      </c>
      <c r="AH294" s="110">
        <f t="shared" si="74"/>
        <v>0</v>
      </c>
      <c r="AI294" s="110">
        <f t="shared" si="75"/>
        <v>0</v>
      </c>
      <c r="AJ294" s="110">
        <f t="shared" si="76"/>
        <v>0</v>
      </c>
    </row>
    <row r="295" spans="1:36" s="85" customFormat="1" ht="52.5" hidden="1" customHeight="1" x14ac:dyDescent="0.25">
      <c r="A295" s="83">
        <v>277</v>
      </c>
      <c r="B295" s="83"/>
      <c r="C295" s="84"/>
      <c r="D295" s="93"/>
      <c r="E295" s="83"/>
      <c r="F295" s="83"/>
      <c r="G295" s="83"/>
      <c r="H295" s="83"/>
      <c r="I295" s="83"/>
      <c r="J295" s="83"/>
      <c r="K295" s="83"/>
      <c r="L295" s="83"/>
      <c r="M295" s="83"/>
      <c r="N295" s="83"/>
      <c r="O295" s="83"/>
      <c r="P295" s="83"/>
      <c r="Q295" s="83"/>
      <c r="R295" s="83"/>
      <c r="S295" s="83"/>
      <c r="T295" s="83"/>
      <c r="U295" s="83"/>
      <c r="V295" s="110">
        <f t="shared" si="62"/>
        <v>0</v>
      </c>
      <c r="W295" s="110">
        <f t="shared" si="63"/>
        <v>0</v>
      </c>
      <c r="X295" s="110">
        <f t="shared" si="64"/>
        <v>0</v>
      </c>
      <c r="Y295" s="110">
        <f t="shared" si="65"/>
        <v>0</v>
      </c>
      <c r="Z295" s="110">
        <f t="shared" si="66"/>
        <v>0</v>
      </c>
      <c r="AA295" s="110">
        <f t="shared" si="67"/>
        <v>0</v>
      </c>
      <c r="AB295" s="110">
        <f t="shared" si="68"/>
        <v>0</v>
      </c>
      <c r="AC295" s="110">
        <f t="shared" si="69"/>
        <v>0</v>
      </c>
      <c r="AD295" s="110">
        <f t="shared" si="70"/>
        <v>0</v>
      </c>
      <c r="AE295" s="110">
        <f t="shared" si="71"/>
        <v>0</v>
      </c>
      <c r="AF295" s="110">
        <f t="shared" si="72"/>
        <v>0</v>
      </c>
      <c r="AG295" s="110">
        <f t="shared" si="73"/>
        <v>0</v>
      </c>
      <c r="AH295" s="110">
        <f t="shared" si="74"/>
        <v>0</v>
      </c>
      <c r="AI295" s="110">
        <f t="shared" si="75"/>
        <v>0</v>
      </c>
      <c r="AJ295" s="110">
        <f t="shared" si="76"/>
        <v>0</v>
      </c>
    </row>
    <row r="296" spans="1:36" s="85" customFormat="1" ht="52.5" hidden="1" customHeight="1" x14ac:dyDescent="0.25">
      <c r="A296" s="83">
        <v>278</v>
      </c>
      <c r="B296" s="83"/>
      <c r="C296" s="84"/>
      <c r="D296" s="93"/>
      <c r="E296" s="83"/>
      <c r="F296" s="83"/>
      <c r="G296" s="83"/>
      <c r="H296" s="83"/>
      <c r="I296" s="83"/>
      <c r="J296" s="83"/>
      <c r="K296" s="83"/>
      <c r="L296" s="83"/>
      <c r="M296" s="83"/>
      <c r="N296" s="83"/>
      <c r="O296" s="83"/>
      <c r="P296" s="83"/>
      <c r="Q296" s="83"/>
      <c r="R296" s="83"/>
      <c r="S296" s="83"/>
      <c r="T296" s="83"/>
      <c r="U296" s="83"/>
      <c r="V296" s="110">
        <f t="shared" si="62"/>
        <v>0</v>
      </c>
      <c r="W296" s="110">
        <f t="shared" si="63"/>
        <v>0</v>
      </c>
      <c r="X296" s="110">
        <f t="shared" si="64"/>
        <v>0</v>
      </c>
      <c r="Y296" s="110">
        <f t="shared" si="65"/>
        <v>0</v>
      </c>
      <c r="Z296" s="110">
        <f t="shared" si="66"/>
        <v>0</v>
      </c>
      <c r="AA296" s="110">
        <f t="shared" si="67"/>
        <v>0</v>
      </c>
      <c r="AB296" s="110">
        <f t="shared" si="68"/>
        <v>0</v>
      </c>
      <c r="AC296" s="110">
        <f t="shared" si="69"/>
        <v>0</v>
      </c>
      <c r="AD296" s="110">
        <f t="shared" si="70"/>
        <v>0</v>
      </c>
      <c r="AE296" s="110">
        <f t="shared" si="71"/>
        <v>0</v>
      </c>
      <c r="AF296" s="110">
        <f t="shared" si="72"/>
        <v>0</v>
      </c>
      <c r="AG296" s="110">
        <f t="shared" si="73"/>
        <v>0</v>
      </c>
      <c r="AH296" s="110">
        <f t="shared" si="74"/>
        <v>0</v>
      </c>
      <c r="AI296" s="110">
        <f t="shared" si="75"/>
        <v>0</v>
      </c>
      <c r="AJ296" s="110">
        <f t="shared" si="76"/>
        <v>0</v>
      </c>
    </row>
    <row r="297" spans="1:36" s="85" customFormat="1" ht="52.5" hidden="1" customHeight="1" x14ac:dyDescent="0.25">
      <c r="A297" s="83">
        <v>279</v>
      </c>
      <c r="B297" s="83"/>
      <c r="C297" s="84"/>
      <c r="D297" s="93"/>
      <c r="E297" s="83"/>
      <c r="F297" s="83"/>
      <c r="G297" s="83"/>
      <c r="H297" s="83"/>
      <c r="I297" s="83"/>
      <c r="J297" s="83"/>
      <c r="K297" s="83"/>
      <c r="L297" s="83"/>
      <c r="M297" s="83"/>
      <c r="N297" s="83"/>
      <c r="O297" s="83"/>
      <c r="P297" s="83"/>
      <c r="Q297" s="83"/>
      <c r="R297" s="83"/>
      <c r="S297" s="83"/>
      <c r="T297" s="83"/>
      <c r="U297" s="83"/>
      <c r="V297" s="110">
        <f t="shared" si="62"/>
        <v>0</v>
      </c>
      <c r="W297" s="110">
        <f t="shared" si="63"/>
        <v>0</v>
      </c>
      <c r="X297" s="110">
        <f t="shared" si="64"/>
        <v>0</v>
      </c>
      <c r="Y297" s="110">
        <f t="shared" si="65"/>
        <v>0</v>
      </c>
      <c r="Z297" s="110">
        <f t="shared" si="66"/>
        <v>0</v>
      </c>
      <c r="AA297" s="110">
        <f t="shared" si="67"/>
        <v>0</v>
      </c>
      <c r="AB297" s="110">
        <f t="shared" si="68"/>
        <v>0</v>
      </c>
      <c r="AC297" s="110">
        <f t="shared" si="69"/>
        <v>0</v>
      </c>
      <c r="AD297" s="110">
        <f t="shared" si="70"/>
        <v>0</v>
      </c>
      <c r="AE297" s="110">
        <f t="shared" si="71"/>
        <v>0</v>
      </c>
      <c r="AF297" s="110">
        <f t="shared" si="72"/>
        <v>0</v>
      </c>
      <c r="AG297" s="110">
        <f t="shared" si="73"/>
        <v>0</v>
      </c>
      <c r="AH297" s="110">
        <f t="shared" si="74"/>
        <v>0</v>
      </c>
      <c r="AI297" s="110">
        <f t="shared" si="75"/>
        <v>0</v>
      </c>
      <c r="AJ297" s="110">
        <f t="shared" si="76"/>
        <v>0</v>
      </c>
    </row>
    <row r="298" spans="1:36" s="85" customFormat="1" ht="52.5" hidden="1" customHeight="1" x14ac:dyDescent="0.25">
      <c r="A298" s="83">
        <v>280</v>
      </c>
      <c r="B298" s="83"/>
      <c r="C298" s="84"/>
      <c r="D298" s="93"/>
      <c r="E298" s="83"/>
      <c r="F298" s="83"/>
      <c r="G298" s="83"/>
      <c r="H298" s="83"/>
      <c r="I298" s="83"/>
      <c r="J298" s="83"/>
      <c r="K298" s="83"/>
      <c r="L298" s="83"/>
      <c r="M298" s="83"/>
      <c r="N298" s="83"/>
      <c r="O298" s="83"/>
      <c r="P298" s="83"/>
      <c r="Q298" s="83"/>
      <c r="R298" s="83"/>
      <c r="S298" s="83"/>
      <c r="T298" s="83"/>
      <c r="U298" s="83"/>
      <c r="V298" s="110">
        <f t="shared" si="62"/>
        <v>0</v>
      </c>
      <c r="W298" s="110">
        <f t="shared" si="63"/>
        <v>0</v>
      </c>
      <c r="X298" s="110">
        <f t="shared" si="64"/>
        <v>0</v>
      </c>
      <c r="Y298" s="110">
        <f t="shared" si="65"/>
        <v>0</v>
      </c>
      <c r="Z298" s="110">
        <f t="shared" si="66"/>
        <v>0</v>
      </c>
      <c r="AA298" s="110">
        <f t="shared" si="67"/>
        <v>0</v>
      </c>
      <c r="AB298" s="110">
        <f t="shared" si="68"/>
        <v>0</v>
      </c>
      <c r="AC298" s="110">
        <f t="shared" si="69"/>
        <v>0</v>
      </c>
      <c r="AD298" s="110">
        <f t="shared" si="70"/>
        <v>0</v>
      </c>
      <c r="AE298" s="110">
        <f t="shared" si="71"/>
        <v>0</v>
      </c>
      <c r="AF298" s="110">
        <f t="shared" si="72"/>
        <v>0</v>
      </c>
      <c r="AG298" s="110">
        <f t="shared" si="73"/>
        <v>0</v>
      </c>
      <c r="AH298" s="110">
        <f t="shared" si="74"/>
        <v>0</v>
      </c>
      <c r="AI298" s="110">
        <f t="shared" si="75"/>
        <v>0</v>
      </c>
      <c r="AJ298" s="110">
        <f t="shared" si="76"/>
        <v>0</v>
      </c>
    </row>
    <row r="299" spans="1:36" s="85" customFormat="1" ht="52.5" hidden="1" customHeight="1" x14ac:dyDescent="0.25">
      <c r="A299" s="83">
        <v>281</v>
      </c>
      <c r="B299" s="83"/>
      <c r="C299" s="84"/>
      <c r="D299" s="93"/>
      <c r="E299" s="83"/>
      <c r="F299" s="83"/>
      <c r="G299" s="83"/>
      <c r="H299" s="83"/>
      <c r="I299" s="83"/>
      <c r="J299" s="83"/>
      <c r="K299" s="83"/>
      <c r="L299" s="83"/>
      <c r="M299" s="83"/>
      <c r="N299" s="83"/>
      <c r="O299" s="83"/>
      <c r="P299" s="83"/>
      <c r="Q299" s="83"/>
      <c r="R299" s="83"/>
      <c r="S299" s="83"/>
      <c r="T299" s="83"/>
      <c r="U299" s="83"/>
      <c r="V299" s="110">
        <f t="shared" si="62"/>
        <v>0</v>
      </c>
      <c r="W299" s="110">
        <f t="shared" si="63"/>
        <v>0</v>
      </c>
      <c r="X299" s="110">
        <f t="shared" si="64"/>
        <v>0</v>
      </c>
      <c r="Y299" s="110">
        <f t="shared" si="65"/>
        <v>0</v>
      </c>
      <c r="Z299" s="110">
        <f t="shared" si="66"/>
        <v>0</v>
      </c>
      <c r="AA299" s="110">
        <f t="shared" si="67"/>
        <v>0</v>
      </c>
      <c r="AB299" s="110">
        <f t="shared" si="68"/>
        <v>0</v>
      </c>
      <c r="AC299" s="110">
        <f t="shared" si="69"/>
        <v>0</v>
      </c>
      <c r="AD299" s="110">
        <f t="shared" si="70"/>
        <v>0</v>
      </c>
      <c r="AE299" s="110">
        <f t="shared" si="71"/>
        <v>0</v>
      </c>
      <c r="AF299" s="110">
        <f t="shared" si="72"/>
        <v>0</v>
      </c>
      <c r="AG299" s="110">
        <f t="shared" si="73"/>
        <v>0</v>
      </c>
      <c r="AH299" s="110">
        <f t="shared" si="74"/>
        <v>0</v>
      </c>
      <c r="AI299" s="110">
        <f t="shared" si="75"/>
        <v>0</v>
      </c>
      <c r="AJ299" s="110">
        <f t="shared" si="76"/>
        <v>0</v>
      </c>
    </row>
    <row r="300" spans="1:36" s="85" customFormat="1" ht="52.5" hidden="1" customHeight="1" x14ac:dyDescent="0.25">
      <c r="A300" s="83">
        <v>282</v>
      </c>
      <c r="B300" s="83"/>
      <c r="C300" s="84"/>
      <c r="D300" s="93"/>
      <c r="E300" s="83"/>
      <c r="F300" s="83"/>
      <c r="G300" s="83"/>
      <c r="H300" s="83"/>
      <c r="I300" s="83"/>
      <c r="J300" s="83"/>
      <c r="K300" s="83"/>
      <c r="L300" s="83"/>
      <c r="M300" s="83"/>
      <c r="N300" s="83"/>
      <c r="O300" s="83"/>
      <c r="P300" s="83"/>
      <c r="Q300" s="83"/>
      <c r="R300" s="83"/>
      <c r="S300" s="83"/>
      <c r="T300" s="83"/>
      <c r="U300" s="83"/>
      <c r="V300" s="110">
        <f t="shared" si="62"/>
        <v>0</v>
      </c>
      <c r="W300" s="110">
        <f t="shared" si="63"/>
        <v>0</v>
      </c>
      <c r="X300" s="110">
        <f t="shared" si="64"/>
        <v>0</v>
      </c>
      <c r="Y300" s="110">
        <f t="shared" si="65"/>
        <v>0</v>
      </c>
      <c r="Z300" s="110">
        <f t="shared" si="66"/>
        <v>0</v>
      </c>
      <c r="AA300" s="110">
        <f t="shared" si="67"/>
        <v>0</v>
      </c>
      <c r="AB300" s="110">
        <f t="shared" si="68"/>
        <v>0</v>
      </c>
      <c r="AC300" s="110">
        <f t="shared" si="69"/>
        <v>0</v>
      </c>
      <c r="AD300" s="110">
        <f t="shared" si="70"/>
        <v>0</v>
      </c>
      <c r="AE300" s="110">
        <f t="shared" si="71"/>
        <v>0</v>
      </c>
      <c r="AF300" s="110">
        <f t="shared" si="72"/>
        <v>0</v>
      </c>
      <c r="AG300" s="110">
        <f t="shared" si="73"/>
        <v>0</v>
      </c>
      <c r="AH300" s="110">
        <f t="shared" si="74"/>
        <v>0</v>
      </c>
      <c r="AI300" s="110">
        <f t="shared" si="75"/>
        <v>0</v>
      </c>
      <c r="AJ300" s="110">
        <f t="shared" si="76"/>
        <v>0</v>
      </c>
    </row>
    <row r="301" spans="1:36" s="85" customFormat="1" ht="52.5" hidden="1" customHeight="1" x14ac:dyDescent="0.25">
      <c r="A301" s="83">
        <v>283</v>
      </c>
      <c r="B301" s="83"/>
      <c r="C301" s="84"/>
      <c r="D301" s="93"/>
      <c r="E301" s="83"/>
      <c r="F301" s="83"/>
      <c r="G301" s="83"/>
      <c r="H301" s="83"/>
      <c r="I301" s="83"/>
      <c r="J301" s="83"/>
      <c r="K301" s="83"/>
      <c r="L301" s="83"/>
      <c r="M301" s="83"/>
      <c r="N301" s="83"/>
      <c r="O301" s="83"/>
      <c r="P301" s="83"/>
      <c r="Q301" s="83"/>
      <c r="R301" s="83"/>
      <c r="S301" s="83"/>
      <c r="T301" s="83"/>
      <c r="U301" s="83"/>
      <c r="V301" s="110">
        <f t="shared" si="62"/>
        <v>0</v>
      </c>
      <c r="W301" s="110">
        <f t="shared" si="63"/>
        <v>0</v>
      </c>
      <c r="X301" s="110">
        <f t="shared" si="64"/>
        <v>0</v>
      </c>
      <c r="Y301" s="110">
        <f t="shared" si="65"/>
        <v>0</v>
      </c>
      <c r="Z301" s="110">
        <f t="shared" si="66"/>
        <v>0</v>
      </c>
      <c r="AA301" s="110">
        <f t="shared" si="67"/>
        <v>0</v>
      </c>
      <c r="AB301" s="110">
        <f t="shared" si="68"/>
        <v>0</v>
      </c>
      <c r="AC301" s="110">
        <f t="shared" si="69"/>
        <v>0</v>
      </c>
      <c r="AD301" s="110">
        <f t="shared" si="70"/>
        <v>0</v>
      </c>
      <c r="AE301" s="110">
        <f t="shared" si="71"/>
        <v>0</v>
      </c>
      <c r="AF301" s="110">
        <f t="shared" si="72"/>
        <v>0</v>
      </c>
      <c r="AG301" s="110">
        <f t="shared" si="73"/>
        <v>0</v>
      </c>
      <c r="AH301" s="110">
        <f t="shared" si="74"/>
        <v>0</v>
      </c>
      <c r="AI301" s="110">
        <f t="shared" si="75"/>
        <v>0</v>
      </c>
      <c r="AJ301" s="110">
        <f t="shared" si="76"/>
        <v>0</v>
      </c>
    </row>
    <row r="302" spans="1:36" s="85" customFormat="1" ht="52.5" hidden="1" customHeight="1" x14ac:dyDescent="0.25">
      <c r="A302" s="83">
        <v>284</v>
      </c>
      <c r="B302" s="83"/>
      <c r="C302" s="84"/>
      <c r="D302" s="93"/>
      <c r="E302" s="83"/>
      <c r="F302" s="83"/>
      <c r="G302" s="83"/>
      <c r="H302" s="83"/>
      <c r="I302" s="83"/>
      <c r="J302" s="83"/>
      <c r="K302" s="83"/>
      <c r="L302" s="83"/>
      <c r="M302" s="83"/>
      <c r="N302" s="83"/>
      <c r="O302" s="83"/>
      <c r="P302" s="83"/>
      <c r="Q302" s="83"/>
      <c r="R302" s="83"/>
      <c r="S302" s="83"/>
      <c r="T302" s="83"/>
      <c r="U302" s="83"/>
      <c r="V302" s="110">
        <f t="shared" si="62"/>
        <v>0</v>
      </c>
      <c r="W302" s="110">
        <f t="shared" si="63"/>
        <v>0</v>
      </c>
      <c r="X302" s="110">
        <f t="shared" si="64"/>
        <v>0</v>
      </c>
      <c r="Y302" s="110">
        <f t="shared" si="65"/>
        <v>0</v>
      </c>
      <c r="Z302" s="110">
        <f t="shared" si="66"/>
        <v>0</v>
      </c>
      <c r="AA302" s="110">
        <f t="shared" si="67"/>
        <v>0</v>
      </c>
      <c r="AB302" s="110">
        <f t="shared" si="68"/>
        <v>0</v>
      </c>
      <c r="AC302" s="110">
        <f t="shared" si="69"/>
        <v>0</v>
      </c>
      <c r="AD302" s="110">
        <f t="shared" si="70"/>
        <v>0</v>
      </c>
      <c r="AE302" s="110">
        <f t="shared" si="71"/>
        <v>0</v>
      </c>
      <c r="AF302" s="110">
        <f t="shared" si="72"/>
        <v>0</v>
      </c>
      <c r="AG302" s="110">
        <f t="shared" si="73"/>
        <v>0</v>
      </c>
      <c r="AH302" s="110">
        <f t="shared" si="74"/>
        <v>0</v>
      </c>
      <c r="AI302" s="110">
        <f t="shared" si="75"/>
        <v>0</v>
      </c>
      <c r="AJ302" s="110">
        <f t="shared" si="76"/>
        <v>0</v>
      </c>
    </row>
    <row r="303" spans="1:36" s="85" customFormat="1" ht="52.5" hidden="1" customHeight="1" x14ac:dyDescent="0.25">
      <c r="A303" s="83">
        <v>285</v>
      </c>
      <c r="B303" s="83"/>
      <c r="C303" s="84"/>
      <c r="D303" s="93"/>
      <c r="E303" s="83"/>
      <c r="F303" s="83"/>
      <c r="G303" s="83"/>
      <c r="H303" s="83"/>
      <c r="I303" s="83"/>
      <c r="J303" s="83"/>
      <c r="K303" s="83"/>
      <c r="L303" s="83"/>
      <c r="M303" s="83"/>
      <c r="N303" s="83"/>
      <c r="O303" s="83"/>
      <c r="P303" s="83"/>
      <c r="Q303" s="83"/>
      <c r="R303" s="83"/>
      <c r="S303" s="83"/>
      <c r="T303" s="83"/>
      <c r="U303" s="83"/>
      <c r="V303" s="110">
        <f t="shared" si="62"/>
        <v>0</v>
      </c>
      <c r="W303" s="110">
        <f t="shared" si="63"/>
        <v>0</v>
      </c>
      <c r="X303" s="110">
        <f t="shared" si="64"/>
        <v>0</v>
      </c>
      <c r="Y303" s="110">
        <f t="shared" si="65"/>
        <v>0</v>
      </c>
      <c r="Z303" s="110">
        <f t="shared" si="66"/>
        <v>0</v>
      </c>
      <c r="AA303" s="110">
        <f t="shared" si="67"/>
        <v>0</v>
      </c>
      <c r="AB303" s="110">
        <f t="shared" si="68"/>
        <v>0</v>
      </c>
      <c r="AC303" s="110">
        <f t="shared" si="69"/>
        <v>0</v>
      </c>
      <c r="AD303" s="110">
        <f t="shared" si="70"/>
        <v>0</v>
      </c>
      <c r="AE303" s="110">
        <f t="shared" si="71"/>
        <v>0</v>
      </c>
      <c r="AF303" s="110">
        <f t="shared" si="72"/>
        <v>0</v>
      </c>
      <c r="AG303" s="110">
        <f t="shared" si="73"/>
        <v>0</v>
      </c>
      <c r="AH303" s="110">
        <f t="shared" si="74"/>
        <v>0</v>
      </c>
      <c r="AI303" s="110">
        <f t="shared" si="75"/>
        <v>0</v>
      </c>
      <c r="AJ303" s="110">
        <f t="shared" si="76"/>
        <v>0</v>
      </c>
    </row>
    <row r="304" spans="1:36" s="85" customFormat="1" ht="52.5" hidden="1" customHeight="1" x14ac:dyDescent="0.25">
      <c r="A304" s="83">
        <v>286</v>
      </c>
      <c r="B304" s="83"/>
      <c r="C304" s="84"/>
      <c r="D304" s="93"/>
      <c r="E304" s="83"/>
      <c r="F304" s="83"/>
      <c r="G304" s="83"/>
      <c r="H304" s="83"/>
      <c r="I304" s="83"/>
      <c r="J304" s="83"/>
      <c r="K304" s="83"/>
      <c r="L304" s="83"/>
      <c r="M304" s="83"/>
      <c r="N304" s="83"/>
      <c r="O304" s="83"/>
      <c r="P304" s="83"/>
      <c r="Q304" s="83"/>
      <c r="R304" s="83"/>
      <c r="S304" s="83"/>
      <c r="T304" s="83"/>
      <c r="U304" s="83"/>
      <c r="V304" s="110">
        <f t="shared" si="62"/>
        <v>0</v>
      </c>
      <c r="W304" s="110">
        <f t="shared" si="63"/>
        <v>0</v>
      </c>
      <c r="X304" s="110">
        <f t="shared" si="64"/>
        <v>0</v>
      </c>
      <c r="Y304" s="110">
        <f t="shared" si="65"/>
        <v>0</v>
      </c>
      <c r="Z304" s="110">
        <f t="shared" si="66"/>
        <v>0</v>
      </c>
      <c r="AA304" s="110">
        <f t="shared" si="67"/>
        <v>0</v>
      </c>
      <c r="AB304" s="110">
        <f t="shared" si="68"/>
        <v>0</v>
      </c>
      <c r="AC304" s="110">
        <f t="shared" si="69"/>
        <v>0</v>
      </c>
      <c r="AD304" s="110">
        <f t="shared" si="70"/>
        <v>0</v>
      </c>
      <c r="AE304" s="110">
        <f t="shared" si="71"/>
        <v>0</v>
      </c>
      <c r="AF304" s="110">
        <f t="shared" si="72"/>
        <v>0</v>
      </c>
      <c r="AG304" s="110">
        <f t="shared" si="73"/>
        <v>0</v>
      </c>
      <c r="AH304" s="110">
        <f t="shared" si="74"/>
        <v>0</v>
      </c>
      <c r="AI304" s="110">
        <f t="shared" si="75"/>
        <v>0</v>
      </c>
      <c r="AJ304" s="110">
        <f t="shared" si="76"/>
        <v>0</v>
      </c>
    </row>
    <row r="305" spans="1:36" s="85" customFormat="1" ht="52.5" hidden="1" customHeight="1" x14ac:dyDescent="0.25">
      <c r="A305" s="83">
        <v>287</v>
      </c>
      <c r="B305" s="83"/>
      <c r="C305" s="84"/>
      <c r="D305" s="93"/>
      <c r="E305" s="83"/>
      <c r="F305" s="83"/>
      <c r="G305" s="83"/>
      <c r="H305" s="83"/>
      <c r="I305" s="83"/>
      <c r="J305" s="83"/>
      <c r="K305" s="83"/>
      <c r="L305" s="83"/>
      <c r="M305" s="83"/>
      <c r="N305" s="83"/>
      <c r="O305" s="83"/>
      <c r="P305" s="83"/>
      <c r="Q305" s="83"/>
      <c r="R305" s="83"/>
      <c r="S305" s="83"/>
      <c r="T305" s="83"/>
      <c r="U305" s="83"/>
      <c r="V305" s="110">
        <f t="shared" si="62"/>
        <v>0</v>
      </c>
      <c r="W305" s="110">
        <f t="shared" si="63"/>
        <v>0</v>
      </c>
      <c r="X305" s="110">
        <f t="shared" si="64"/>
        <v>0</v>
      </c>
      <c r="Y305" s="110">
        <f t="shared" si="65"/>
        <v>0</v>
      </c>
      <c r="Z305" s="110">
        <f t="shared" si="66"/>
        <v>0</v>
      </c>
      <c r="AA305" s="110">
        <f t="shared" si="67"/>
        <v>0</v>
      </c>
      <c r="AB305" s="110">
        <f t="shared" si="68"/>
        <v>0</v>
      </c>
      <c r="AC305" s="110">
        <f t="shared" si="69"/>
        <v>0</v>
      </c>
      <c r="AD305" s="110">
        <f t="shared" si="70"/>
        <v>0</v>
      </c>
      <c r="AE305" s="110">
        <f t="shared" si="71"/>
        <v>0</v>
      </c>
      <c r="AF305" s="110">
        <f t="shared" si="72"/>
        <v>0</v>
      </c>
      <c r="AG305" s="110">
        <f t="shared" si="73"/>
        <v>0</v>
      </c>
      <c r="AH305" s="110">
        <f t="shared" si="74"/>
        <v>0</v>
      </c>
      <c r="AI305" s="110">
        <f t="shared" si="75"/>
        <v>0</v>
      </c>
      <c r="AJ305" s="110">
        <f t="shared" si="76"/>
        <v>0</v>
      </c>
    </row>
    <row r="306" spans="1:36" s="85" customFormat="1" ht="52.5" hidden="1" customHeight="1" x14ac:dyDescent="0.25">
      <c r="A306" s="83">
        <v>288</v>
      </c>
      <c r="B306" s="83"/>
      <c r="C306" s="84"/>
      <c r="D306" s="93"/>
      <c r="E306" s="83"/>
      <c r="F306" s="83"/>
      <c r="G306" s="83"/>
      <c r="H306" s="83"/>
      <c r="I306" s="83"/>
      <c r="J306" s="83"/>
      <c r="K306" s="83"/>
      <c r="L306" s="83"/>
      <c r="M306" s="83"/>
      <c r="N306" s="83"/>
      <c r="O306" s="83"/>
      <c r="P306" s="83"/>
      <c r="Q306" s="83"/>
      <c r="R306" s="83"/>
      <c r="S306" s="83"/>
      <c r="T306" s="83"/>
      <c r="U306" s="83"/>
      <c r="V306" s="110">
        <f t="shared" si="62"/>
        <v>0</v>
      </c>
      <c r="W306" s="110">
        <f t="shared" si="63"/>
        <v>0</v>
      </c>
      <c r="X306" s="110">
        <f t="shared" si="64"/>
        <v>0</v>
      </c>
      <c r="Y306" s="110">
        <f t="shared" si="65"/>
        <v>0</v>
      </c>
      <c r="Z306" s="110">
        <f t="shared" si="66"/>
        <v>0</v>
      </c>
      <c r="AA306" s="110">
        <f t="shared" si="67"/>
        <v>0</v>
      </c>
      <c r="AB306" s="110">
        <f t="shared" si="68"/>
        <v>0</v>
      </c>
      <c r="AC306" s="110">
        <f t="shared" si="69"/>
        <v>0</v>
      </c>
      <c r="AD306" s="110">
        <f t="shared" si="70"/>
        <v>0</v>
      </c>
      <c r="AE306" s="110">
        <f t="shared" si="71"/>
        <v>0</v>
      </c>
      <c r="AF306" s="110">
        <f t="shared" si="72"/>
        <v>0</v>
      </c>
      <c r="AG306" s="110">
        <f t="shared" si="73"/>
        <v>0</v>
      </c>
      <c r="AH306" s="110">
        <f t="shared" si="74"/>
        <v>0</v>
      </c>
      <c r="AI306" s="110">
        <f t="shared" si="75"/>
        <v>0</v>
      </c>
      <c r="AJ306" s="110">
        <f t="shared" si="76"/>
        <v>0</v>
      </c>
    </row>
    <row r="307" spans="1:36" s="85" customFormat="1" ht="52.5" hidden="1" customHeight="1" x14ac:dyDescent="0.25">
      <c r="A307" s="83">
        <v>289</v>
      </c>
      <c r="B307" s="83"/>
      <c r="C307" s="84"/>
      <c r="D307" s="93"/>
      <c r="E307" s="83"/>
      <c r="F307" s="83"/>
      <c r="G307" s="83"/>
      <c r="H307" s="83"/>
      <c r="I307" s="83"/>
      <c r="J307" s="83"/>
      <c r="K307" s="83"/>
      <c r="L307" s="83"/>
      <c r="M307" s="83"/>
      <c r="N307" s="83"/>
      <c r="O307" s="83"/>
      <c r="P307" s="83"/>
      <c r="Q307" s="83"/>
      <c r="R307" s="83"/>
      <c r="S307" s="83"/>
      <c r="T307" s="83"/>
      <c r="U307" s="83"/>
      <c r="V307" s="110">
        <f t="shared" si="62"/>
        <v>0</v>
      </c>
      <c r="W307" s="110">
        <f t="shared" si="63"/>
        <v>0</v>
      </c>
      <c r="X307" s="110">
        <f t="shared" si="64"/>
        <v>0</v>
      </c>
      <c r="Y307" s="110">
        <f t="shared" si="65"/>
        <v>0</v>
      </c>
      <c r="Z307" s="110">
        <f t="shared" si="66"/>
        <v>0</v>
      </c>
      <c r="AA307" s="110">
        <f t="shared" si="67"/>
        <v>0</v>
      </c>
      <c r="AB307" s="110">
        <f t="shared" si="68"/>
        <v>0</v>
      </c>
      <c r="AC307" s="110">
        <f t="shared" si="69"/>
        <v>0</v>
      </c>
      <c r="AD307" s="110">
        <f t="shared" si="70"/>
        <v>0</v>
      </c>
      <c r="AE307" s="110">
        <f t="shared" si="71"/>
        <v>0</v>
      </c>
      <c r="AF307" s="110">
        <f t="shared" si="72"/>
        <v>0</v>
      </c>
      <c r="AG307" s="110">
        <f t="shared" si="73"/>
        <v>0</v>
      </c>
      <c r="AH307" s="110">
        <f t="shared" si="74"/>
        <v>0</v>
      </c>
      <c r="AI307" s="110">
        <f t="shared" si="75"/>
        <v>0</v>
      </c>
      <c r="AJ307" s="110">
        <f t="shared" si="76"/>
        <v>0</v>
      </c>
    </row>
    <row r="308" spans="1:36" s="85" customFormat="1" ht="52.5" hidden="1" customHeight="1" x14ac:dyDescent="0.25">
      <c r="A308" s="83">
        <v>290</v>
      </c>
      <c r="B308" s="83"/>
      <c r="C308" s="84"/>
      <c r="D308" s="93"/>
      <c r="E308" s="83"/>
      <c r="F308" s="83"/>
      <c r="G308" s="83"/>
      <c r="H308" s="83"/>
      <c r="I308" s="83"/>
      <c r="J308" s="83"/>
      <c r="K308" s="83"/>
      <c r="L308" s="83"/>
      <c r="M308" s="83"/>
      <c r="N308" s="83"/>
      <c r="O308" s="83"/>
      <c r="P308" s="83"/>
      <c r="Q308" s="83"/>
      <c r="R308" s="83"/>
      <c r="S308" s="83"/>
      <c r="T308" s="83"/>
      <c r="U308" s="83"/>
      <c r="V308" s="110">
        <f t="shared" si="62"/>
        <v>0</v>
      </c>
      <c r="W308" s="110">
        <f t="shared" si="63"/>
        <v>0</v>
      </c>
      <c r="X308" s="110">
        <f t="shared" si="64"/>
        <v>0</v>
      </c>
      <c r="Y308" s="110">
        <f t="shared" si="65"/>
        <v>0</v>
      </c>
      <c r="Z308" s="110">
        <f t="shared" si="66"/>
        <v>0</v>
      </c>
      <c r="AA308" s="110">
        <f t="shared" si="67"/>
        <v>0</v>
      </c>
      <c r="AB308" s="110">
        <f t="shared" si="68"/>
        <v>0</v>
      </c>
      <c r="AC308" s="110">
        <f t="shared" si="69"/>
        <v>0</v>
      </c>
      <c r="AD308" s="110">
        <f t="shared" si="70"/>
        <v>0</v>
      </c>
      <c r="AE308" s="110">
        <f t="shared" si="71"/>
        <v>0</v>
      </c>
      <c r="AF308" s="110">
        <f t="shared" si="72"/>
        <v>0</v>
      </c>
      <c r="AG308" s="110">
        <f t="shared" si="73"/>
        <v>0</v>
      </c>
      <c r="AH308" s="110">
        <f t="shared" si="74"/>
        <v>0</v>
      </c>
      <c r="AI308" s="110">
        <f t="shared" si="75"/>
        <v>0</v>
      </c>
      <c r="AJ308" s="110">
        <f t="shared" si="76"/>
        <v>0</v>
      </c>
    </row>
    <row r="309" spans="1:36" s="85" customFormat="1" ht="52.5" hidden="1" customHeight="1" x14ac:dyDescent="0.25">
      <c r="A309" s="83">
        <v>291</v>
      </c>
      <c r="B309" s="83"/>
      <c r="C309" s="84"/>
      <c r="D309" s="93"/>
      <c r="E309" s="83"/>
      <c r="F309" s="83"/>
      <c r="G309" s="83"/>
      <c r="H309" s="83"/>
      <c r="I309" s="83"/>
      <c r="J309" s="83"/>
      <c r="K309" s="83"/>
      <c r="L309" s="83"/>
      <c r="M309" s="83"/>
      <c r="N309" s="83"/>
      <c r="O309" s="83"/>
      <c r="P309" s="83"/>
      <c r="Q309" s="83"/>
      <c r="R309" s="83"/>
      <c r="S309" s="83"/>
      <c r="T309" s="83"/>
      <c r="U309" s="83"/>
      <c r="V309" s="110">
        <f t="shared" si="62"/>
        <v>0</v>
      </c>
      <c r="W309" s="110">
        <f t="shared" si="63"/>
        <v>0</v>
      </c>
      <c r="X309" s="110">
        <f t="shared" si="64"/>
        <v>0</v>
      </c>
      <c r="Y309" s="110">
        <f t="shared" si="65"/>
        <v>0</v>
      </c>
      <c r="Z309" s="110">
        <f t="shared" si="66"/>
        <v>0</v>
      </c>
      <c r="AA309" s="110">
        <f t="shared" si="67"/>
        <v>0</v>
      </c>
      <c r="AB309" s="110">
        <f t="shared" si="68"/>
        <v>0</v>
      </c>
      <c r="AC309" s="110">
        <f t="shared" si="69"/>
        <v>0</v>
      </c>
      <c r="AD309" s="110">
        <f t="shared" si="70"/>
        <v>0</v>
      </c>
      <c r="AE309" s="110">
        <f t="shared" si="71"/>
        <v>0</v>
      </c>
      <c r="AF309" s="110">
        <f t="shared" si="72"/>
        <v>0</v>
      </c>
      <c r="AG309" s="110">
        <f t="shared" si="73"/>
        <v>0</v>
      </c>
      <c r="AH309" s="110">
        <f t="shared" si="74"/>
        <v>0</v>
      </c>
      <c r="AI309" s="110">
        <f t="shared" si="75"/>
        <v>0</v>
      </c>
      <c r="AJ309" s="110">
        <f t="shared" si="76"/>
        <v>0</v>
      </c>
    </row>
    <row r="310" spans="1:36" s="85" customFormat="1" ht="52.5" hidden="1" customHeight="1" x14ac:dyDescent="0.25">
      <c r="A310" s="83">
        <v>292</v>
      </c>
      <c r="B310" s="83"/>
      <c r="C310" s="84"/>
      <c r="D310" s="93"/>
      <c r="E310" s="83"/>
      <c r="F310" s="83"/>
      <c r="G310" s="83"/>
      <c r="H310" s="83"/>
      <c r="I310" s="83"/>
      <c r="J310" s="83"/>
      <c r="K310" s="83"/>
      <c r="L310" s="83"/>
      <c r="M310" s="83"/>
      <c r="N310" s="83"/>
      <c r="O310" s="83"/>
      <c r="P310" s="83"/>
      <c r="Q310" s="83"/>
      <c r="R310" s="83"/>
      <c r="S310" s="83"/>
      <c r="T310" s="83"/>
      <c r="U310" s="83"/>
      <c r="V310" s="110">
        <f t="shared" si="62"/>
        <v>0</v>
      </c>
      <c r="W310" s="110">
        <f t="shared" si="63"/>
        <v>0</v>
      </c>
      <c r="X310" s="110">
        <f t="shared" si="64"/>
        <v>0</v>
      </c>
      <c r="Y310" s="110">
        <f t="shared" si="65"/>
        <v>0</v>
      </c>
      <c r="Z310" s="110">
        <f t="shared" si="66"/>
        <v>0</v>
      </c>
      <c r="AA310" s="110">
        <f t="shared" si="67"/>
        <v>0</v>
      </c>
      <c r="AB310" s="110">
        <f t="shared" si="68"/>
        <v>0</v>
      </c>
      <c r="AC310" s="110">
        <f t="shared" si="69"/>
        <v>0</v>
      </c>
      <c r="AD310" s="110">
        <f t="shared" si="70"/>
        <v>0</v>
      </c>
      <c r="AE310" s="110">
        <f t="shared" si="71"/>
        <v>0</v>
      </c>
      <c r="AF310" s="110">
        <f t="shared" si="72"/>
        <v>0</v>
      </c>
      <c r="AG310" s="110">
        <f t="shared" si="73"/>
        <v>0</v>
      </c>
      <c r="AH310" s="110">
        <f t="shared" si="74"/>
        <v>0</v>
      </c>
      <c r="AI310" s="110">
        <f t="shared" si="75"/>
        <v>0</v>
      </c>
      <c r="AJ310" s="110">
        <f t="shared" si="76"/>
        <v>0</v>
      </c>
    </row>
    <row r="311" spans="1:36" s="85" customFormat="1" ht="52.5" hidden="1" customHeight="1" x14ac:dyDescent="0.25">
      <c r="A311" s="83">
        <v>293</v>
      </c>
      <c r="B311" s="83"/>
      <c r="C311" s="84"/>
      <c r="D311" s="93"/>
      <c r="E311" s="83"/>
      <c r="F311" s="83"/>
      <c r="G311" s="83"/>
      <c r="H311" s="83"/>
      <c r="I311" s="83"/>
      <c r="J311" s="83"/>
      <c r="K311" s="83"/>
      <c r="L311" s="83"/>
      <c r="M311" s="83"/>
      <c r="N311" s="83"/>
      <c r="O311" s="83"/>
      <c r="P311" s="83"/>
      <c r="Q311" s="83"/>
      <c r="R311" s="83"/>
      <c r="S311" s="83"/>
      <c r="T311" s="83"/>
      <c r="U311" s="83"/>
      <c r="V311" s="110">
        <f t="shared" si="62"/>
        <v>0</v>
      </c>
      <c r="W311" s="110">
        <f t="shared" si="63"/>
        <v>0</v>
      </c>
      <c r="X311" s="110">
        <f t="shared" si="64"/>
        <v>0</v>
      </c>
      <c r="Y311" s="110">
        <f t="shared" si="65"/>
        <v>0</v>
      </c>
      <c r="Z311" s="110">
        <f t="shared" si="66"/>
        <v>0</v>
      </c>
      <c r="AA311" s="110">
        <f t="shared" si="67"/>
        <v>0</v>
      </c>
      <c r="AB311" s="110">
        <f t="shared" si="68"/>
        <v>0</v>
      </c>
      <c r="AC311" s="110">
        <f t="shared" si="69"/>
        <v>0</v>
      </c>
      <c r="AD311" s="110">
        <f t="shared" si="70"/>
        <v>0</v>
      </c>
      <c r="AE311" s="110">
        <f t="shared" si="71"/>
        <v>0</v>
      </c>
      <c r="AF311" s="110">
        <f t="shared" si="72"/>
        <v>0</v>
      </c>
      <c r="AG311" s="110">
        <f t="shared" si="73"/>
        <v>0</v>
      </c>
      <c r="AH311" s="110">
        <f t="shared" si="74"/>
        <v>0</v>
      </c>
      <c r="AI311" s="110">
        <f t="shared" si="75"/>
        <v>0</v>
      </c>
      <c r="AJ311" s="110">
        <f t="shared" si="76"/>
        <v>0</v>
      </c>
    </row>
    <row r="312" spans="1:36" s="85" customFormat="1" ht="52.5" hidden="1" customHeight="1" x14ac:dyDescent="0.25">
      <c r="A312" s="83">
        <v>294</v>
      </c>
      <c r="B312" s="83"/>
      <c r="C312" s="84"/>
      <c r="D312" s="93"/>
      <c r="E312" s="83"/>
      <c r="F312" s="83"/>
      <c r="G312" s="83"/>
      <c r="H312" s="83"/>
      <c r="I312" s="83"/>
      <c r="J312" s="83"/>
      <c r="K312" s="83"/>
      <c r="L312" s="83"/>
      <c r="M312" s="83"/>
      <c r="N312" s="83"/>
      <c r="O312" s="83"/>
      <c r="P312" s="83"/>
      <c r="Q312" s="83"/>
      <c r="R312" s="83"/>
      <c r="S312" s="83"/>
      <c r="T312" s="83"/>
      <c r="U312" s="83"/>
      <c r="V312" s="110">
        <f t="shared" si="62"/>
        <v>0</v>
      </c>
      <c r="W312" s="110">
        <f t="shared" si="63"/>
        <v>0</v>
      </c>
      <c r="X312" s="110">
        <f t="shared" si="64"/>
        <v>0</v>
      </c>
      <c r="Y312" s="110">
        <f t="shared" si="65"/>
        <v>0</v>
      </c>
      <c r="Z312" s="110">
        <f t="shared" si="66"/>
        <v>0</v>
      </c>
      <c r="AA312" s="110">
        <f t="shared" si="67"/>
        <v>0</v>
      </c>
      <c r="AB312" s="110">
        <f t="shared" si="68"/>
        <v>0</v>
      </c>
      <c r="AC312" s="110">
        <f t="shared" si="69"/>
        <v>0</v>
      </c>
      <c r="AD312" s="110">
        <f t="shared" si="70"/>
        <v>0</v>
      </c>
      <c r="AE312" s="110">
        <f t="shared" si="71"/>
        <v>0</v>
      </c>
      <c r="AF312" s="110">
        <f t="shared" si="72"/>
        <v>0</v>
      </c>
      <c r="AG312" s="110">
        <f t="shared" si="73"/>
        <v>0</v>
      </c>
      <c r="AH312" s="110">
        <f t="shared" si="74"/>
        <v>0</v>
      </c>
      <c r="AI312" s="110">
        <f t="shared" si="75"/>
        <v>0</v>
      </c>
      <c r="AJ312" s="110">
        <f t="shared" si="76"/>
        <v>0</v>
      </c>
    </row>
    <row r="313" spans="1:36" s="85" customFormat="1" ht="52.5" hidden="1" customHeight="1" x14ac:dyDescent="0.25">
      <c r="A313" s="83">
        <v>295</v>
      </c>
      <c r="B313" s="83"/>
      <c r="C313" s="84"/>
      <c r="D313" s="93"/>
      <c r="E313" s="83"/>
      <c r="F313" s="83"/>
      <c r="G313" s="83"/>
      <c r="H313" s="83"/>
      <c r="I313" s="83"/>
      <c r="J313" s="83"/>
      <c r="K313" s="83"/>
      <c r="L313" s="83"/>
      <c r="M313" s="83"/>
      <c r="N313" s="83"/>
      <c r="O313" s="83"/>
      <c r="P313" s="83"/>
      <c r="Q313" s="83"/>
      <c r="R313" s="83"/>
      <c r="S313" s="83"/>
      <c r="T313" s="83"/>
      <c r="U313" s="83"/>
      <c r="V313" s="110">
        <f t="shared" si="62"/>
        <v>0</v>
      </c>
      <c r="W313" s="110">
        <f t="shared" si="63"/>
        <v>0</v>
      </c>
      <c r="X313" s="110">
        <f t="shared" si="64"/>
        <v>0</v>
      </c>
      <c r="Y313" s="110">
        <f t="shared" si="65"/>
        <v>0</v>
      </c>
      <c r="Z313" s="110">
        <f t="shared" si="66"/>
        <v>0</v>
      </c>
      <c r="AA313" s="110">
        <f t="shared" si="67"/>
        <v>0</v>
      </c>
      <c r="AB313" s="110">
        <f t="shared" si="68"/>
        <v>0</v>
      </c>
      <c r="AC313" s="110">
        <f t="shared" si="69"/>
        <v>0</v>
      </c>
      <c r="AD313" s="110">
        <f t="shared" si="70"/>
        <v>0</v>
      </c>
      <c r="AE313" s="110">
        <f t="shared" si="71"/>
        <v>0</v>
      </c>
      <c r="AF313" s="110">
        <f t="shared" si="72"/>
        <v>0</v>
      </c>
      <c r="AG313" s="110">
        <f t="shared" si="73"/>
        <v>0</v>
      </c>
      <c r="AH313" s="110">
        <f t="shared" si="74"/>
        <v>0</v>
      </c>
      <c r="AI313" s="110">
        <f t="shared" si="75"/>
        <v>0</v>
      </c>
      <c r="AJ313" s="110">
        <f t="shared" si="76"/>
        <v>0</v>
      </c>
    </row>
    <row r="314" spans="1:36" s="85" customFormat="1" ht="52.5" hidden="1" customHeight="1" x14ac:dyDescent="0.25">
      <c r="A314" s="83">
        <v>296</v>
      </c>
      <c r="B314" s="83"/>
      <c r="C314" s="84"/>
      <c r="D314" s="93"/>
      <c r="E314" s="83"/>
      <c r="F314" s="83"/>
      <c r="G314" s="83"/>
      <c r="H314" s="83"/>
      <c r="I314" s="83"/>
      <c r="J314" s="83"/>
      <c r="K314" s="83"/>
      <c r="L314" s="83"/>
      <c r="M314" s="83"/>
      <c r="N314" s="83"/>
      <c r="O314" s="83"/>
      <c r="P314" s="83"/>
      <c r="Q314" s="83"/>
      <c r="R314" s="83"/>
      <c r="S314" s="83"/>
      <c r="T314" s="83"/>
      <c r="U314" s="83"/>
      <c r="V314" s="110">
        <f t="shared" si="62"/>
        <v>0</v>
      </c>
      <c r="W314" s="110">
        <f t="shared" si="63"/>
        <v>0</v>
      </c>
      <c r="X314" s="110">
        <f t="shared" si="64"/>
        <v>0</v>
      </c>
      <c r="Y314" s="110">
        <f t="shared" si="65"/>
        <v>0</v>
      </c>
      <c r="Z314" s="110">
        <f t="shared" si="66"/>
        <v>0</v>
      </c>
      <c r="AA314" s="110">
        <f t="shared" si="67"/>
        <v>0</v>
      </c>
      <c r="AB314" s="110">
        <f t="shared" si="68"/>
        <v>0</v>
      </c>
      <c r="AC314" s="110">
        <f t="shared" si="69"/>
        <v>0</v>
      </c>
      <c r="AD314" s="110">
        <f t="shared" si="70"/>
        <v>0</v>
      </c>
      <c r="AE314" s="110">
        <f t="shared" si="71"/>
        <v>0</v>
      </c>
      <c r="AF314" s="110">
        <f t="shared" si="72"/>
        <v>0</v>
      </c>
      <c r="AG314" s="110">
        <f t="shared" si="73"/>
        <v>0</v>
      </c>
      <c r="AH314" s="110">
        <f t="shared" si="74"/>
        <v>0</v>
      </c>
      <c r="AI314" s="110">
        <f t="shared" si="75"/>
        <v>0</v>
      </c>
      <c r="AJ314" s="110">
        <f t="shared" si="76"/>
        <v>0</v>
      </c>
    </row>
    <row r="315" spans="1:36" s="85" customFormat="1" ht="52.5" hidden="1" customHeight="1" x14ac:dyDescent="0.25">
      <c r="A315" s="83">
        <v>297</v>
      </c>
      <c r="B315" s="83"/>
      <c r="C315" s="84"/>
      <c r="D315" s="93"/>
      <c r="E315" s="83"/>
      <c r="F315" s="83"/>
      <c r="G315" s="83"/>
      <c r="H315" s="83"/>
      <c r="I315" s="83"/>
      <c r="J315" s="83"/>
      <c r="K315" s="83"/>
      <c r="L315" s="83"/>
      <c r="M315" s="83"/>
      <c r="N315" s="83"/>
      <c r="O315" s="83"/>
      <c r="P315" s="83"/>
      <c r="Q315" s="83"/>
      <c r="R315" s="83"/>
      <c r="S315" s="83"/>
      <c r="T315" s="83"/>
      <c r="U315" s="83"/>
      <c r="V315" s="110">
        <f t="shared" si="62"/>
        <v>0</v>
      </c>
      <c r="W315" s="110">
        <f t="shared" si="63"/>
        <v>0</v>
      </c>
      <c r="X315" s="110">
        <f t="shared" si="64"/>
        <v>0</v>
      </c>
      <c r="Y315" s="110">
        <f t="shared" si="65"/>
        <v>0</v>
      </c>
      <c r="Z315" s="110">
        <f t="shared" si="66"/>
        <v>0</v>
      </c>
      <c r="AA315" s="110">
        <f t="shared" si="67"/>
        <v>0</v>
      </c>
      <c r="AB315" s="110">
        <f t="shared" si="68"/>
        <v>0</v>
      </c>
      <c r="AC315" s="110">
        <f t="shared" si="69"/>
        <v>0</v>
      </c>
      <c r="AD315" s="110">
        <f t="shared" si="70"/>
        <v>0</v>
      </c>
      <c r="AE315" s="110">
        <f t="shared" si="71"/>
        <v>0</v>
      </c>
      <c r="AF315" s="110">
        <f t="shared" si="72"/>
        <v>0</v>
      </c>
      <c r="AG315" s="110">
        <f t="shared" si="73"/>
        <v>0</v>
      </c>
      <c r="AH315" s="110">
        <f t="shared" si="74"/>
        <v>0</v>
      </c>
      <c r="AI315" s="110">
        <f t="shared" si="75"/>
        <v>0</v>
      </c>
      <c r="AJ315" s="110">
        <f t="shared" si="76"/>
        <v>0</v>
      </c>
    </row>
    <row r="316" spans="1:36" s="85" customFormat="1" ht="52.5" hidden="1" customHeight="1" x14ac:dyDescent="0.25">
      <c r="A316" s="83">
        <v>298</v>
      </c>
      <c r="B316" s="83"/>
      <c r="C316" s="84"/>
      <c r="D316" s="93"/>
      <c r="E316" s="83"/>
      <c r="F316" s="83"/>
      <c r="G316" s="83"/>
      <c r="H316" s="83"/>
      <c r="I316" s="83"/>
      <c r="J316" s="83"/>
      <c r="K316" s="83"/>
      <c r="L316" s="83"/>
      <c r="M316" s="83"/>
      <c r="N316" s="83"/>
      <c r="O316" s="83"/>
      <c r="P316" s="83"/>
      <c r="Q316" s="83"/>
      <c r="R316" s="83"/>
      <c r="S316" s="83"/>
      <c r="T316" s="83"/>
      <c r="U316" s="83"/>
      <c r="V316" s="110">
        <f t="shared" si="62"/>
        <v>0</v>
      </c>
      <c r="W316" s="110">
        <f t="shared" si="63"/>
        <v>0</v>
      </c>
      <c r="X316" s="110">
        <f t="shared" si="64"/>
        <v>0</v>
      </c>
      <c r="Y316" s="110">
        <f t="shared" si="65"/>
        <v>0</v>
      </c>
      <c r="Z316" s="110">
        <f t="shared" si="66"/>
        <v>0</v>
      </c>
      <c r="AA316" s="110">
        <f t="shared" si="67"/>
        <v>0</v>
      </c>
      <c r="AB316" s="110">
        <f t="shared" si="68"/>
        <v>0</v>
      </c>
      <c r="AC316" s="110">
        <f t="shared" si="69"/>
        <v>0</v>
      </c>
      <c r="AD316" s="110">
        <f t="shared" si="70"/>
        <v>0</v>
      </c>
      <c r="AE316" s="110">
        <f t="shared" si="71"/>
        <v>0</v>
      </c>
      <c r="AF316" s="110">
        <f t="shared" si="72"/>
        <v>0</v>
      </c>
      <c r="AG316" s="110">
        <f t="shared" si="73"/>
        <v>0</v>
      </c>
      <c r="AH316" s="110">
        <f t="shared" si="74"/>
        <v>0</v>
      </c>
      <c r="AI316" s="110">
        <f t="shared" si="75"/>
        <v>0</v>
      </c>
      <c r="AJ316" s="110">
        <f t="shared" si="76"/>
        <v>0</v>
      </c>
    </row>
    <row r="317" spans="1:36" s="85" customFormat="1" ht="52.5" hidden="1" customHeight="1" x14ac:dyDescent="0.25">
      <c r="A317" s="83">
        <v>299</v>
      </c>
      <c r="B317" s="83"/>
      <c r="C317" s="84"/>
      <c r="D317" s="93"/>
      <c r="E317" s="83"/>
      <c r="F317" s="83"/>
      <c r="G317" s="83"/>
      <c r="H317" s="83"/>
      <c r="I317" s="83"/>
      <c r="J317" s="83"/>
      <c r="K317" s="83"/>
      <c r="L317" s="83"/>
      <c r="M317" s="83"/>
      <c r="N317" s="83"/>
      <c r="O317" s="83"/>
      <c r="P317" s="83"/>
      <c r="Q317" s="83"/>
      <c r="R317" s="83"/>
      <c r="S317" s="83"/>
      <c r="T317" s="83"/>
      <c r="U317" s="83"/>
      <c r="V317" s="110">
        <f t="shared" si="62"/>
        <v>0</v>
      </c>
      <c r="W317" s="110">
        <f t="shared" si="63"/>
        <v>0</v>
      </c>
      <c r="X317" s="110">
        <f t="shared" si="64"/>
        <v>0</v>
      </c>
      <c r="Y317" s="110">
        <f t="shared" si="65"/>
        <v>0</v>
      </c>
      <c r="Z317" s="110">
        <f t="shared" si="66"/>
        <v>0</v>
      </c>
      <c r="AA317" s="110">
        <f t="shared" si="67"/>
        <v>0</v>
      </c>
      <c r="AB317" s="110">
        <f t="shared" si="68"/>
        <v>0</v>
      </c>
      <c r="AC317" s="110">
        <f t="shared" si="69"/>
        <v>0</v>
      </c>
      <c r="AD317" s="110">
        <f t="shared" si="70"/>
        <v>0</v>
      </c>
      <c r="AE317" s="110">
        <f t="shared" si="71"/>
        <v>0</v>
      </c>
      <c r="AF317" s="110">
        <f t="shared" si="72"/>
        <v>0</v>
      </c>
      <c r="AG317" s="110">
        <f t="shared" si="73"/>
        <v>0</v>
      </c>
      <c r="AH317" s="110">
        <f t="shared" si="74"/>
        <v>0</v>
      </c>
      <c r="AI317" s="110">
        <f t="shared" si="75"/>
        <v>0</v>
      </c>
      <c r="AJ317" s="110">
        <f t="shared" si="76"/>
        <v>0</v>
      </c>
    </row>
    <row r="318" spans="1:36" s="85" customFormat="1" ht="52.5" hidden="1" customHeight="1" x14ac:dyDescent="0.25">
      <c r="A318" s="83">
        <v>300</v>
      </c>
      <c r="B318" s="83"/>
      <c r="C318" s="84"/>
      <c r="D318" s="93"/>
      <c r="E318" s="83"/>
      <c r="F318" s="83"/>
      <c r="G318" s="83"/>
      <c r="H318" s="83"/>
      <c r="I318" s="83"/>
      <c r="J318" s="83"/>
      <c r="K318" s="83"/>
      <c r="L318" s="83"/>
      <c r="M318" s="83"/>
      <c r="N318" s="83"/>
      <c r="O318" s="83"/>
      <c r="P318" s="83"/>
      <c r="Q318" s="83"/>
      <c r="R318" s="83"/>
      <c r="S318" s="83"/>
      <c r="T318" s="83"/>
      <c r="U318" s="83"/>
      <c r="V318" s="110">
        <f t="shared" si="62"/>
        <v>0</v>
      </c>
      <c r="W318" s="110">
        <f t="shared" si="63"/>
        <v>0</v>
      </c>
      <c r="X318" s="110">
        <f t="shared" si="64"/>
        <v>0</v>
      </c>
      <c r="Y318" s="110">
        <f t="shared" si="65"/>
        <v>0</v>
      </c>
      <c r="Z318" s="110">
        <f t="shared" si="66"/>
        <v>0</v>
      </c>
      <c r="AA318" s="110">
        <f t="shared" si="67"/>
        <v>0</v>
      </c>
      <c r="AB318" s="110">
        <f t="shared" si="68"/>
        <v>0</v>
      </c>
      <c r="AC318" s="110">
        <f t="shared" si="69"/>
        <v>0</v>
      </c>
      <c r="AD318" s="110">
        <f t="shared" si="70"/>
        <v>0</v>
      </c>
      <c r="AE318" s="110">
        <f t="shared" si="71"/>
        <v>0</v>
      </c>
      <c r="AF318" s="110">
        <f t="shared" si="72"/>
        <v>0</v>
      </c>
      <c r="AG318" s="110">
        <f t="shared" si="73"/>
        <v>0</v>
      </c>
      <c r="AH318" s="110">
        <f t="shared" si="74"/>
        <v>0</v>
      </c>
      <c r="AI318" s="110">
        <f t="shared" si="75"/>
        <v>0</v>
      </c>
      <c r="AJ318" s="110">
        <f t="shared" si="76"/>
        <v>0</v>
      </c>
    </row>
    <row r="319" spans="1:36" ht="10.5" customHeight="1" x14ac:dyDescent="0.25"/>
    <row r="320" spans="1:36" s="21" customFormat="1" ht="24.95" customHeight="1" x14ac:dyDescent="0.25">
      <c r="A320" s="145" t="s">
        <v>30</v>
      </c>
      <c r="B320" s="145"/>
      <c r="C320" s="145"/>
      <c r="D320" s="145"/>
      <c r="E320" s="145"/>
      <c r="F320" s="145"/>
      <c r="G320" s="145"/>
      <c r="H320" s="145"/>
      <c r="I320" s="145"/>
      <c r="J320" s="145"/>
      <c r="K320" s="145"/>
      <c r="L320" s="145"/>
      <c r="M320" s="145"/>
      <c r="N320" s="145"/>
      <c r="O320" s="159"/>
      <c r="P320" s="159"/>
      <c r="Q320" s="108"/>
      <c r="R320" s="108"/>
      <c r="S320" s="108"/>
      <c r="T320" s="108"/>
      <c r="U320" s="108"/>
      <c r="V320" s="159"/>
      <c r="W320" s="159"/>
      <c r="X320" s="159"/>
      <c r="Y320" s="159"/>
      <c r="Z320" s="159"/>
      <c r="AA320" s="108"/>
      <c r="AB320" s="108"/>
      <c r="AC320" s="108"/>
      <c r="AD320" s="108"/>
      <c r="AE320" s="108"/>
    </row>
    <row r="321" spans="1:31" s="21" customFormat="1" ht="47.25" customHeight="1" x14ac:dyDescent="0.25">
      <c r="A321" s="144" t="s">
        <v>36</v>
      </c>
      <c r="B321" s="144"/>
      <c r="C321" s="144"/>
      <c r="D321" s="144"/>
      <c r="E321" s="144"/>
      <c r="F321" s="144"/>
      <c r="G321" s="144" t="s">
        <v>37</v>
      </c>
      <c r="H321" s="144"/>
      <c r="I321" s="144"/>
      <c r="J321" s="144"/>
      <c r="K321" s="144"/>
      <c r="L321" s="144"/>
      <c r="M321" s="144"/>
      <c r="O321" s="161"/>
      <c r="P321" s="161"/>
      <c r="Q321" s="26"/>
      <c r="R321" s="26"/>
      <c r="S321" s="26"/>
      <c r="T321" s="26"/>
      <c r="U321" s="26"/>
      <c r="V321" s="161"/>
      <c r="W321" s="161"/>
      <c r="X321" s="161"/>
      <c r="Y321" s="161"/>
      <c r="Z321" s="161"/>
      <c r="AA321" s="26"/>
      <c r="AB321" s="26"/>
      <c r="AC321" s="26"/>
      <c r="AD321" s="26"/>
      <c r="AE321" s="26"/>
    </row>
    <row r="322" spans="1:31" s="21" customFormat="1" ht="43.5" customHeight="1" x14ac:dyDescent="0.25">
      <c r="A322" s="35" t="s">
        <v>31</v>
      </c>
      <c r="B322" s="35" t="s">
        <v>32</v>
      </c>
      <c r="C322" s="168" t="s">
        <v>33</v>
      </c>
      <c r="D322" s="168"/>
      <c r="E322" s="168"/>
      <c r="F322" s="168"/>
      <c r="G322" s="35" t="s">
        <v>31</v>
      </c>
      <c r="H322" s="171" t="s">
        <v>38</v>
      </c>
      <c r="I322" s="172"/>
      <c r="J322" s="172"/>
      <c r="K322" s="172"/>
      <c r="L322" s="172"/>
      <c r="M322" s="173"/>
      <c r="O322" s="161"/>
      <c r="P322" s="161"/>
      <c r="Q322" s="26"/>
      <c r="R322" s="26"/>
      <c r="S322" s="26"/>
      <c r="T322" s="26"/>
      <c r="U322" s="26"/>
      <c r="V322" s="161"/>
      <c r="W322" s="161"/>
      <c r="X322" s="161"/>
      <c r="Y322" s="161"/>
      <c r="Z322" s="161"/>
      <c r="AA322" s="26"/>
      <c r="AB322" s="26"/>
      <c r="AC322" s="26"/>
      <c r="AD322" s="26"/>
      <c r="AE322" s="26"/>
    </row>
    <row r="323" spans="1:31" s="21" customFormat="1" ht="50.1" customHeight="1" x14ac:dyDescent="0.25">
      <c r="A323" s="36" t="s">
        <v>39</v>
      </c>
      <c r="B323" s="107">
        <v>70</v>
      </c>
      <c r="C323" s="106" t="s">
        <v>184</v>
      </c>
      <c r="D323" s="174">
        <v>70</v>
      </c>
      <c r="E323" s="167" t="s">
        <v>114</v>
      </c>
      <c r="F323" s="167"/>
      <c r="G323" s="36" t="s">
        <v>39</v>
      </c>
      <c r="H323" s="170" t="s">
        <v>113</v>
      </c>
      <c r="I323" s="170"/>
      <c r="J323" s="170"/>
      <c r="K323" s="170"/>
      <c r="L323" s="34">
        <v>80</v>
      </c>
      <c r="M323" s="37" t="s">
        <v>40</v>
      </c>
      <c r="O323" s="161"/>
      <c r="P323" s="161"/>
      <c r="Q323" s="26"/>
      <c r="R323" s="26"/>
      <c r="S323" s="26"/>
      <c r="T323" s="26"/>
      <c r="U323" s="26"/>
      <c r="V323" s="161"/>
      <c r="W323" s="161"/>
      <c r="X323" s="161"/>
      <c r="Y323" s="161"/>
      <c r="Z323" s="161"/>
      <c r="AA323" s="26"/>
      <c r="AB323" s="26"/>
      <c r="AC323" s="26"/>
      <c r="AD323" s="26"/>
      <c r="AE323" s="26"/>
    </row>
    <row r="324" spans="1:31" s="21" customFormat="1" ht="50.1" customHeight="1" x14ac:dyDescent="0.25">
      <c r="A324" s="36" t="s">
        <v>35</v>
      </c>
      <c r="B324" s="112"/>
      <c r="C324" s="106" t="s">
        <v>185</v>
      </c>
      <c r="D324" s="175"/>
      <c r="E324" s="167" t="s">
        <v>114</v>
      </c>
      <c r="F324" s="167"/>
      <c r="G324" s="36" t="s">
        <v>35</v>
      </c>
      <c r="H324" s="169" t="s">
        <v>113</v>
      </c>
      <c r="I324" s="170"/>
      <c r="J324" s="170"/>
      <c r="K324" s="170"/>
      <c r="L324" s="34">
        <v>70</v>
      </c>
      <c r="M324" s="37" t="s">
        <v>40</v>
      </c>
      <c r="O324" s="161"/>
      <c r="P324" s="161"/>
      <c r="Q324" s="26"/>
      <c r="R324" s="26"/>
      <c r="S324" s="26"/>
      <c r="T324" s="26"/>
      <c r="U324" s="26"/>
      <c r="V324" s="161"/>
      <c r="W324" s="161"/>
      <c r="X324" s="161"/>
      <c r="Y324" s="161"/>
      <c r="Z324" s="161"/>
      <c r="AA324" s="26"/>
      <c r="AB324" s="26"/>
      <c r="AC324" s="26"/>
      <c r="AD324" s="26"/>
      <c r="AE324" s="26"/>
    </row>
    <row r="325" spans="1:31" s="21" customFormat="1" ht="50.1" customHeight="1" x14ac:dyDescent="0.25">
      <c r="A325" s="36" t="s">
        <v>34</v>
      </c>
      <c r="B325" s="107">
        <v>60</v>
      </c>
      <c r="C325" s="106" t="s">
        <v>183</v>
      </c>
      <c r="D325" s="176"/>
      <c r="E325" s="167" t="s">
        <v>114</v>
      </c>
      <c r="F325" s="167"/>
      <c r="G325" s="36" t="s">
        <v>34</v>
      </c>
      <c r="H325" s="169" t="s">
        <v>113</v>
      </c>
      <c r="I325" s="170"/>
      <c r="J325" s="170"/>
      <c r="K325" s="170"/>
      <c r="L325" s="34">
        <v>60</v>
      </c>
      <c r="M325" s="37" t="s">
        <v>40</v>
      </c>
      <c r="O325" s="161"/>
      <c r="P325" s="161"/>
      <c r="Q325" s="26"/>
      <c r="R325" s="26"/>
      <c r="S325" s="26"/>
      <c r="T325" s="26"/>
      <c r="U325" s="26"/>
      <c r="V325" s="161"/>
      <c r="W325" s="161"/>
      <c r="X325" s="161"/>
      <c r="Y325" s="161"/>
      <c r="Z325" s="161"/>
      <c r="AA325" s="26"/>
      <c r="AB325" s="26"/>
      <c r="AC325" s="26"/>
      <c r="AD325" s="26"/>
      <c r="AE325" s="26"/>
    </row>
    <row r="326" spans="1:31" s="21" customFormat="1" ht="15.75" customHeight="1" x14ac:dyDescent="0.25">
      <c r="C326" s="72"/>
      <c r="D326" s="55"/>
      <c r="O326" s="161"/>
      <c r="P326" s="161"/>
      <c r="Q326" s="26"/>
      <c r="R326" s="26"/>
      <c r="S326" s="26"/>
      <c r="T326" s="26"/>
      <c r="U326" s="26"/>
      <c r="V326" s="161"/>
      <c r="W326" s="161"/>
      <c r="X326" s="161"/>
      <c r="Y326" s="161"/>
      <c r="Z326" s="161"/>
      <c r="AA326" s="26"/>
      <c r="AB326" s="26"/>
      <c r="AC326" s="26"/>
      <c r="AD326" s="26"/>
      <c r="AE326" s="26"/>
    </row>
    <row r="327" spans="1:31" s="21" customFormat="1" ht="60" customHeight="1" x14ac:dyDescent="0.25">
      <c r="A327" s="165" t="s">
        <v>156</v>
      </c>
      <c r="B327" s="166"/>
      <c r="C327" s="68">
        <v>70</v>
      </c>
      <c r="D327" s="90">
        <f>C327/100*3</f>
        <v>2.0999999999999996</v>
      </c>
    </row>
  </sheetData>
  <sheetProtection formatRows="0"/>
  <protectedRanges>
    <protectedRange sqref="C323:C325 B323 B325" name="Range3"/>
    <protectedRange sqref="D323 A84:U318 A19:A83 Q19:U83" name="Range2"/>
    <protectedRange sqref="C327 L323:L325 N8:U14" name="Range1"/>
    <protectedRange sqref="B19:D83" name="Range2_1"/>
    <protectedRange sqref="E19:P83" name="Range2_2"/>
  </protectedRanges>
  <dataConsolidate/>
  <mergeCells count="87">
    <mergeCell ref="AF16:AJ17"/>
    <mergeCell ref="J16:N16"/>
    <mergeCell ref="E16:I16"/>
    <mergeCell ref="O16:O17"/>
    <mergeCell ref="A15:Z15"/>
    <mergeCell ref="V16:Z17"/>
    <mergeCell ref="A16:A18"/>
    <mergeCell ref="B16:B18"/>
    <mergeCell ref="D16:D18"/>
    <mergeCell ref="AA16:AE17"/>
    <mergeCell ref="P11:U11"/>
    <mergeCell ref="P12:U12"/>
    <mergeCell ref="M5:U5"/>
    <mergeCell ref="A1:AJ1"/>
    <mergeCell ref="A2:AJ2"/>
    <mergeCell ref="A3:AJ3"/>
    <mergeCell ref="A5:C5"/>
    <mergeCell ref="D5:K5"/>
    <mergeCell ref="A6:C6"/>
    <mergeCell ref="D6:K6"/>
    <mergeCell ref="N7:O7"/>
    <mergeCell ref="P7:U7"/>
    <mergeCell ref="N8:O8"/>
    <mergeCell ref="N9:O9"/>
    <mergeCell ref="N10:O10"/>
    <mergeCell ref="P8:U8"/>
    <mergeCell ref="A13:C13"/>
    <mergeCell ref="D13:K13"/>
    <mergeCell ref="N11:O11"/>
    <mergeCell ref="N12:O12"/>
    <mergeCell ref="A11:C11"/>
    <mergeCell ref="D11:K11"/>
    <mergeCell ref="A12:C12"/>
    <mergeCell ref="D12:K12"/>
    <mergeCell ref="A327:B327"/>
    <mergeCell ref="O322:P322"/>
    <mergeCell ref="O323:P323"/>
    <mergeCell ref="O324:P324"/>
    <mergeCell ref="O325:P325"/>
    <mergeCell ref="O326:P326"/>
    <mergeCell ref="E323:F323"/>
    <mergeCell ref="E324:F324"/>
    <mergeCell ref="E325:F325"/>
    <mergeCell ref="C322:F322"/>
    <mergeCell ref="H325:K325"/>
    <mergeCell ref="H322:M322"/>
    <mergeCell ref="H323:K323"/>
    <mergeCell ref="H324:K324"/>
    <mergeCell ref="D323:D325"/>
    <mergeCell ref="X326:Z326"/>
    <mergeCell ref="V322:W322"/>
    <mergeCell ref="V323:W323"/>
    <mergeCell ref="V324:W324"/>
    <mergeCell ref="V325:W325"/>
    <mergeCell ref="V326:W326"/>
    <mergeCell ref="X322:Z322"/>
    <mergeCell ref="X323:Z323"/>
    <mergeCell ref="X324:Z324"/>
    <mergeCell ref="X325:Z325"/>
    <mergeCell ref="A321:F321"/>
    <mergeCell ref="P16:P17"/>
    <mergeCell ref="O320:P320"/>
    <mergeCell ref="A14:C14"/>
    <mergeCell ref="A320:N320"/>
    <mergeCell ref="C16:C18"/>
    <mergeCell ref="D14:K14"/>
    <mergeCell ref="N14:O14"/>
    <mergeCell ref="P14:U14"/>
    <mergeCell ref="O321:P321"/>
    <mergeCell ref="P13:U13"/>
    <mergeCell ref="V320:W320"/>
    <mergeCell ref="X320:Z320"/>
    <mergeCell ref="Q16:U16"/>
    <mergeCell ref="G321:M321"/>
    <mergeCell ref="X321:Z321"/>
    <mergeCell ref="V321:W321"/>
    <mergeCell ref="N13:O13"/>
    <mergeCell ref="P9:U9"/>
    <mergeCell ref="P10:U10"/>
    <mergeCell ref="A7:C7"/>
    <mergeCell ref="D7:K7"/>
    <mergeCell ref="A8:C8"/>
    <mergeCell ref="D8:K8"/>
    <mergeCell ref="A9:C9"/>
    <mergeCell ref="D9:K9"/>
    <mergeCell ref="A10:C10"/>
    <mergeCell ref="D10:K10"/>
  </mergeCells>
  <phoneticPr fontId="14" type="noConversion"/>
  <pageMargins left="0.22" right="0.17" top="0.55118110236220474" bottom="0.26" header="0.31496062992125984" footer="0.31496062992125984"/>
  <pageSetup paperSize="9" scale="23" fitToHeight="0" orientation="landscape" r:id="rId1"/>
  <rowBreaks count="1" manualBreakCount="1">
    <brk id="167" min="14" max="2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50"/>
    <pageSetUpPr fitToPage="1"/>
  </sheetPr>
  <dimension ref="A1:N325"/>
  <sheetViews>
    <sheetView view="pageBreakPreview" zoomScale="70" zoomScaleSheetLayoutView="70" workbookViewId="0">
      <selection activeCell="A318" sqref="A84:XFD318"/>
    </sheetView>
  </sheetViews>
  <sheetFormatPr defaultRowHeight="15" x14ac:dyDescent="0.25"/>
  <cols>
    <col min="1" max="1" width="10.42578125" style="50" customWidth="1"/>
    <col min="2" max="2" width="16.85546875" style="50" bestFit="1" customWidth="1"/>
    <col min="3" max="3" width="25.5703125" style="50" bestFit="1" customWidth="1"/>
    <col min="4" max="4" width="77.140625" style="50" customWidth="1"/>
    <col min="5" max="14" width="10.5703125" style="50" customWidth="1"/>
    <col min="15" max="16384" width="9.140625" style="50"/>
  </cols>
  <sheetData>
    <row r="1" spans="1:14" s="47" customFormat="1" ht="34.5" customHeight="1" x14ac:dyDescent="0.25">
      <c r="A1" s="206" t="s">
        <v>0</v>
      </c>
      <c r="B1" s="206"/>
      <c r="C1" s="206"/>
      <c r="D1" s="206"/>
      <c r="E1" s="206"/>
      <c r="F1" s="206"/>
      <c r="G1" s="206"/>
      <c r="H1" s="206"/>
      <c r="I1" s="206"/>
      <c r="J1" s="206"/>
      <c r="K1" s="206"/>
      <c r="L1" s="206"/>
      <c r="M1" s="206"/>
      <c r="N1" s="206"/>
    </row>
    <row r="2" spans="1:14" s="47" customFormat="1" ht="30" customHeight="1" x14ac:dyDescent="0.25">
      <c r="A2" s="206" t="s">
        <v>47</v>
      </c>
      <c r="B2" s="206"/>
      <c r="C2" s="206"/>
      <c r="D2" s="206"/>
      <c r="E2" s="206"/>
      <c r="F2" s="206"/>
      <c r="G2" s="206"/>
      <c r="H2" s="206"/>
      <c r="I2" s="206"/>
      <c r="J2" s="206"/>
      <c r="K2" s="206"/>
      <c r="L2" s="206"/>
      <c r="M2" s="206"/>
      <c r="N2" s="206"/>
    </row>
    <row r="3" spans="1:14" s="47" customFormat="1" ht="39" customHeight="1" x14ac:dyDescent="0.25">
      <c r="A3" s="206" t="str">
        <f>CO_ATT_INPUTS!A3</f>
        <v>Department of Computer and Communication Engineering</v>
      </c>
      <c r="B3" s="206"/>
      <c r="C3" s="206"/>
      <c r="D3" s="206"/>
      <c r="E3" s="206"/>
      <c r="F3" s="206"/>
      <c r="G3" s="206"/>
      <c r="H3" s="206"/>
      <c r="I3" s="206"/>
      <c r="J3" s="206"/>
      <c r="K3" s="206"/>
      <c r="L3" s="206"/>
      <c r="M3" s="206"/>
      <c r="N3" s="206"/>
    </row>
    <row r="4" spans="1:14" s="47" customFormat="1" ht="33" customHeight="1" x14ac:dyDescent="0.25">
      <c r="A4" s="147" t="str">
        <f>[2]CO_ATT_INPUTS!A5</f>
        <v>Regulation</v>
      </c>
      <c r="B4" s="147"/>
      <c r="C4" s="147"/>
      <c r="D4" s="194" t="str">
        <f>CO_ATT_INPUTS!D5</f>
        <v>R2019</v>
      </c>
      <c r="E4" s="194"/>
      <c r="F4" s="194"/>
      <c r="G4" s="194"/>
      <c r="H4" s="194"/>
      <c r="I4" s="194"/>
      <c r="J4" s="194"/>
      <c r="K4" s="194"/>
      <c r="L4" s="194"/>
      <c r="M4" s="194"/>
      <c r="N4" s="194"/>
    </row>
    <row r="5" spans="1:14" s="47" customFormat="1" ht="33" customHeight="1" x14ac:dyDescent="0.25">
      <c r="A5" s="147" t="str">
        <f>[2]CO_ATT_INPUTS!A6</f>
        <v>Program</v>
      </c>
      <c r="B5" s="147"/>
      <c r="C5" s="147"/>
      <c r="D5" s="194" t="str">
        <f>CO_ATT_INPUTS!D6</f>
        <v>BE-CCE</v>
      </c>
      <c r="E5" s="194"/>
      <c r="F5" s="194"/>
      <c r="G5" s="194"/>
      <c r="H5" s="194"/>
      <c r="I5" s="194"/>
      <c r="J5" s="194"/>
      <c r="K5" s="194"/>
      <c r="L5" s="194"/>
      <c r="M5" s="194"/>
      <c r="N5" s="194"/>
    </row>
    <row r="6" spans="1:14" s="47" customFormat="1" ht="33" customHeight="1" x14ac:dyDescent="0.25">
      <c r="A6" s="147" t="str">
        <f>[2]CO_ATT_INPUTS!A7</f>
        <v>Year/Semester</v>
      </c>
      <c r="B6" s="147"/>
      <c r="C6" s="147"/>
      <c r="D6" s="194" t="str">
        <f>CO_ATT_INPUTS!D7</f>
        <v>III/VI</v>
      </c>
      <c r="E6" s="194"/>
      <c r="F6" s="194"/>
      <c r="G6" s="194"/>
      <c r="H6" s="194"/>
      <c r="I6" s="194"/>
      <c r="J6" s="194"/>
      <c r="K6" s="194"/>
      <c r="L6" s="194"/>
      <c r="M6" s="194"/>
      <c r="N6" s="194"/>
    </row>
    <row r="7" spans="1:14" s="47" customFormat="1" ht="33" customHeight="1" x14ac:dyDescent="0.25">
      <c r="A7" s="147" t="str">
        <f>[2]CO_ATT_INPUTS!A8</f>
        <v>Course Code</v>
      </c>
      <c r="B7" s="147"/>
      <c r="C7" s="147"/>
      <c r="D7" s="194" t="str">
        <f>CO_ATT_INPUTS!D8</f>
        <v>R19IT303</v>
      </c>
      <c r="E7" s="194"/>
      <c r="F7" s="194"/>
      <c r="G7" s="194"/>
      <c r="H7" s="194"/>
      <c r="I7" s="194"/>
      <c r="J7" s="194"/>
      <c r="K7" s="194"/>
      <c r="L7" s="194"/>
      <c r="M7" s="194"/>
      <c r="N7" s="194"/>
    </row>
    <row r="8" spans="1:14" s="47" customFormat="1" ht="33" customHeight="1" x14ac:dyDescent="0.25">
      <c r="A8" s="147" t="str">
        <f>[2]CO_ATT_INPUTS!A9</f>
        <v>Course Name</v>
      </c>
      <c r="B8" s="147"/>
      <c r="C8" s="147"/>
      <c r="D8" s="194" t="str">
        <f>CO_ATT_INPUTS!D9</f>
        <v>CRYPTOGRAPHY AND CYBERSECURITY</v>
      </c>
      <c r="E8" s="194"/>
      <c r="F8" s="194"/>
      <c r="G8" s="194"/>
      <c r="H8" s="194"/>
      <c r="I8" s="194"/>
      <c r="J8" s="194"/>
      <c r="K8" s="194"/>
      <c r="L8" s="194"/>
      <c r="M8" s="194"/>
      <c r="N8" s="194"/>
    </row>
    <row r="9" spans="1:14" s="47" customFormat="1" ht="33" customHeight="1" x14ac:dyDescent="0.25">
      <c r="A9" s="147" t="str">
        <f>[2]CO_ATT_INPUTS!A10</f>
        <v>Course handling Faculty</v>
      </c>
      <c r="B9" s="147"/>
      <c r="C9" s="147"/>
      <c r="D9" s="194" t="str">
        <f>CO_ATT_INPUTS!D10</f>
        <v>R.PREETHI</v>
      </c>
      <c r="E9" s="194"/>
      <c r="F9" s="194"/>
      <c r="G9" s="194"/>
      <c r="H9" s="194"/>
      <c r="I9" s="194"/>
      <c r="J9" s="194"/>
      <c r="K9" s="194"/>
      <c r="L9" s="194"/>
      <c r="M9" s="194"/>
      <c r="N9" s="194"/>
    </row>
    <row r="10" spans="1:14" s="47" customFormat="1" ht="33" customHeight="1" x14ac:dyDescent="0.25">
      <c r="A10" s="147" t="str">
        <f>[2]CO_ATT_INPUTS!A11</f>
        <v>Course Coordinator</v>
      </c>
      <c r="B10" s="147"/>
      <c r="C10" s="147"/>
      <c r="D10" s="194" t="str">
        <f>CO_ATT_INPUTS!D11</f>
        <v>Dr K.Sivakumar</v>
      </c>
      <c r="E10" s="194"/>
      <c r="F10" s="194"/>
      <c r="G10" s="194"/>
      <c r="H10" s="194"/>
      <c r="I10" s="194"/>
      <c r="J10" s="194"/>
      <c r="K10" s="194"/>
      <c r="L10" s="194"/>
      <c r="M10" s="194"/>
      <c r="N10" s="194"/>
    </row>
    <row r="11" spans="1:14" s="47" customFormat="1" ht="33" customHeight="1" x14ac:dyDescent="0.25">
      <c r="A11" s="147" t="str">
        <f>[2]CO_ATT_INPUTS!A12</f>
        <v>Academic Year</v>
      </c>
      <c r="B11" s="147"/>
      <c r="C11" s="147"/>
      <c r="D11" s="194" t="str">
        <f>CO_ATT_INPUTS!D12</f>
        <v>2024-25</v>
      </c>
      <c r="E11" s="194"/>
      <c r="F11" s="194"/>
      <c r="G11" s="194"/>
      <c r="H11" s="194"/>
      <c r="I11" s="194"/>
      <c r="J11" s="194"/>
      <c r="K11" s="194"/>
      <c r="L11" s="194"/>
      <c r="M11" s="194"/>
      <c r="N11" s="194"/>
    </row>
    <row r="12" spans="1:14" s="47" customFormat="1" ht="33" customHeight="1" x14ac:dyDescent="0.25">
      <c r="A12" s="147" t="str">
        <f>[2]CO_ATT_INPUTS!A13</f>
        <v>Batch</v>
      </c>
      <c r="B12" s="147"/>
      <c r="C12" s="147"/>
      <c r="D12" s="194" t="str">
        <f>CO_ATT_INPUTS!D13</f>
        <v>2022-26</v>
      </c>
      <c r="E12" s="194"/>
      <c r="F12" s="194"/>
      <c r="G12" s="194"/>
      <c r="H12" s="194"/>
      <c r="I12" s="194"/>
      <c r="J12" s="194"/>
      <c r="K12" s="194"/>
      <c r="L12" s="194"/>
      <c r="M12" s="194"/>
      <c r="N12" s="194"/>
    </row>
    <row r="13" spans="1:14" s="47" customFormat="1" ht="33" customHeight="1" x14ac:dyDescent="0.25">
      <c r="A13" s="147" t="str">
        <f>[2]CO_ATT_INPUTS!A14</f>
        <v>Total Number of Students</v>
      </c>
      <c r="B13" s="147"/>
      <c r="C13" s="147"/>
      <c r="D13" s="194">
        <f>CO_ATT_INPUTS!D14</f>
        <v>65</v>
      </c>
      <c r="E13" s="194"/>
      <c r="F13" s="194"/>
      <c r="G13" s="194"/>
      <c r="H13" s="194"/>
      <c r="I13" s="194"/>
      <c r="J13" s="194"/>
      <c r="K13" s="194"/>
      <c r="L13" s="194"/>
      <c r="M13" s="194"/>
      <c r="N13" s="194"/>
    </row>
    <row r="14" spans="1:14" x14ac:dyDescent="0.25">
      <c r="A14" s="48"/>
      <c r="B14" s="48"/>
      <c r="C14" s="48"/>
      <c r="D14" s="48"/>
      <c r="E14" s="49"/>
      <c r="F14" s="49"/>
      <c r="G14" s="49"/>
      <c r="H14" s="49"/>
      <c r="I14" s="49"/>
      <c r="J14" s="49"/>
      <c r="K14" s="49"/>
      <c r="L14" s="49"/>
      <c r="M14" s="49"/>
      <c r="N14" s="33"/>
    </row>
    <row r="15" spans="1:14" ht="15.75" thickBot="1" x14ac:dyDescent="0.3">
      <c r="A15" s="48"/>
      <c r="B15" s="48"/>
      <c r="C15" s="48"/>
      <c r="D15" s="48"/>
      <c r="E15" s="49"/>
      <c r="F15" s="49"/>
      <c r="G15" s="49"/>
      <c r="H15" s="49"/>
      <c r="I15" s="49"/>
      <c r="J15" s="49"/>
      <c r="K15" s="49"/>
      <c r="L15" s="49"/>
      <c r="M15" s="49"/>
      <c r="N15" s="33"/>
    </row>
    <row r="16" spans="1:14" s="51" customFormat="1" ht="23.25" x14ac:dyDescent="0.25">
      <c r="A16" s="214" t="str">
        <f>CO_ATT_INPUTS!A16</f>
        <v>S. No</v>
      </c>
      <c r="B16" s="216" t="str">
        <f>CO_ATT_INPUTS!B16</f>
        <v>ROLL NUM</v>
      </c>
      <c r="C16" s="216" t="str">
        <f>CO_ATT_INPUTS!C16</f>
        <v>REGISTER
NUMBER</v>
      </c>
      <c r="D16" s="195" t="s">
        <v>154</v>
      </c>
      <c r="E16" s="221" t="s">
        <v>49</v>
      </c>
      <c r="F16" s="222"/>
      <c r="G16" s="222"/>
      <c r="H16" s="222"/>
      <c r="I16" s="222"/>
      <c r="J16" s="222"/>
      <c r="K16" s="222"/>
      <c r="L16" s="222"/>
      <c r="M16" s="222"/>
      <c r="N16" s="223"/>
    </row>
    <row r="17" spans="1:14" s="51" customFormat="1" ht="78.75" customHeight="1" x14ac:dyDescent="0.25">
      <c r="A17" s="215"/>
      <c r="B17" s="217"/>
      <c r="C17" s="217"/>
      <c r="D17" s="196"/>
      <c r="E17" s="218" t="s">
        <v>162</v>
      </c>
      <c r="F17" s="219"/>
      <c r="G17" s="219"/>
      <c r="H17" s="219"/>
      <c r="I17" s="220"/>
      <c r="J17" s="218" t="s">
        <v>173</v>
      </c>
      <c r="K17" s="219"/>
      <c r="L17" s="219"/>
      <c r="M17" s="219"/>
      <c r="N17" s="227"/>
    </row>
    <row r="18" spans="1:14" s="51" customFormat="1" ht="37.5" customHeight="1" x14ac:dyDescent="0.25">
      <c r="A18" s="215"/>
      <c r="B18" s="217"/>
      <c r="C18" s="217"/>
      <c r="D18" s="197"/>
      <c r="E18" s="17" t="s">
        <v>4</v>
      </c>
      <c r="F18" s="17" t="s">
        <v>5</v>
      </c>
      <c r="G18" s="17" t="s">
        <v>6</v>
      </c>
      <c r="H18" s="17" t="s">
        <v>7</v>
      </c>
      <c r="I18" s="17" t="s">
        <v>8</v>
      </c>
      <c r="J18" s="17" t="s">
        <v>4</v>
      </c>
      <c r="K18" s="17" t="s">
        <v>5</v>
      </c>
      <c r="L18" s="17" t="s">
        <v>6</v>
      </c>
      <c r="M18" s="17" t="s">
        <v>7</v>
      </c>
      <c r="N18" s="44" t="s">
        <v>8</v>
      </c>
    </row>
    <row r="19" spans="1:14" s="51" customFormat="1" ht="37.5" customHeight="1" x14ac:dyDescent="0.25">
      <c r="A19" s="52">
        <f>CO_ATT_INPUTS!A19</f>
        <v>1</v>
      </c>
      <c r="B19" s="18" t="str">
        <f>CO_ATT_INPUTS!B19</f>
        <v>22CC001</v>
      </c>
      <c r="C19" s="19" t="str">
        <f>CO_ATT_INPUTS!C19</f>
        <v>722822115001</v>
      </c>
      <c r="D19" s="91" t="str">
        <f>CO_ATT_INPUTS!D19</f>
        <v>AFREED S</v>
      </c>
      <c r="E19" s="19">
        <f>CO_ATT_INPUTS!AF19</f>
        <v>85.5</v>
      </c>
      <c r="F19" s="19">
        <f>CO_ATT_INPUTS!AG19</f>
        <v>76.5</v>
      </c>
      <c r="G19" s="19">
        <f>CO_ATT_INPUTS!AH19</f>
        <v>93.75</v>
      </c>
      <c r="H19" s="19">
        <f>CO_ATT_INPUTS!AI19</f>
        <v>78</v>
      </c>
      <c r="I19" s="19">
        <f>CO_ATT_INPUTS!AJ19</f>
        <v>71.75</v>
      </c>
      <c r="J19" s="53" t="str">
        <f>IF(E19&gt;=CO_ATT_INPUTS!$C$327,CHAR(252),CHAR(251))</f>
        <v>ü</v>
      </c>
      <c r="K19" s="53" t="str">
        <f>IF(F19&gt;=CO_ATT_INPUTS!$C$327,CHAR(252),CHAR(251))</f>
        <v>ü</v>
      </c>
      <c r="L19" s="53" t="str">
        <f>IF(G19&gt;=CO_ATT_INPUTS!$C$327,CHAR(252),CHAR(251))</f>
        <v>ü</v>
      </c>
      <c r="M19" s="53" t="str">
        <f>IF(H19&gt;=CO_ATT_INPUTS!$C$327,CHAR(252),CHAR(251))</f>
        <v>ü</v>
      </c>
      <c r="N19" s="54" t="str">
        <f>IF(I19&gt;=CO_ATT_INPUTS!$C$327,CHAR(252),CHAR(251))</f>
        <v>ü</v>
      </c>
    </row>
    <row r="20" spans="1:14" s="51" customFormat="1" ht="37.5" customHeight="1" x14ac:dyDescent="0.25">
      <c r="A20" s="52">
        <f>CO_ATT_INPUTS!A20</f>
        <v>2</v>
      </c>
      <c r="B20" s="18" t="str">
        <f>CO_ATT_INPUTS!B20</f>
        <v>22CC002</v>
      </c>
      <c r="C20" s="19" t="str">
        <f>CO_ATT_INPUTS!C20</f>
        <v>722822115002</v>
      </c>
      <c r="D20" s="91" t="str">
        <f>CO_ATT_INPUTS!D20</f>
        <v>AJAY J</v>
      </c>
      <c r="E20" s="19">
        <f>CO_ATT_INPUTS!AF20</f>
        <v>70.75</v>
      </c>
      <c r="F20" s="19">
        <f>CO_ATT_INPUTS!AG20</f>
        <v>73.5</v>
      </c>
      <c r="G20" s="19">
        <f>CO_ATT_INPUTS!AH20</f>
        <v>72.75</v>
      </c>
      <c r="H20" s="19">
        <f>CO_ATT_INPUTS!AI20</f>
        <v>64</v>
      </c>
      <c r="I20" s="19">
        <f>CO_ATT_INPUTS!AJ20</f>
        <v>68.25</v>
      </c>
      <c r="J20" s="53" t="str">
        <f>IF(E20&gt;=CO_ATT_INPUTS!$C$327,CHAR(252),CHAR(251))</f>
        <v>ü</v>
      </c>
      <c r="K20" s="53" t="str">
        <f>IF(F20&gt;=CO_ATT_INPUTS!$C$327,CHAR(252),CHAR(251))</f>
        <v>ü</v>
      </c>
      <c r="L20" s="53" t="str">
        <f>IF(G20&gt;=CO_ATT_INPUTS!$C$327,CHAR(252),CHAR(251))</f>
        <v>ü</v>
      </c>
      <c r="M20" s="53" t="str">
        <f>IF(H20&gt;=CO_ATT_INPUTS!$C$327,CHAR(252),CHAR(251))</f>
        <v>û</v>
      </c>
      <c r="N20" s="54" t="str">
        <f>IF(I20&gt;=CO_ATT_INPUTS!$C$327,CHAR(252),CHAR(251))</f>
        <v>û</v>
      </c>
    </row>
    <row r="21" spans="1:14" s="51" customFormat="1" ht="37.5" customHeight="1" x14ac:dyDescent="0.25">
      <c r="A21" s="52">
        <f>CO_ATT_INPUTS!A21</f>
        <v>3</v>
      </c>
      <c r="B21" s="18" t="str">
        <f>CO_ATT_INPUTS!B21</f>
        <v>22CC003</v>
      </c>
      <c r="C21" s="19" t="str">
        <f>CO_ATT_INPUTS!C21</f>
        <v>722822115003</v>
      </c>
      <c r="D21" s="91" t="str">
        <f>CO_ATT_INPUTS!D21</f>
        <v>AKSHAYAN K</v>
      </c>
      <c r="E21" s="19">
        <f>CO_ATT_INPUTS!AF21</f>
        <v>75.25</v>
      </c>
      <c r="F21" s="19">
        <f>CO_ATT_INPUTS!AG21</f>
        <v>71.5</v>
      </c>
      <c r="G21" s="19">
        <f>CO_ATT_INPUTS!AH21</f>
        <v>69.75</v>
      </c>
      <c r="H21" s="19">
        <f>CO_ATT_INPUTS!AI21</f>
        <v>70.5</v>
      </c>
      <c r="I21" s="19">
        <f>CO_ATT_INPUTS!AJ21</f>
        <v>66.25</v>
      </c>
      <c r="J21" s="53" t="str">
        <f>IF(E21&gt;=CO_ATT_INPUTS!$C$327,CHAR(252),CHAR(251))</f>
        <v>ü</v>
      </c>
      <c r="K21" s="53" t="str">
        <f>IF(F21&gt;=CO_ATT_INPUTS!$C$327,CHAR(252),CHAR(251))</f>
        <v>ü</v>
      </c>
      <c r="L21" s="53" t="str">
        <f>IF(G21&gt;=CO_ATT_INPUTS!$C$327,CHAR(252),CHAR(251))</f>
        <v>û</v>
      </c>
      <c r="M21" s="53" t="str">
        <f>IF(H21&gt;=CO_ATT_INPUTS!$C$327,CHAR(252),CHAR(251))</f>
        <v>ü</v>
      </c>
      <c r="N21" s="54" t="str">
        <f>IF(I21&gt;=CO_ATT_INPUTS!$C$327,CHAR(252),CHAR(251))</f>
        <v>û</v>
      </c>
    </row>
    <row r="22" spans="1:14" s="51" customFormat="1" ht="37.5" customHeight="1" x14ac:dyDescent="0.25">
      <c r="A22" s="52">
        <f>CO_ATT_INPUTS!A22</f>
        <v>4</v>
      </c>
      <c r="B22" s="18" t="str">
        <f>CO_ATT_INPUTS!B22</f>
        <v>22CC004</v>
      </c>
      <c r="C22" s="19" t="str">
        <f>CO_ATT_INPUTS!C22</f>
        <v>722822115004</v>
      </c>
      <c r="D22" s="91" t="str">
        <f>CO_ATT_INPUTS!D22</f>
        <v>DARSHAN R B</v>
      </c>
      <c r="E22" s="19">
        <f>CO_ATT_INPUTS!AF22</f>
        <v>73.25</v>
      </c>
      <c r="F22" s="19">
        <f>CO_ATT_INPUTS!AG22</f>
        <v>66.5</v>
      </c>
      <c r="G22" s="19">
        <f>CO_ATT_INPUTS!AH22</f>
        <v>66.75</v>
      </c>
      <c r="H22" s="19">
        <f>CO_ATT_INPUTS!AI22</f>
        <v>66.75</v>
      </c>
      <c r="I22" s="19">
        <f>CO_ATT_INPUTS!AJ22</f>
        <v>67.5</v>
      </c>
      <c r="J22" s="53" t="str">
        <f>IF(E22&gt;=CO_ATT_INPUTS!$C$327,CHAR(252),CHAR(251))</f>
        <v>ü</v>
      </c>
      <c r="K22" s="53" t="str">
        <f>IF(F22&gt;=CO_ATT_INPUTS!$C$327,CHAR(252),CHAR(251))</f>
        <v>û</v>
      </c>
      <c r="L22" s="53" t="str">
        <f>IF(G22&gt;=CO_ATT_INPUTS!$C$327,CHAR(252),CHAR(251))</f>
        <v>û</v>
      </c>
      <c r="M22" s="53" t="str">
        <f>IF(H22&gt;=CO_ATT_INPUTS!$C$327,CHAR(252),CHAR(251))</f>
        <v>û</v>
      </c>
      <c r="N22" s="54" t="str">
        <f>IF(I22&gt;=CO_ATT_INPUTS!$C$327,CHAR(252),CHAR(251))</f>
        <v>û</v>
      </c>
    </row>
    <row r="23" spans="1:14" s="51" customFormat="1" ht="37.5" customHeight="1" x14ac:dyDescent="0.25">
      <c r="A23" s="52">
        <f>CO_ATT_INPUTS!A23</f>
        <v>5</v>
      </c>
      <c r="B23" s="18" t="str">
        <f>CO_ATT_INPUTS!B23</f>
        <v>22CC005</v>
      </c>
      <c r="C23" s="19" t="str">
        <f>CO_ATT_INPUTS!C23</f>
        <v>722822115005</v>
      </c>
      <c r="D23" s="91" t="str">
        <f>CO_ATT_INPUTS!D23</f>
        <v>DEEPAK RAJA M</v>
      </c>
      <c r="E23" s="19">
        <f>CO_ATT_INPUTS!AF23</f>
        <v>82.5</v>
      </c>
      <c r="F23" s="19">
        <f>CO_ATT_INPUTS!AG23</f>
        <v>78.75</v>
      </c>
      <c r="G23" s="19">
        <f>CO_ATT_INPUTS!AH23</f>
        <v>80.75</v>
      </c>
      <c r="H23" s="19">
        <f>CO_ATT_INPUTS!AI23</f>
        <v>85</v>
      </c>
      <c r="I23" s="19">
        <f>CO_ATT_INPUTS!AJ23</f>
        <v>75.25</v>
      </c>
      <c r="J23" s="53" t="str">
        <f>IF(E23&gt;=CO_ATT_INPUTS!$C$327,CHAR(252),CHAR(251))</f>
        <v>ü</v>
      </c>
      <c r="K23" s="53" t="str">
        <f>IF(F23&gt;=CO_ATT_INPUTS!$C$327,CHAR(252),CHAR(251))</f>
        <v>ü</v>
      </c>
      <c r="L23" s="53" t="str">
        <f>IF(G23&gt;=CO_ATT_INPUTS!$C$327,CHAR(252),CHAR(251))</f>
        <v>ü</v>
      </c>
      <c r="M23" s="53" t="str">
        <f>IF(H23&gt;=CO_ATT_INPUTS!$C$327,CHAR(252),CHAR(251))</f>
        <v>ü</v>
      </c>
      <c r="N23" s="54" t="str">
        <f>IF(I23&gt;=CO_ATT_INPUTS!$C$327,CHAR(252),CHAR(251))</f>
        <v>ü</v>
      </c>
    </row>
    <row r="24" spans="1:14" s="51" customFormat="1" ht="37.5" customHeight="1" x14ac:dyDescent="0.25">
      <c r="A24" s="52">
        <f>CO_ATT_INPUTS!A24</f>
        <v>6</v>
      </c>
      <c r="B24" s="18" t="str">
        <f>CO_ATT_INPUTS!B24</f>
        <v>22CC006</v>
      </c>
      <c r="C24" s="19" t="str">
        <f>CO_ATT_INPUTS!C24</f>
        <v>722822115006</v>
      </c>
      <c r="D24" s="91" t="str">
        <f>CO_ATT_INPUTS!D24</f>
        <v>DHANUSHPRIYAN S</v>
      </c>
      <c r="E24" s="19">
        <f>CO_ATT_INPUTS!AF24</f>
        <v>87.7</v>
      </c>
      <c r="F24" s="19">
        <f>CO_ATT_INPUTS!AG24</f>
        <v>79.45</v>
      </c>
      <c r="G24" s="19">
        <f>CO_ATT_INPUTS!AH24</f>
        <v>75.45</v>
      </c>
      <c r="H24" s="19">
        <f>CO_ATT_INPUTS!AI24</f>
        <v>75.45</v>
      </c>
      <c r="I24" s="19">
        <f>CO_ATT_INPUTS!AJ24</f>
        <v>71.7</v>
      </c>
      <c r="J24" s="53" t="str">
        <f>IF(E24&gt;=CO_ATT_INPUTS!$C$327,CHAR(252),CHAR(251))</f>
        <v>ü</v>
      </c>
      <c r="K24" s="53" t="str">
        <f>IF(F24&gt;=CO_ATT_INPUTS!$C$327,CHAR(252),CHAR(251))</f>
        <v>ü</v>
      </c>
      <c r="L24" s="53" t="str">
        <f>IF(G24&gt;=CO_ATT_INPUTS!$C$327,CHAR(252),CHAR(251))</f>
        <v>ü</v>
      </c>
      <c r="M24" s="53" t="str">
        <f>IF(H24&gt;=CO_ATT_INPUTS!$C$327,CHAR(252),CHAR(251))</f>
        <v>ü</v>
      </c>
      <c r="N24" s="54" t="str">
        <f>IF(I24&gt;=CO_ATT_INPUTS!$C$327,CHAR(252),CHAR(251))</f>
        <v>ü</v>
      </c>
    </row>
    <row r="25" spans="1:14" s="51" customFormat="1" ht="37.5" customHeight="1" x14ac:dyDescent="0.25">
      <c r="A25" s="52">
        <f>CO_ATT_INPUTS!A25</f>
        <v>7</v>
      </c>
      <c r="B25" s="18" t="str">
        <f>CO_ATT_INPUTS!B25</f>
        <v>22CC007</v>
      </c>
      <c r="C25" s="19" t="str">
        <f>CO_ATT_INPUTS!C25</f>
        <v>722822115007</v>
      </c>
      <c r="D25" s="91" t="str">
        <f>CO_ATT_INPUTS!D25</f>
        <v>DHARSHINI K</v>
      </c>
      <c r="E25" s="19">
        <f>CO_ATT_INPUTS!AF25</f>
        <v>89.65</v>
      </c>
      <c r="F25" s="19">
        <f>CO_ATT_INPUTS!AG25</f>
        <v>88.65</v>
      </c>
      <c r="G25" s="19">
        <f>CO_ATT_INPUTS!AH25</f>
        <v>82.9</v>
      </c>
      <c r="H25" s="19">
        <f>CO_ATT_INPUTS!AI25</f>
        <v>81.650000000000006</v>
      </c>
      <c r="I25" s="19">
        <f>CO_ATT_INPUTS!AJ25</f>
        <v>77.150000000000006</v>
      </c>
      <c r="J25" s="53" t="str">
        <f>IF(E25&gt;=CO_ATT_INPUTS!$C$327,CHAR(252),CHAR(251))</f>
        <v>ü</v>
      </c>
      <c r="K25" s="53" t="str">
        <f>IF(F25&gt;=CO_ATT_INPUTS!$C$327,CHAR(252),CHAR(251))</f>
        <v>ü</v>
      </c>
      <c r="L25" s="53" t="str">
        <f>IF(G25&gt;=CO_ATT_INPUTS!$C$327,CHAR(252),CHAR(251))</f>
        <v>ü</v>
      </c>
      <c r="M25" s="53" t="str">
        <f>IF(H25&gt;=CO_ATT_INPUTS!$C$327,CHAR(252),CHAR(251))</f>
        <v>ü</v>
      </c>
      <c r="N25" s="54" t="str">
        <f>IF(I25&gt;=CO_ATT_INPUTS!$C$327,CHAR(252),CHAR(251))</f>
        <v>ü</v>
      </c>
    </row>
    <row r="26" spans="1:14" s="51" customFormat="1" ht="37.5" customHeight="1" x14ac:dyDescent="0.25">
      <c r="A26" s="52">
        <f>CO_ATT_INPUTS!A26</f>
        <v>8</v>
      </c>
      <c r="B26" s="18" t="str">
        <f>CO_ATT_INPUTS!B26</f>
        <v>22CC008</v>
      </c>
      <c r="C26" s="19" t="str">
        <f>CO_ATT_INPUTS!C26</f>
        <v>722822115008</v>
      </c>
      <c r="D26" s="91" t="str">
        <f>CO_ATT_INPUTS!D26</f>
        <v>DHEVADHARSHINI M</v>
      </c>
      <c r="E26" s="19">
        <f>CO_ATT_INPUTS!AF26</f>
        <v>87.85</v>
      </c>
      <c r="F26" s="19">
        <f>CO_ATT_INPUTS!AG26</f>
        <v>84.35</v>
      </c>
      <c r="G26" s="19">
        <f>CO_ATT_INPUTS!AH26</f>
        <v>85.35</v>
      </c>
      <c r="H26" s="19">
        <f>CO_ATT_INPUTS!AI26</f>
        <v>76.599999999999994</v>
      </c>
      <c r="I26" s="19">
        <f>CO_ATT_INPUTS!AJ26</f>
        <v>77.849999999999994</v>
      </c>
      <c r="J26" s="53" t="str">
        <f>IF(E26&gt;=CO_ATT_INPUTS!$C$327,CHAR(252),CHAR(251))</f>
        <v>ü</v>
      </c>
      <c r="K26" s="53" t="str">
        <f>IF(F26&gt;=CO_ATT_INPUTS!$C$327,CHAR(252),CHAR(251))</f>
        <v>ü</v>
      </c>
      <c r="L26" s="53" t="str">
        <f>IF(G26&gt;=CO_ATT_INPUTS!$C$327,CHAR(252),CHAR(251))</f>
        <v>ü</v>
      </c>
      <c r="M26" s="53" t="str">
        <f>IF(H26&gt;=CO_ATT_INPUTS!$C$327,CHAR(252),CHAR(251))</f>
        <v>ü</v>
      </c>
      <c r="N26" s="54" t="str">
        <f>IF(I26&gt;=CO_ATT_INPUTS!$C$327,CHAR(252),CHAR(251))</f>
        <v>ü</v>
      </c>
    </row>
    <row r="27" spans="1:14" s="51" customFormat="1" ht="37.5" customHeight="1" x14ac:dyDescent="0.25">
      <c r="A27" s="52">
        <f>CO_ATT_INPUTS!A27</f>
        <v>9</v>
      </c>
      <c r="B27" s="18" t="str">
        <f>CO_ATT_INPUTS!B27</f>
        <v>22CC009</v>
      </c>
      <c r="C27" s="19" t="str">
        <f>CO_ATT_INPUTS!C27</f>
        <v>722822115009</v>
      </c>
      <c r="D27" s="91" t="str">
        <f>CO_ATT_INPUTS!D27</f>
        <v>DINESH R</v>
      </c>
      <c r="E27" s="19">
        <f>CO_ATT_INPUTS!AF27</f>
        <v>71.150000000000006</v>
      </c>
      <c r="F27" s="19">
        <f>CO_ATT_INPUTS!AG27</f>
        <v>71.150000000000006</v>
      </c>
      <c r="G27" s="19">
        <f>CO_ATT_INPUTS!AH27</f>
        <v>69.900000000000006</v>
      </c>
      <c r="H27" s="19">
        <f>CO_ATT_INPUTS!AI27</f>
        <v>66.650000000000006</v>
      </c>
      <c r="I27" s="19">
        <f>CO_ATT_INPUTS!AJ27</f>
        <v>71.900000000000006</v>
      </c>
      <c r="J27" s="53" t="str">
        <f>IF(E27&gt;=CO_ATT_INPUTS!$C$327,CHAR(252),CHAR(251))</f>
        <v>ü</v>
      </c>
      <c r="K27" s="53" t="str">
        <f>IF(F27&gt;=CO_ATT_INPUTS!$C$327,CHAR(252),CHAR(251))</f>
        <v>ü</v>
      </c>
      <c r="L27" s="53" t="str">
        <f>IF(G27&gt;=CO_ATT_INPUTS!$C$327,CHAR(252),CHAR(251))</f>
        <v>û</v>
      </c>
      <c r="M27" s="53" t="str">
        <f>IF(H27&gt;=CO_ATT_INPUTS!$C$327,CHAR(252),CHAR(251))</f>
        <v>û</v>
      </c>
      <c r="N27" s="54" t="str">
        <f>IF(I27&gt;=CO_ATT_INPUTS!$C$327,CHAR(252),CHAR(251))</f>
        <v>ü</v>
      </c>
    </row>
    <row r="28" spans="1:14" s="51" customFormat="1" ht="37.5" customHeight="1" x14ac:dyDescent="0.25">
      <c r="A28" s="52">
        <f>CO_ATT_INPUTS!A28</f>
        <v>10</v>
      </c>
      <c r="B28" s="18" t="str">
        <f>CO_ATT_INPUTS!B28</f>
        <v>22CC010</v>
      </c>
      <c r="C28" s="19" t="str">
        <f>CO_ATT_INPUTS!C28</f>
        <v>722822115010</v>
      </c>
      <c r="D28" s="91" t="str">
        <f>CO_ATT_INPUTS!D28</f>
        <v>ELANGO T</v>
      </c>
      <c r="E28" s="19">
        <f>CO_ATT_INPUTS!AF28</f>
        <v>86.95</v>
      </c>
      <c r="F28" s="19">
        <f>CO_ATT_INPUTS!AG28</f>
        <v>88.95</v>
      </c>
      <c r="G28" s="19">
        <f>CO_ATT_INPUTS!AH28</f>
        <v>83.2</v>
      </c>
      <c r="H28" s="19">
        <f>CO_ATT_INPUTS!AI28</f>
        <v>87.45</v>
      </c>
      <c r="I28" s="19">
        <f>CO_ATT_INPUTS!AJ28</f>
        <v>86.95</v>
      </c>
      <c r="J28" s="53" t="str">
        <f>IF(E28&gt;=CO_ATT_INPUTS!$C$327,CHAR(252),CHAR(251))</f>
        <v>ü</v>
      </c>
      <c r="K28" s="53" t="str">
        <f>IF(F28&gt;=CO_ATT_INPUTS!$C$327,CHAR(252),CHAR(251))</f>
        <v>ü</v>
      </c>
      <c r="L28" s="53" t="str">
        <f>IF(G28&gt;=CO_ATT_INPUTS!$C$327,CHAR(252),CHAR(251))</f>
        <v>ü</v>
      </c>
      <c r="M28" s="53" t="str">
        <f>IF(H28&gt;=CO_ATT_INPUTS!$C$327,CHAR(252),CHAR(251))</f>
        <v>ü</v>
      </c>
      <c r="N28" s="54" t="str">
        <f>IF(I28&gt;=CO_ATT_INPUTS!$C$327,CHAR(252),CHAR(251))</f>
        <v>ü</v>
      </c>
    </row>
    <row r="29" spans="1:14" s="51" customFormat="1" ht="37.5" customHeight="1" x14ac:dyDescent="0.25">
      <c r="A29" s="52">
        <f>CO_ATT_INPUTS!A29</f>
        <v>11</v>
      </c>
      <c r="B29" s="18" t="str">
        <f>CO_ATT_INPUTS!B29</f>
        <v>22CC011</v>
      </c>
      <c r="C29" s="19" t="str">
        <f>CO_ATT_INPUTS!C29</f>
        <v>722822115011</v>
      </c>
      <c r="D29" s="91" t="str">
        <f>CO_ATT_INPUTS!D29</f>
        <v>GAYATHIRI K</v>
      </c>
      <c r="E29" s="19">
        <f>CO_ATT_INPUTS!AF29</f>
        <v>84</v>
      </c>
      <c r="F29" s="19">
        <f>CO_ATT_INPUTS!AG29</f>
        <v>83.75</v>
      </c>
      <c r="G29" s="19">
        <f>CO_ATT_INPUTS!AH29</f>
        <v>82.75</v>
      </c>
      <c r="H29" s="19">
        <f>CO_ATT_INPUTS!AI29</f>
        <v>84.25</v>
      </c>
      <c r="I29" s="19">
        <f>CO_ATT_INPUTS!AJ29</f>
        <v>84</v>
      </c>
      <c r="J29" s="53" t="str">
        <f>IF(E29&gt;=CO_ATT_INPUTS!$C$327,CHAR(252),CHAR(251))</f>
        <v>ü</v>
      </c>
      <c r="K29" s="53" t="str">
        <f>IF(F29&gt;=CO_ATT_INPUTS!$C$327,CHAR(252),CHAR(251))</f>
        <v>ü</v>
      </c>
      <c r="L29" s="53" t="str">
        <f>IF(G29&gt;=CO_ATT_INPUTS!$C$327,CHAR(252),CHAR(251))</f>
        <v>ü</v>
      </c>
      <c r="M29" s="53" t="str">
        <f>IF(H29&gt;=CO_ATT_INPUTS!$C$327,CHAR(252),CHAR(251))</f>
        <v>ü</v>
      </c>
      <c r="N29" s="54" t="str">
        <f>IF(I29&gt;=CO_ATT_INPUTS!$C$327,CHAR(252),CHAR(251))</f>
        <v>ü</v>
      </c>
    </row>
    <row r="30" spans="1:14" s="51" customFormat="1" ht="37.5" customHeight="1" x14ac:dyDescent="0.25">
      <c r="A30" s="52">
        <f>CO_ATT_INPUTS!A30</f>
        <v>12</v>
      </c>
      <c r="B30" s="18" t="str">
        <f>CO_ATT_INPUTS!B30</f>
        <v>22CC012</v>
      </c>
      <c r="C30" s="19" t="str">
        <f>CO_ATT_INPUTS!C30</f>
        <v>722822115012</v>
      </c>
      <c r="D30" s="91" t="str">
        <f>CO_ATT_INPUTS!D30</f>
        <v>GNANARIDDHIKA R</v>
      </c>
      <c r="E30" s="19">
        <f>CO_ATT_INPUTS!AF30</f>
        <v>83.35</v>
      </c>
      <c r="F30" s="19">
        <f>CO_ATT_INPUTS!AG30</f>
        <v>68.099999999999994</v>
      </c>
      <c r="G30" s="19">
        <f>CO_ATT_INPUTS!AH30</f>
        <v>76.099999999999994</v>
      </c>
      <c r="H30" s="19">
        <f>CO_ATT_INPUTS!AI30</f>
        <v>83.1</v>
      </c>
      <c r="I30" s="19">
        <f>CO_ATT_INPUTS!AJ30</f>
        <v>74.349999999999994</v>
      </c>
      <c r="J30" s="53" t="str">
        <f>IF(E30&gt;=CO_ATT_INPUTS!$C$327,CHAR(252),CHAR(251))</f>
        <v>ü</v>
      </c>
      <c r="K30" s="53" t="str">
        <f>IF(F30&gt;=CO_ATT_INPUTS!$C$327,CHAR(252),CHAR(251))</f>
        <v>û</v>
      </c>
      <c r="L30" s="53" t="str">
        <f>IF(G30&gt;=CO_ATT_INPUTS!$C$327,CHAR(252),CHAR(251))</f>
        <v>ü</v>
      </c>
      <c r="M30" s="53" t="str">
        <f>IF(H30&gt;=CO_ATT_INPUTS!$C$327,CHAR(252),CHAR(251))</f>
        <v>ü</v>
      </c>
      <c r="N30" s="54" t="str">
        <f>IF(I30&gt;=CO_ATT_INPUTS!$C$327,CHAR(252),CHAR(251))</f>
        <v>ü</v>
      </c>
    </row>
    <row r="31" spans="1:14" s="51" customFormat="1" ht="37.5" customHeight="1" x14ac:dyDescent="0.25">
      <c r="A31" s="52">
        <f>CO_ATT_INPUTS!A31</f>
        <v>13</v>
      </c>
      <c r="B31" s="18" t="str">
        <f>CO_ATT_INPUTS!B31</f>
        <v>22CC013</v>
      </c>
      <c r="C31" s="19" t="str">
        <f>CO_ATT_INPUTS!C31</f>
        <v>722822115013</v>
      </c>
      <c r="D31" s="91" t="str">
        <f>CO_ATT_INPUTS!D31</f>
        <v>GOKUL G</v>
      </c>
      <c r="E31" s="19">
        <f>CO_ATT_INPUTS!AF31</f>
        <v>84.35</v>
      </c>
      <c r="F31" s="19">
        <f>CO_ATT_INPUTS!AG31</f>
        <v>85.6</v>
      </c>
      <c r="G31" s="19">
        <f>CO_ATT_INPUTS!AH31</f>
        <v>76.349999999999994</v>
      </c>
      <c r="H31" s="19">
        <f>CO_ATT_INPUTS!AI31</f>
        <v>77.599999999999994</v>
      </c>
      <c r="I31" s="19">
        <f>CO_ATT_INPUTS!AJ31</f>
        <v>78.849999999999994</v>
      </c>
      <c r="J31" s="53" t="str">
        <f>IF(E31&gt;=CO_ATT_INPUTS!$C$327,CHAR(252),CHAR(251))</f>
        <v>ü</v>
      </c>
      <c r="K31" s="53" t="str">
        <f>IF(F31&gt;=CO_ATT_INPUTS!$C$327,CHAR(252),CHAR(251))</f>
        <v>ü</v>
      </c>
      <c r="L31" s="53" t="str">
        <f>IF(G31&gt;=CO_ATT_INPUTS!$C$327,CHAR(252),CHAR(251))</f>
        <v>ü</v>
      </c>
      <c r="M31" s="53" t="str">
        <f>IF(H31&gt;=CO_ATT_INPUTS!$C$327,CHAR(252),CHAR(251))</f>
        <v>ü</v>
      </c>
      <c r="N31" s="54" t="str">
        <f>IF(I31&gt;=CO_ATT_INPUTS!$C$327,CHAR(252),CHAR(251))</f>
        <v>ü</v>
      </c>
    </row>
    <row r="32" spans="1:14" s="51" customFormat="1" ht="37.5" customHeight="1" x14ac:dyDescent="0.25">
      <c r="A32" s="52">
        <f>CO_ATT_INPUTS!A32</f>
        <v>14</v>
      </c>
      <c r="B32" s="18" t="str">
        <f>CO_ATT_INPUTS!B32</f>
        <v>22CC014</v>
      </c>
      <c r="C32" s="19" t="str">
        <f>CO_ATT_INPUTS!C32</f>
        <v>722822115014</v>
      </c>
      <c r="D32" s="91" t="str">
        <f>CO_ATT_INPUTS!D32</f>
        <v>GOKUL K</v>
      </c>
      <c r="E32" s="19">
        <f>CO_ATT_INPUTS!AF32</f>
        <v>75.75</v>
      </c>
      <c r="F32" s="19">
        <f>CO_ATT_INPUTS!AG32</f>
        <v>71</v>
      </c>
      <c r="G32" s="19">
        <f>CO_ATT_INPUTS!AH32</f>
        <v>71.25</v>
      </c>
      <c r="H32" s="19">
        <f>CO_ATT_INPUTS!AI32</f>
        <v>75</v>
      </c>
      <c r="I32" s="19">
        <f>CO_ATT_INPUTS!AJ32</f>
        <v>75</v>
      </c>
      <c r="J32" s="53" t="str">
        <f>IF(E32&gt;=CO_ATT_INPUTS!$C$327,CHAR(252),CHAR(251))</f>
        <v>ü</v>
      </c>
      <c r="K32" s="53" t="str">
        <f>IF(F32&gt;=CO_ATT_INPUTS!$C$327,CHAR(252),CHAR(251))</f>
        <v>ü</v>
      </c>
      <c r="L32" s="53" t="str">
        <f>IF(G32&gt;=CO_ATT_INPUTS!$C$327,CHAR(252),CHAR(251))</f>
        <v>ü</v>
      </c>
      <c r="M32" s="53" t="str">
        <f>IF(H32&gt;=CO_ATT_INPUTS!$C$327,CHAR(252),CHAR(251))</f>
        <v>ü</v>
      </c>
      <c r="N32" s="54" t="str">
        <f>IF(I32&gt;=CO_ATT_INPUTS!$C$327,CHAR(252),CHAR(251))</f>
        <v>ü</v>
      </c>
    </row>
    <row r="33" spans="1:14" s="51" customFormat="1" ht="37.5" customHeight="1" x14ac:dyDescent="0.25">
      <c r="A33" s="52">
        <f>CO_ATT_INPUTS!A33</f>
        <v>15</v>
      </c>
      <c r="B33" s="18" t="str">
        <f>CO_ATT_INPUTS!B33</f>
        <v>22CC015</v>
      </c>
      <c r="C33" s="19" t="str">
        <f>CO_ATT_INPUTS!C33</f>
        <v>722822115015</v>
      </c>
      <c r="D33" s="91" t="str">
        <f>CO_ATT_INPUTS!D33</f>
        <v>GOPINATH S</v>
      </c>
      <c r="E33" s="19">
        <f>CO_ATT_INPUTS!AF33</f>
        <v>77.900000000000006</v>
      </c>
      <c r="F33" s="19">
        <f>CO_ATT_INPUTS!AG33</f>
        <v>75.150000000000006</v>
      </c>
      <c r="G33" s="19">
        <f>CO_ATT_INPUTS!AH33</f>
        <v>76.150000000000006</v>
      </c>
      <c r="H33" s="19">
        <f>CO_ATT_INPUTS!AI33</f>
        <v>75.150000000000006</v>
      </c>
      <c r="I33" s="19">
        <f>CO_ATT_INPUTS!AJ33</f>
        <v>70.650000000000006</v>
      </c>
      <c r="J33" s="53" t="str">
        <f>IF(E33&gt;=CO_ATT_INPUTS!$C$327,CHAR(252),CHAR(251))</f>
        <v>ü</v>
      </c>
      <c r="K33" s="53" t="str">
        <f>IF(F33&gt;=CO_ATT_INPUTS!$C$327,CHAR(252),CHAR(251))</f>
        <v>ü</v>
      </c>
      <c r="L33" s="53" t="str">
        <f>IF(G33&gt;=CO_ATT_INPUTS!$C$327,CHAR(252),CHAR(251))</f>
        <v>ü</v>
      </c>
      <c r="M33" s="53" t="str">
        <f>IF(H33&gt;=CO_ATT_INPUTS!$C$327,CHAR(252),CHAR(251))</f>
        <v>ü</v>
      </c>
      <c r="N33" s="54" t="str">
        <f>IF(I33&gt;=CO_ATT_INPUTS!$C$327,CHAR(252),CHAR(251))</f>
        <v>ü</v>
      </c>
    </row>
    <row r="34" spans="1:14" s="51" customFormat="1" ht="37.5" customHeight="1" x14ac:dyDescent="0.25">
      <c r="A34" s="52">
        <f>CO_ATT_INPUTS!A34</f>
        <v>16</v>
      </c>
      <c r="B34" s="18" t="str">
        <f>CO_ATT_INPUTS!B34</f>
        <v>22CC016</v>
      </c>
      <c r="C34" s="19" t="str">
        <f>CO_ATT_INPUTS!C34</f>
        <v>722822115016</v>
      </c>
      <c r="D34" s="91" t="str">
        <f>CO_ATT_INPUTS!D34</f>
        <v>HARIBABU T</v>
      </c>
      <c r="E34" s="19">
        <f>CO_ATT_INPUTS!AF34</f>
        <v>81.75</v>
      </c>
      <c r="F34" s="19">
        <f>CO_ATT_INPUTS!AG34</f>
        <v>81</v>
      </c>
      <c r="G34" s="19">
        <f>CO_ATT_INPUTS!AH34</f>
        <v>71.25</v>
      </c>
      <c r="H34" s="19">
        <f>CO_ATT_INPUTS!AI34</f>
        <v>75.25</v>
      </c>
      <c r="I34" s="19">
        <f>CO_ATT_INPUTS!AJ34</f>
        <v>71.5</v>
      </c>
      <c r="J34" s="53" t="str">
        <f>IF(E34&gt;=CO_ATT_INPUTS!$C$327,CHAR(252),CHAR(251))</f>
        <v>ü</v>
      </c>
      <c r="K34" s="53" t="str">
        <f>IF(F34&gt;=CO_ATT_INPUTS!$C$327,CHAR(252),CHAR(251))</f>
        <v>ü</v>
      </c>
      <c r="L34" s="53" t="str">
        <f>IF(G34&gt;=CO_ATT_INPUTS!$C$327,CHAR(252),CHAR(251))</f>
        <v>ü</v>
      </c>
      <c r="M34" s="53" t="str">
        <f>IF(H34&gt;=CO_ATT_INPUTS!$C$327,CHAR(252),CHAR(251))</f>
        <v>ü</v>
      </c>
      <c r="N34" s="54" t="str">
        <f>IF(I34&gt;=CO_ATT_INPUTS!$C$327,CHAR(252),CHAR(251))</f>
        <v>ü</v>
      </c>
    </row>
    <row r="35" spans="1:14" s="51" customFormat="1" ht="37.5" customHeight="1" x14ac:dyDescent="0.25">
      <c r="A35" s="52">
        <f>CO_ATT_INPUTS!A35</f>
        <v>17</v>
      </c>
      <c r="B35" s="18" t="str">
        <f>CO_ATT_INPUTS!B35</f>
        <v>22CC017</v>
      </c>
      <c r="C35" s="19" t="str">
        <f>CO_ATT_INPUTS!C35</f>
        <v>722822115017</v>
      </c>
      <c r="D35" s="91" t="str">
        <f>CO_ATT_INPUTS!D35</f>
        <v>HARIBRAGAADESH T A</v>
      </c>
      <c r="E35" s="19">
        <f>CO_ATT_INPUTS!AF35</f>
        <v>77.95</v>
      </c>
      <c r="F35" s="19">
        <f>CO_ATT_INPUTS!AG35</f>
        <v>80.45</v>
      </c>
      <c r="G35" s="19">
        <f>CO_ATT_INPUTS!AH35</f>
        <v>73.45</v>
      </c>
      <c r="H35" s="19">
        <f>CO_ATT_INPUTS!AI35</f>
        <v>79.45</v>
      </c>
      <c r="I35" s="19">
        <f>CO_ATT_INPUTS!AJ35</f>
        <v>69.95</v>
      </c>
      <c r="J35" s="53" t="str">
        <f>IF(E35&gt;=CO_ATT_INPUTS!$C$327,CHAR(252),CHAR(251))</f>
        <v>ü</v>
      </c>
      <c r="K35" s="53" t="str">
        <f>IF(F35&gt;=CO_ATT_INPUTS!$C$327,CHAR(252),CHAR(251))</f>
        <v>ü</v>
      </c>
      <c r="L35" s="53" t="str">
        <f>IF(G35&gt;=CO_ATT_INPUTS!$C$327,CHAR(252),CHAR(251))</f>
        <v>ü</v>
      </c>
      <c r="M35" s="53" t="str">
        <f>IF(H35&gt;=CO_ATT_INPUTS!$C$327,CHAR(252),CHAR(251))</f>
        <v>ü</v>
      </c>
      <c r="N35" s="54" t="str">
        <f>IF(I35&gt;=CO_ATT_INPUTS!$C$327,CHAR(252),CHAR(251))</f>
        <v>û</v>
      </c>
    </row>
    <row r="36" spans="1:14" s="51" customFormat="1" ht="37.5" customHeight="1" x14ac:dyDescent="0.25">
      <c r="A36" s="52">
        <f>CO_ATT_INPUTS!A36</f>
        <v>18</v>
      </c>
      <c r="B36" s="18" t="str">
        <f>CO_ATT_INPUTS!B36</f>
        <v>22CC018</v>
      </c>
      <c r="C36" s="19" t="str">
        <f>CO_ATT_INPUTS!C36</f>
        <v>722822115018</v>
      </c>
      <c r="D36" s="91" t="str">
        <f>CO_ATT_INPUTS!D36</f>
        <v>HARITHA R</v>
      </c>
      <c r="E36" s="19">
        <f>CO_ATT_INPUTS!AF36</f>
        <v>85.5</v>
      </c>
      <c r="F36" s="19">
        <f>CO_ATT_INPUTS!AG36</f>
        <v>77</v>
      </c>
      <c r="G36" s="19">
        <f>CO_ATT_INPUTS!AH36</f>
        <v>79.75</v>
      </c>
      <c r="H36" s="19">
        <f>CO_ATT_INPUTS!AI36</f>
        <v>80.5</v>
      </c>
      <c r="I36" s="19">
        <f>CO_ATT_INPUTS!AJ36</f>
        <v>75.5</v>
      </c>
      <c r="J36" s="53" t="str">
        <f>IF(E36&gt;=CO_ATT_INPUTS!$C$327,CHAR(252),CHAR(251))</f>
        <v>ü</v>
      </c>
      <c r="K36" s="53" t="str">
        <f>IF(F36&gt;=CO_ATT_INPUTS!$C$327,CHAR(252),CHAR(251))</f>
        <v>ü</v>
      </c>
      <c r="L36" s="53" t="str">
        <f>IF(G36&gt;=CO_ATT_INPUTS!$C$327,CHAR(252),CHAR(251))</f>
        <v>ü</v>
      </c>
      <c r="M36" s="53" t="str">
        <f>IF(H36&gt;=CO_ATT_INPUTS!$C$327,CHAR(252),CHAR(251))</f>
        <v>ü</v>
      </c>
      <c r="N36" s="54" t="str">
        <f>IF(I36&gt;=CO_ATT_INPUTS!$C$327,CHAR(252),CHAR(251))</f>
        <v>ü</v>
      </c>
    </row>
    <row r="37" spans="1:14" s="51" customFormat="1" ht="37.5" customHeight="1" x14ac:dyDescent="0.25">
      <c r="A37" s="52">
        <f>CO_ATT_INPUTS!A37</f>
        <v>19</v>
      </c>
      <c r="B37" s="18" t="str">
        <f>CO_ATT_INPUTS!B37</f>
        <v>22CC019</v>
      </c>
      <c r="C37" s="19" t="str">
        <f>CO_ATT_INPUTS!C37</f>
        <v>722822115019</v>
      </c>
      <c r="D37" s="91" t="str">
        <f>CO_ATT_INPUTS!D37</f>
        <v>JANANI M</v>
      </c>
      <c r="E37" s="19">
        <f>CO_ATT_INPUTS!AF37</f>
        <v>90.15</v>
      </c>
      <c r="F37" s="19">
        <f>CO_ATT_INPUTS!AG37</f>
        <v>92.15</v>
      </c>
      <c r="G37" s="19">
        <f>CO_ATT_INPUTS!AH37</f>
        <v>88.4</v>
      </c>
      <c r="H37" s="19">
        <f>CO_ATT_INPUTS!AI37</f>
        <v>88.65</v>
      </c>
      <c r="I37" s="19">
        <f>CO_ATT_INPUTS!AJ37</f>
        <v>91.9</v>
      </c>
      <c r="J37" s="53" t="str">
        <f>IF(E37&gt;=CO_ATT_INPUTS!$C$327,CHAR(252),CHAR(251))</f>
        <v>ü</v>
      </c>
      <c r="K37" s="53" t="str">
        <f>IF(F37&gt;=CO_ATT_INPUTS!$C$327,CHAR(252),CHAR(251))</f>
        <v>ü</v>
      </c>
      <c r="L37" s="53" t="str">
        <f>IF(G37&gt;=CO_ATT_INPUTS!$C$327,CHAR(252),CHAR(251))</f>
        <v>ü</v>
      </c>
      <c r="M37" s="53" t="str">
        <f>IF(H37&gt;=CO_ATT_INPUTS!$C$327,CHAR(252),CHAR(251))</f>
        <v>ü</v>
      </c>
      <c r="N37" s="54" t="str">
        <f>IF(I37&gt;=CO_ATT_INPUTS!$C$327,CHAR(252),CHAR(251))</f>
        <v>ü</v>
      </c>
    </row>
    <row r="38" spans="1:14" s="51" customFormat="1" ht="37.5" customHeight="1" x14ac:dyDescent="0.25">
      <c r="A38" s="52">
        <f>CO_ATT_INPUTS!A38</f>
        <v>20</v>
      </c>
      <c r="B38" s="18" t="str">
        <f>CO_ATT_INPUTS!B38</f>
        <v>22CC020</v>
      </c>
      <c r="C38" s="19" t="str">
        <f>CO_ATT_INPUTS!C38</f>
        <v>722822115020</v>
      </c>
      <c r="D38" s="91" t="str">
        <f>CO_ATT_INPUTS!D38</f>
        <v>KABINESH S</v>
      </c>
      <c r="E38" s="19">
        <f>CO_ATT_INPUTS!AF38</f>
        <v>77.75</v>
      </c>
      <c r="F38" s="19">
        <f>CO_ATT_INPUTS!AG38</f>
        <v>74.75</v>
      </c>
      <c r="G38" s="19">
        <f>CO_ATT_INPUTS!AH38</f>
        <v>68.75</v>
      </c>
      <c r="H38" s="19">
        <f>CO_ATT_INPUTS!AI38</f>
        <v>78.5</v>
      </c>
      <c r="I38" s="19">
        <f>CO_ATT_INPUTS!AJ38</f>
        <v>77.25</v>
      </c>
      <c r="J38" s="53" t="str">
        <f>IF(E38&gt;=CO_ATT_INPUTS!$C$327,CHAR(252),CHAR(251))</f>
        <v>ü</v>
      </c>
      <c r="K38" s="53" t="str">
        <f>IF(F38&gt;=CO_ATT_INPUTS!$C$327,CHAR(252),CHAR(251))</f>
        <v>ü</v>
      </c>
      <c r="L38" s="53" t="str">
        <f>IF(G38&gt;=CO_ATT_INPUTS!$C$327,CHAR(252),CHAR(251))</f>
        <v>û</v>
      </c>
      <c r="M38" s="53" t="str">
        <f>IF(H38&gt;=CO_ATT_INPUTS!$C$327,CHAR(252),CHAR(251))</f>
        <v>ü</v>
      </c>
      <c r="N38" s="54" t="str">
        <f>IF(I38&gt;=CO_ATT_INPUTS!$C$327,CHAR(252),CHAR(251))</f>
        <v>ü</v>
      </c>
    </row>
    <row r="39" spans="1:14" s="51" customFormat="1" ht="37.5" customHeight="1" x14ac:dyDescent="0.25">
      <c r="A39" s="52">
        <f>CO_ATT_INPUTS!A39</f>
        <v>21</v>
      </c>
      <c r="B39" s="18" t="str">
        <f>CO_ATT_INPUTS!B39</f>
        <v>22CC021</v>
      </c>
      <c r="C39" s="19" t="str">
        <f>CO_ATT_INPUTS!C39</f>
        <v>722822115021</v>
      </c>
      <c r="D39" s="91" t="str">
        <f>CO_ATT_INPUTS!D39</f>
        <v>KAMALESH R</v>
      </c>
      <c r="E39" s="19">
        <f>CO_ATT_INPUTS!AF39</f>
        <v>89.45</v>
      </c>
      <c r="F39" s="19">
        <f>CO_ATT_INPUTS!AG39</f>
        <v>86.7</v>
      </c>
      <c r="G39" s="19">
        <f>CO_ATT_INPUTS!AH39</f>
        <v>84.95</v>
      </c>
      <c r="H39" s="19">
        <f>CO_ATT_INPUTS!AI39</f>
        <v>87.45</v>
      </c>
      <c r="I39" s="19">
        <f>CO_ATT_INPUTS!AJ39</f>
        <v>86.95</v>
      </c>
      <c r="J39" s="53" t="str">
        <f>IF(E39&gt;=CO_ATT_INPUTS!$C$327,CHAR(252),CHAR(251))</f>
        <v>ü</v>
      </c>
      <c r="K39" s="53" t="str">
        <f>IF(F39&gt;=CO_ATT_INPUTS!$C$327,CHAR(252),CHAR(251))</f>
        <v>ü</v>
      </c>
      <c r="L39" s="53" t="str">
        <f>IF(G39&gt;=CO_ATT_INPUTS!$C$327,CHAR(252),CHAR(251))</f>
        <v>ü</v>
      </c>
      <c r="M39" s="53" t="str">
        <f>IF(H39&gt;=CO_ATT_INPUTS!$C$327,CHAR(252),CHAR(251))</f>
        <v>ü</v>
      </c>
      <c r="N39" s="54" t="str">
        <f>IF(I39&gt;=CO_ATT_INPUTS!$C$327,CHAR(252),CHAR(251))</f>
        <v>ü</v>
      </c>
    </row>
    <row r="40" spans="1:14" s="51" customFormat="1" ht="37.5" customHeight="1" x14ac:dyDescent="0.25">
      <c r="A40" s="52">
        <f>CO_ATT_INPUTS!A40</f>
        <v>22</v>
      </c>
      <c r="B40" s="18" t="str">
        <f>CO_ATT_INPUTS!B40</f>
        <v>22CC022</v>
      </c>
      <c r="C40" s="19" t="str">
        <f>CO_ATT_INPUTS!C40</f>
        <v>722822115022</v>
      </c>
      <c r="D40" s="91" t="str">
        <f>CO_ATT_INPUTS!D40</f>
        <v>KARTHICK M G</v>
      </c>
      <c r="E40" s="19">
        <f>CO_ATT_INPUTS!AF40</f>
        <v>77.050000000000011</v>
      </c>
      <c r="F40" s="19">
        <f>CO_ATT_INPUTS!AG40</f>
        <v>76.800000000000011</v>
      </c>
      <c r="G40" s="19">
        <f>CO_ATT_INPUTS!AH40</f>
        <v>73.050000000000011</v>
      </c>
      <c r="H40" s="19">
        <f>CO_ATT_INPUTS!AI40</f>
        <v>75.050000000000011</v>
      </c>
      <c r="I40" s="19">
        <f>CO_ATT_INPUTS!AJ40</f>
        <v>78.050000000000011</v>
      </c>
      <c r="J40" s="53" t="str">
        <f>IF(E40&gt;=CO_ATT_INPUTS!$C$327,CHAR(252),CHAR(251))</f>
        <v>ü</v>
      </c>
      <c r="K40" s="53" t="str">
        <f>IF(F40&gt;=CO_ATT_INPUTS!$C$327,CHAR(252),CHAR(251))</f>
        <v>ü</v>
      </c>
      <c r="L40" s="53" t="str">
        <f>IF(G40&gt;=CO_ATT_INPUTS!$C$327,CHAR(252),CHAR(251))</f>
        <v>ü</v>
      </c>
      <c r="M40" s="53" t="str">
        <f>IF(H40&gt;=CO_ATT_INPUTS!$C$327,CHAR(252),CHAR(251))</f>
        <v>ü</v>
      </c>
      <c r="N40" s="54" t="str">
        <f>IF(I40&gt;=CO_ATT_INPUTS!$C$327,CHAR(252),CHAR(251))</f>
        <v>ü</v>
      </c>
    </row>
    <row r="41" spans="1:14" s="51" customFormat="1" ht="37.5" customHeight="1" x14ac:dyDescent="0.25">
      <c r="A41" s="52">
        <f>CO_ATT_INPUTS!A41</f>
        <v>23</v>
      </c>
      <c r="B41" s="18" t="str">
        <f>CO_ATT_INPUTS!B41</f>
        <v>22CC023</v>
      </c>
      <c r="C41" s="19" t="str">
        <f>CO_ATT_INPUTS!C41</f>
        <v>722822115023</v>
      </c>
      <c r="D41" s="91" t="str">
        <f>CO_ATT_INPUTS!D41</f>
        <v>KARTHIK S</v>
      </c>
      <c r="E41" s="19">
        <f>CO_ATT_INPUTS!AF41</f>
        <v>84.75</v>
      </c>
      <c r="F41" s="19">
        <f>CO_ATT_INPUTS!AG41</f>
        <v>80.25</v>
      </c>
      <c r="G41" s="19">
        <f>CO_ATT_INPUTS!AH41</f>
        <v>75.75</v>
      </c>
      <c r="H41" s="19">
        <f>CO_ATT_INPUTS!AI41</f>
        <v>85.5</v>
      </c>
      <c r="I41" s="19">
        <f>CO_ATT_INPUTS!AJ41</f>
        <v>82.25</v>
      </c>
      <c r="J41" s="53" t="str">
        <f>IF(E41&gt;=CO_ATT_INPUTS!$C$327,CHAR(252),CHAR(251))</f>
        <v>ü</v>
      </c>
      <c r="K41" s="53" t="str">
        <f>IF(F41&gt;=CO_ATT_INPUTS!$C$327,CHAR(252),CHAR(251))</f>
        <v>ü</v>
      </c>
      <c r="L41" s="53" t="str">
        <f>IF(G41&gt;=CO_ATT_INPUTS!$C$327,CHAR(252),CHAR(251))</f>
        <v>ü</v>
      </c>
      <c r="M41" s="53" t="str">
        <f>IF(H41&gt;=CO_ATT_INPUTS!$C$327,CHAR(252),CHAR(251))</f>
        <v>ü</v>
      </c>
      <c r="N41" s="54" t="str">
        <f>IF(I41&gt;=CO_ATT_INPUTS!$C$327,CHAR(252),CHAR(251))</f>
        <v>ü</v>
      </c>
    </row>
    <row r="42" spans="1:14" s="51" customFormat="1" ht="37.5" customHeight="1" x14ac:dyDescent="0.25">
      <c r="A42" s="52">
        <f>CO_ATT_INPUTS!A42</f>
        <v>24</v>
      </c>
      <c r="B42" s="18" t="str">
        <f>CO_ATT_INPUTS!B42</f>
        <v>22CC024</v>
      </c>
      <c r="C42" s="19" t="str">
        <f>CO_ATT_INPUTS!C42</f>
        <v>722822115024</v>
      </c>
      <c r="D42" s="91" t="str">
        <f>CO_ATT_INPUTS!D42</f>
        <v>KATHIRVEL R</v>
      </c>
      <c r="E42" s="19">
        <f>CO_ATT_INPUTS!AF42</f>
        <v>72.400000000000006</v>
      </c>
      <c r="F42" s="19">
        <f>CO_ATT_INPUTS!AG42</f>
        <v>69.900000000000006</v>
      </c>
      <c r="G42" s="19">
        <f>CO_ATT_INPUTS!AH42</f>
        <v>58.150000000000006</v>
      </c>
      <c r="H42" s="19">
        <f>CO_ATT_INPUTS!AI42</f>
        <v>70.900000000000006</v>
      </c>
      <c r="I42" s="19">
        <f>CO_ATT_INPUTS!AJ42</f>
        <v>64.900000000000006</v>
      </c>
      <c r="J42" s="53" t="str">
        <f>IF(E42&gt;=CO_ATT_INPUTS!$C$327,CHAR(252),CHAR(251))</f>
        <v>ü</v>
      </c>
      <c r="K42" s="53" t="str">
        <f>IF(F42&gt;=CO_ATT_INPUTS!$C$327,CHAR(252),CHAR(251))</f>
        <v>û</v>
      </c>
      <c r="L42" s="53" t="str">
        <f>IF(G42&gt;=CO_ATT_INPUTS!$C$327,CHAR(252),CHAR(251))</f>
        <v>û</v>
      </c>
      <c r="M42" s="53" t="str">
        <f>IF(H42&gt;=CO_ATT_INPUTS!$C$327,CHAR(252),CHAR(251))</f>
        <v>ü</v>
      </c>
      <c r="N42" s="54" t="str">
        <f>IF(I42&gt;=CO_ATT_INPUTS!$C$327,CHAR(252),CHAR(251))</f>
        <v>û</v>
      </c>
    </row>
    <row r="43" spans="1:14" s="51" customFormat="1" ht="37.5" customHeight="1" x14ac:dyDescent="0.25">
      <c r="A43" s="52">
        <f>CO_ATT_INPUTS!A43</f>
        <v>25</v>
      </c>
      <c r="B43" s="18" t="str">
        <f>CO_ATT_INPUTS!B43</f>
        <v>22CC025</v>
      </c>
      <c r="C43" s="19" t="str">
        <f>CO_ATT_INPUTS!C43</f>
        <v>722822115025</v>
      </c>
      <c r="D43" s="91" t="str">
        <f>CO_ATT_INPUTS!D43</f>
        <v>KAVIYA A</v>
      </c>
      <c r="E43" s="19">
        <f>CO_ATT_INPUTS!AF43</f>
        <v>84.050000000000011</v>
      </c>
      <c r="F43" s="19">
        <f>CO_ATT_INPUTS!AG43</f>
        <v>82.050000000000011</v>
      </c>
      <c r="G43" s="19">
        <f>CO_ATT_INPUTS!AH43</f>
        <v>79.300000000000011</v>
      </c>
      <c r="H43" s="19">
        <f>CO_ATT_INPUTS!AI43</f>
        <v>79.800000000000011</v>
      </c>
      <c r="I43" s="19">
        <f>CO_ATT_INPUTS!AJ43</f>
        <v>78.050000000000011</v>
      </c>
      <c r="J43" s="53" t="str">
        <f>IF(E43&gt;=CO_ATT_INPUTS!$C$327,CHAR(252),CHAR(251))</f>
        <v>ü</v>
      </c>
      <c r="K43" s="53" t="str">
        <f>IF(F43&gt;=CO_ATT_INPUTS!$C$327,CHAR(252),CHAR(251))</f>
        <v>ü</v>
      </c>
      <c r="L43" s="53" t="str">
        <f>IF(G43&gt;=CO_ATT_INPUTS!$C$327,CHAR(252),CHAR(251))</f>
        <v>ü</v>
      </c>
      <c r="M43" s="53" t="str">
        <f>IF(H43&gt;=CO_ATT_INPUTS!$C$327,CHAR(252),CHAR(251))</f>
        <v>ü</v>
      </c>
      <c r="N43" s="54" t="str">
        <f>IF(I43&gt;=CO_ATT_INPUTS!$C$327,CHAR(252),CHAR(251))</f>
        <v>ü</v>
      </c>
    </row>
    <row r="44" spans="1:14" s="51" customFormat="1" ht="37.5" customHeight="1" x14ac:dyDescent="0.25">
      <c r="A44" s="52">
        <f>CO_ATT_INPUTS!A44</f>
        <v>26</v>
      </c>
      <c r="B44" s="18" t="str">
        <f>CO_ATT_INPUTS!B44</f>
        <v>22CC026</v>
      </c>
      <c r="C44" s="19" t="str">
        <f>CO_ATT_INPUTS!C44</f>
        <v>722822115026</v>
      </c>
      <c r="D44" s="91" t="str">
        <f>CO_ATT_INPUTS!D44</f>
        <v>LOGESHWARAN V</v>
      </c>
      <c r="E44" s="19">
        <f>CO_ATT_INPUTS!AF44</f>
        <v>76.099999999999994</v>
      </c>
      <c r="F44" s="19">
        <f>CO_ATT_INPUTS!AG44</f>
        <v>61.1</v>
      </c>
      <c r="G44" s="19">
        <f>CO_ATT_INPUTS!AH44</f>
        <v>68.099999999999994</v>
      </c>
      <c r="H44" s="19">
        <f>CO_ATT_INPUTS!AI44</f>
        <v>67.599999999999994</v>
      </c>
      <c r="I44" s="19">
        <f>CO_ATT_INPUTS!AJ44</f>
        <v>58.6</v>
      </c>
      <c r="J44" s="53" t="str">
        <f>IF(E44&gt;=CO_ATT_INPUTS!$C$327,CHAR(252),CHAR(251))</f>
        <v>ü</v>
      </c>
      <c r="K44" s="53" t="str">
        <f>IF(F44&gt;=CO_ATT_INPUTS!$C$327,CHAR(252),CHAR(251))</f>
        <v>û</v>
      </c>
      <c r="L44" s="53" t="str">
        <f>IF(G44&gt;=CO_ATT_INPUTS!$C$327,CHAR(252),CHAR(251))</f>
        <v>û</v>
      </c>
      <c r="M44" s="53" t="str">
        <f>IF(H44&gt;=CO_ATT_INPUTS!$C$327,CHAR(252),CHAR(251))</f>
        <v>û</v>
      </c>
      <c r="N44" s="54" t="str">
        <f>IF(I44&gt;=CO_ATT_INPUTS!$C$327,CHAR(252),CHAR(251))</f>
        <v>û</v>
      </c>
    </row>
    <row r="45" spans="1:14" s="51" customFormat="1" ht="37.5" customHeight="1" x14ac:dyDescent="0.25">
      <c r="A45" s="52">
        <f>CO_ATT_INPUTS!A45</f>
        <v>27</v>
      </c>
      <c r="B45" s="18" t="str">
        <f>CO_ATT_INPUTS!B45</f>
        <v>22CC027</v>
      </c>
      <c r="C45" s="19" t="str">
        <f>CO_ATT_INPUTS!C45</f>
        <v>722822115027</v>
      </c>
      <c r="D45" s="91" t="str">
        <f>CO_ATT_INPUTS!D45</f>
        <v>MADHAN A</v>
      </c>
      <c r="E45" s="19">
        <f>CO_ATT_INPUTS!AF45</f>
        <v>70.599999999999994</v>
      </c>
      <c r="F45" s="19">
        <f>CO_ATT_INPUTS!AG45</f>
        <v>72.349999999999994</v>
      </c>
      <c r="G45" s="19">
        <f>CO_ATT_INPUTS!AH45</f>
        <v>67.349999999999994</v>
      </c>
      <c r="H45" s="19">
        <f>CO_ATT_INPUTS!AI45</f>
        <v>58.6</v>
      </c>
      <c r="I45" s="19">
        <f>CO_ATT_INPUTS!AJ45</f>
        <v>58.6</v>
      </c>
      <c r="J45" s="53" t="str">
        <f>IF(E45&gt;=CO_ATT_INPUTS!$C$327,CHAR(252),CHAR(251))</f>
        <v>ü</v>
      </c>
      <c r="K45" s="53" t="str">
        <f>IF(F45&gt;=CO_ATT_INPUTS!$C$327,CHAR(252),CHAR(251))</f>
        <v>ü</v>
      </c>
      <c r="L45" s="53" t="str">
        <f>IF(G45&gt;=CO_ATT_INPUTS!$C$327,CHAR(252),CHAR(251))</f>
        <v>û</v>
      </c>
      <c r="M45" s="53" t="str">
        <f>IF(H45&gt;=CO_ATT_INPUTS!$C$327,CHAR(252),CHAR(251))</f>
        <v>û</v>
      </c>
      <c r="N45" s="54" t="str">
        <f>IF(I45&gt;=CO_ATT_INPUTS!$C$327,CHAR(252),CHAR(251))</f>
        <v>û</v>
      </c>
    </row>
    <row r="46" spans="1:14" s="51" customFormat="1" ht="37.5" customHeight="1" x14ac:dyDescent="0.25">
      <c r="A46" s="52">
        <f>CO_ATT_INPUTS!A46</f>
        <v>28</v>
      </c>
      <c r="B46" s="18" t="str">
        <f>CO_ATT_INPUTS!B46</f>
        <v>22CC028</v>
      </c>
      <c r="C46" s="19" t="str">
        <f>CO_ATT_INPUTS!C46</f>
        <v>722822115028</v>
      </c>
      <c r="D46" s="91" t="str">
        <f>CO_ATT_INPUTS!D46</f>
        <v>MANGAIYARKARASI R</v>
      </c>
      <c r="E46" s="19">
        <f>CO_ATT_INPUTS!AF46</f>
        <v>80.5</v>
      </c>
      <c r="F46" s="19">
        <f>CO_ATT_INPUTS!AG46</f>
        <v>86.5</v>
      </c>
      <c r="G46" s="19">
        <f>CO_ATT_INPUTS!AH46</f>
        <v>86.75</v>
      </c>
      <c r="H46" s="19">
        <f>CO_ATT_INPUTS!AI46</f>
        <v>78.25</v>
      </c>
      <c r="I46" s="19">
        <f>CO_ATT_INPUTS!AJ46</f>
        <v>84.5</v>
      </c>
      <c r="J46" s="53" t="str">
        <f>IF(E46&gt;=CO_ATT_INPUTS!$C$327,CHAR(252),CHAR(251))</f>
        <v>ü</v>
      </c>
      <c r="K46" s="53" t="str">
        <f>IF(F46&gt;=CO_ATT_INPUTS!$C$327,CHAR(252),CHAR(251))</f>
        <v>ü</v>
      </c>
      <c r="L46" s="53" t="str">
        <f>IF(G46&gt;=CO_ATT_INPUTS!$C$327,CHAR(252),CHAR(251))</f>
        <v>ü</v>
      </c>
      <c r="M46" s="53" t="str">
        <f>IF(H46&gt;=CO_ATT_INPUTS!$C$327,CHAR(252),CHAR(251))</f>
        <v>ü</v>
      </c>
      <c r="N46" s="54" t="str">
        <f>IF(I46&gt;=CO_ATT_INPUTS!$C$327,CHAR(252),CHAR(251))</f>
        <v>ü</v>
      </c>
    </row>
    <row r="47" spans="1:14" s="51" customFormat="1" ht="37.5" customHeight="1" x14ac:dyDescent="0.25">
      <c r="A47" s="52">
        <f>CO_ATT_INPUTS!A47</f>
        <v>29</v>
      </c>
      <c r="B47" s="18" t="str">
        <f>CO_ATT_INPUTS!B47</f>
        <v>22CC029</v>
      </c>
      <c r="C47" s="19" t="str">
        <f>CO_ATT_INPUTS!C47</f>
        <v>722822115029</v>
      </c>
      <c r="D47" s="91" t="str">
        <f>CO_ATT_INPUTS!D47</f>
        <v>MOHAMED AFSAR A</v>
      </c>
      <c r="E47" s="19">
        <f>CO_ATT_INPUTS!AF47</f>
        <v>72.75</v>
      </c>
      <c r="F47" s="19">
        <f>CO_ATT_INPUTS!AG47</f>
        <v>69.5</v>
      </c>
      <c r="G47" s="19">
        <f>CO_ATT_INPUTS!AH47</f>
        <v>77</v>
      </c>
      <c r="H47" s="19">
        <f>CO_ATT_INPUTS!AI47</f>
        <v>76</v>
      </c>
      <c r="I47" s="19">
        <f>CO_ATT_INPUTS!AJ47</f>
        <v>75</v>
      </c>
      <c r="J47" s="53" t="str">
        <f>IF(E47&gt;=CO_ATT_INPUTS!$C$327,CHAR(252),CHAR(251))</f>
        <v>ü</v>
      </c>
      <c r="K47" s="53" t="str">
        <f>IF(F47&gt;=CO_ATT_INPUTS!$C$327,CHAR(252),CHAR(251))</f>
        <v>û</v>
      </c>
      <c r="L47" s="53" t="str">
        <f>IF(G47&gt;=CO_ATT_INPUTS!$C$327,CHAR(252),CHAR(251))</f>
        <v>ü</v>
      </c>
      <c r="M47" s="53" t="str">
        <f>IF(H47&gt;=CO_ATT_INPUTS!$C$327,CHAR(252),CHAR(251))</f>
        <v>ü</v>
      </c>
      <c r="N47" s="54" t="str">
        <f>IF(I47&gt;=CO_ATT_INPUTS!$C$327,CHAR(252),CHAR(251))</f>
        <v>ü</v>
      </c>
    </row>
    <row r="48" spans="1:14" s="51" customFormat="1" ht="37.5" customHeight="1" x14ac:dyDescent="0.25">
      <c r="A48" s="52">
        <f>CO_ATT_INPUTS!A48</f>
        <v>30</v>
      </c>
      <c r="B48" s="18" t="str">
        <f>CO_ATT_INPUTS!B48</f>
        <v>22CC030</v>
      </c>
      <c r="C48" s="19" t="str">
        <f>CO_ATT_INPUTS!C48</f>
        <v>722822115030</v>
      </c>
      <c r="D48" s="91" t="str">
        <f>CO_ATT_INPUTS!D48</f>
        <v>MUTHU RAJA S</v>
      </c>
      <c r="E48" s="19">
        <f>CO_ATT_INPUTS!AF48</f>
        <v>81.800000000000011</v>
      </c>
      <c r="F48" s="19">
        <f>CO_ATT_INPUTS!AG48</f>
        <v>75.050000000000011</v>
      </c>
      <c r="G48" s="19">
        <f>CO_ATT_INPUTS!AH48</f>
        <v>72.800000000000011</v>
      </c>
      <c r="H48" s="19">
        <f>CO_ATT_INPUTS!AI48</f>
        <v>76.300000000000011</v>
      </c>
      <c r="I48" s="19">
        <f>CO_ATT_INPUTS!AJ48</f>
        <v>78.550000000000011</v>
      </c>
      <c r="J48" s="53" t="str">
        <f>IF(E48&gt;=CO_ATT_INPUTS!$C$327,CHAR(252),CHAR(251))</f>
        <v>ü</v>
      </c>
      <c r="K48" s="53" t="str">
        <f>IF(F48&gt;=CO_ATT_INPUTS!$C$327,CHAR(252),CHAR(251))</f>
        <v>ü</v>
      </c>
      <c r="L48" s="53" t="str">
        <f>IF(G48&gt;=CO_ATT_INPUTS!$C$327,CHAR(252),CHAR(251))</f>
        <v>ü</v>
      </c>
      <c r="M48" s="53" t="str">
        <f>IF(H48&gt;=CO_ATT_INPUTS!$C$327,CHAR(252),CHAR(251))</f>
        <v>ü</v>
      </c>
      <c r="N48" s="54" t="str">
        <f>IF(I48&gt;=CO_ATT_INPUTS!$C$327,CHAR(252),CHAR(251))</f>
        <v>ü</v>
      </c>
    </row>
    <row r="49" spans="1:14" s="51" customFormat="1" ht="37.5" customHeight="1" x14ac:dyDescent="0.25">
      <c r="A49" s="52">
        <f>CO_ATT_INPUTS!A49</f>
        <v>31</v>
      </c>
      <c r="B49" s="18" t="str">
        <f>CO_ATT_INPUTS!B49</f>
        <v>22CC031</v>
      </c>
      <c r="C49" s="19" t="str">
        <f>CO_ATT_INPUTS!C49</f>
        <v>722822115031</v>
      </c>
      <c r="D49" s="91" t="str">
        <f>CO_ATT_INPUTS!D49</f>
        <v>MUTHUVEL A</v>
      </c>
      <c r="E49" s="19">
        <f>CO_ATT_INPUTS!AF49</f>
        <v>89.45</v>
      </c>
      <c r="F49" s="19">
        <f>CO_ATT_INPUTS!AG49</f>
        <v>85.95</v>
      </c>
      <c r="G49" s="19">
        <f>CO_ATT_INPUTS!AH49</f>
        <v>74.45</v>
      </c>
      <c r="H49" s="19">
        <f>CO_ATT_INPUTS!AI49</f>
        <v>83.95</v>
      </c>
      <c r="I49" s="19">
        <f>CO_ATT_INPUTS!AJ49</f>
        <v>86.2</v>
      </c>
      <c r="J49" s="53" t="str">
        <f>IF(E49&gt;=CO_ATT_INPUTS!$C$327,CHAR(252),CHAR(251))</f>
        <v>ü</v>
      </c>
      <c r="K49" s="53" t="str">
        <f>IF(F49&gt;=CO_ATT_INPUTS!$C$327,CHAR(252),CHAR(251))</f>
        <v>ü</v>
      </c>
      <c r="L49" s="53" t="str">
        <f>IF(G49&gt;=CO_ATT_INPUTS!$C$327,CHAR(252),CHAR(251))</f>
        <v>ü</v>
      </c>
      <c r="M49" s="53" t="str">
        <f>IF(H49&gt;=CO_ATT_INPUTS!$C$327,CHAR(252),CHAR(251))</f>
        <v>ü</v>
      </c>
      <c r="N49" s="54" t="str">
        <f>IF(I49&gt;=CO_ATT_INPUTS!$C$327,CHAR(252),CHAR(251))</f>
        <v>ü</v>
      </c>
    </row>
    <row r="50" spans="1:14" s="51" customFormat="1" ht="37.5" customHeight="1" x14ac:dyDescent="0.25">
      <c r="A50" s="52">
        <f>CO_ATT_INPUTS!A50</f>
        <v>32</v>
      </c>
      <c r="B50" s="18" t="str">
        <f>CO_ATT_INPUTS!B50</f>
        <v>22CC032</v>
      </c>
      <c r="C50" s="19" t="str">
        <f>CO_ATT_INPUTS!C50</f>
        <v>722822115032</v>
      </c>
      <c r="D50" s="91" t="str">
        <f>CO_ATT_INPUTS!D50</f>
        <v>NARAYANI S</v>
      </c>
      <c r="E50" s="19">
        <f>CO_ATT_INPUTS!AF50</f>
        <v>80.550000000000011</v>
      </c>
      <c r="F50" s="19">
        <f>CO_ATT_INPUTS!AG50</f>
        <v>73.050000000000011</v>
      </c>
      <c r="G50" s="19">
        <f>CO_ATT_INPUTS!AH50</f>
        <v>66.800000000000011</v>
      </c>
      <c r="H50" s="19">
        <f>CO_ATT_INPUTS!AI50</f>
        <v>75.300000000000011</v>
      </c>
      <c r="I50" s="19">
        <f>CO_ATT_INPUTS!AJ50</f>
        <v>72.300000000000011</v>
      </c>
      <c r="J50" s="53" t="str">
        <f>IF(E50&gt;=CO_ATT_INPUTS!$C$327,CHAR(252),CHAR(251))</f>
        <v>ü</v>
      </c>
      <c r="K50" s="53" t="str">
        <f>IF(F50&gt;=CO_ATT_INPUTS!$C$327,CHAR(252),CHAR(251))</f>
        <v>ü</v>
      </c>
      <c r="L50" s="53" t="str">
        <f>IF(G50&gt;=CO_ATT_INPUTS!$C$327,CHAR(252),CHAR(251))</f>
        <v>û</v>
      </c>
      <c r="M50" s="53" t="str">
        <f>IF(H50&gt;=CO_ATT_INPUTS!$C$327,CHAR(252),CHAR(251))</f>
        <v>ü</v>
      </c>
      <c r="N50" s="54" t="str">
        <f>IF(I50&gt;=CO_ATT_INPUTS!$C$327,CHAR(252),CHAR(251))</f>
        <v>ü</v>
      </c>
    </row>
    <row r="51" spans="1:14" s="51" customFormat="1" ht="37.5" customHeight="1" x14ac:dyDescent="0.25">
      <c r="A51" s="52">
        <f>CO_ATT_INPUTS!A51</f>
        <v>33</v>
      </c>
      <c r="B51" s="18" t="str">
        <f>CO_ATT_INPUTS!B51</f>
        <v>22CC033</v>
      </c>
      <c r="C51" s="19" t="str">
        <f>CO_ATT_INPUTS!C51</f>
        <v>722822115033</v>
      </c>
      <c r="D51" s="91" t="str">
        <f>CO_ATT_INPUTS!D51</f>
        <v>NAVEEN K S</v>
      </c>
      <c r="E51" s="19">
        <f>CO_ATT_INPUTS!AF51</f>
        <v>72.300000000000011</v>
      </c>
      <c r="F51" s="19">
        <f>CO_ATT_INPUTS!AG51</f>
        <v>69.050000000000011</v>
      </c>
      <c r="G51" s="19">
        <f>CO_ATT_INPUTS!AH51</f>
        <v>84.050000000000011</v>
      </c>
      <c r="H51" s="19">
        <f>CO_ATT_INPUTS!AI51</f>
        <v>82.800000000000011</v>
      </c>
      <c r="I51" s="19">
        <f>CO_ATT_INPUTS!AJ51</f>
        <v>77.800000000000011</v>
      </c>
      <c r="J51" s="53" t="str">
        <f>IF(E51&gt;=CO_ATT_INPUTS!$C$327,CHAR(252),CHAR(251))</f>
        <v>ü</v>
      </c>
      <c r="K51" s="53" t="str">
        <f>IF(F51&gt;=CO_ATT_INPUTS!$C$327,CHAR(252),CHAR(251))</f>
        <v>û</v>
      </c>
      <c r="L51" s="53" t="str">
        <f>IF(G51&gt;=CO_ATT_INPUTS!$C$327,CHAR(252),CHAR(251))</f>
        <v>ü</v>
      </c>
      <c r="M51" s="53" t="str">
        <f>IF(H51&gt;=CO_ATT_INPUTS!$C$327,CHAR(252),CHAR(251))</f>
        <v>ü</v>
      </c>
      <c r="N51" s="54" t="str">
        <f>IF(I51&gt;=CO_ATT_INPUTS!$C$327,CHAR(252),CHAR(251))</f>
        <v>ü</v>
      </c>
    </row>
    <row r="52" spans="1:14" s="51" customFormat="1" ht="37.5" customHeight="1" x14ac:dyDescent="0.25">
      <c r="A52" s="52">
        <f>CO_ATT_INPUTS!A52</f>
        <v>34</v>
      </c>
      <c r="B52" s="18" t="str">
        <f>CO_ATT_INPUTS!B52</f>
        <v>22CC034</v>
      </c>
      <c r="C52" s="19" t="str">
        <f>CO_ATT_INPUTS!C52</f>
        <v>722822115034</v>
      </c>
      <c r="D52" s="91" t="str">
        <f>CO_ATT_INPUTS!D52</f>
        <v>NIRMALKUMAR M</v>
      </c>
      <c r="E52" s="19">
        <f>CO_ATT_INPUTS!AF52</f>
        <v>79.5</v>
      </c>
      <c r="F52" s="19">
        <f>CO_ATT_INPUTS!AG52</f>
        <v>70.25</v>
      </c>
      <c r="G52" s="19">
        <f>CO_ATT_INPUTS!AH52</f>
        <v>72.25</v>
      </c>
      <c r="H52" s="19">
        <f>CO_ATT_INPUTS!AI52</f>
        <v>77.25</v>
      </c>
      <c r="I52" s="19">
        <f>CO_ATT_INPUTS!AJ52</f>
        <v>73.5</v>
      </c>
      <c r="J52" s="53" t="str">
        <f>IF(E52&gt;=CO_ATT_INPUTS!$C$327,CHAR(252),CHAR(251))</f>
        <v>ü</v>
      </c>
      <c r="K52" s="53" t="str">
        <f>IF(F52&gt;=CO_ATT_INPUTS!$C$327,CHAR(252),CHAR(251))</f>
        <v>ü</v>
      </c>
      <c r="L52" s="53" t="str">
        <f>IF(G52&gt;=CO_ATT_INPUTS!$C$327,CHAR(252),CHAR(251))</f>
        <v>ü</v>
      </c>
      <c r="M52" s="53" t="str">
        <f>IF(H52&gt;=CO_ATT_INPUTS!$C$327,CHAR(252),CHAR(251))</f>
        <v>ü</v>
      </c>
      <c r="N52" s="54" t="str">
        <f>IF(I52&gt;=CO_ATT_INPUTS!$C$327,CHAR(252),CHAR(251))</f>
        <v>ü</v>
      </c>
    </row>
    <row r="53" spans="1:14" s="51" customFormat="1" ht="37.5" customHeight="1" x14ac:dyDescent="0.25">
      <c r="A53" s="52">
        <f>CO_ATT_INPUTS!A53</f>
        <v>35</v>
      </c>
      <c r="B53" s="18" t="str">
        <f>CO_ATT_INPUTS!B53</f>
        <v>22CC035</v>
      </c>
      <c r="C53" s="19" t="str">
        <f>CO_ATT_INPUTS!C53</f>
        <v>722822115035</v>
      </c>
      <c r="D53" s="91" t="str">
        <f>CO_ATT_INPUTS!D53</f>
        <v>PRAKASH KUMAR M</v>
      </c>
      <c r="E53" s="19">
        <f>CO_ATT_INPUTS!AF53</f>
        <v>86.1</v>
      </c>
      <c r="F53" s="19">
        <f>CO_ATT_INPUTS!AG53</f>
        <v>83.6</v>
      </c>
      <c r="G53" s="19">
        <f>CO_ATT_INPUTS!AH53</f>
        <v>84.35</v>
      </c>
      <c r="H53" s="19">
        <f>CO_ATT_INPUTS!AI53</f>
        <v>73.599999999999994</v>
      </c>
      <c r="I53" s="19">
        <f>CO_ATT_INPUTS!AJ53</f>
        <v>72.849999999999994</v>
      </c>
      <c r="J53" s="53" t="str">
        <f>IF(E53&gt;=CO_ATT_INPUTS!$C$327,CHAR(252),CHAR(251))</f>
        <v>ü</v>
      </c>
      <c r="K53" s="53" t="str">
        <f>IF(F53&gt;=CO_ATT_INPUTS!$C$327,CHAR(252),CHAR(251))</f>
        <v>ü</v>
      </c>
      <c r="L53" s="53" t="str">
        <f>IF(G53&gt;=CO_ATT_INPUTS!$C$327,CHAR(252),CHAR(251))</f>
        <v>ü</v>
      </c>
      <c r="M53" s="53" t="str">
        <f>IF(H53&gt;=CO_ATT_INPUTS!$C$327,CHAR(252),CHAR(251))</f>
        <v>ü</v>
      </c>
      <c r="N53" s="54" t="str">
        <f>IF(I53&gt;=CO_ATT_INPUTS!$C$327,CHAR(252),CHAR(251))</f>
        <v>ü</v>
      </c>
    </row>
    <row r="54" spans="1:14" s="51" customFormat="1" ht="37.5" customHeight="1" x14ac:dyDescent="0.25">
      <c r="A54" s="52">
        <f>CO_ATT_INPUTS!A54</f>
        <v>36</v>
      </c>
      <c r="B54" s="18" t="str">
        <f>CO_ATT_INPUTS!B54</f>
        <v>22CC036</v>
      </c>
      <c r="C54" s="19" t="str">
        <f>CO_ATT_INPUTS!C54</f>
        <v>722822115036</v>
      </c>
      <c r="D54" s="91" t="str">
        <f>CO_ATT_INPUTS!D54</f>
        <v>PRASANNAKUMAR V G</v>
      </c>
      <c r="E54" s="19">
        <f>CO_ATT_INPUTS!AF54</f>
        <v>79.5</v>
      </c>
      <c r="F54" s="19">
        <f>CO_ATT_INPUTS!AG54</f>
        <v>81.25</v>
      </c>
      <c r="G54" s="19">
        <f>CO_ATT_INPUTS!AH54</f>
        <v>69</v>
      </c>
      <c r="H54" s="19">
        <f>CO_ATT_INPUTS!AI54</f>
        <v>73.5</v>
      </c>
      <c r="I54" s="19">
        <f>CO_ATT_INPUTS!AJ54</f>
        <v>63.25</v>
      </c>
      <c r="J54" s="53" t="str">
        <f>IF(E54&gt;=CO_ATT_INPUTS!$C$327,CHAR(252),CHAR(251))</f>
        <v>ü</v>
      </c>
      <c r="K54" s="53" t="str">
        <f>IF(F54&gt;=CO_ATT_INPUTS!$C$327,CHAR(252),CHAR(251))</f>
        <v>ü</v>
      </c>
      <c r="L54" s="53" t="str">
        <f>IF(G54&gt;=CO_ATT_INPUTS!$C$327,CHAR(252),CHAR(251))</f>
        <v>û</v>
      </c>
      <c r="M54" s="53" t="str">
        <f>IF(H54&gt;=CO_ATT_INPUTS!$C$327,CHAR(252),CHAR(251))</f>
        <v>ü</v>
      </c>
      <c r="N54" s="54" t="str">
        <f>IF(I54&gt;=CO_ATT_INPUTS!$C$327,CHAR(252),CHAR(251))</f>
        <v>û</v>
      </c>
    </row>
    <row r="55" spans="1:14" s="51" customFormat="1" ht="37.5" customHeight="1" x14ac:dyDescent="0.25">
      <c r="A55" s="52">
        <f>CO_ATT_INPUTS!A55</f>
        <v>37</v>
      </c>
      <c r="B55" s="18" t="str">
        <f>CO_ATT_INPUTS!B55</f>
        <v>22CC037</v>
      </c>
      <c r="C55" s="19" t="str">
        <f>CO_ATT_INPUTS!C55</f>
        <v>722822115037</v>
      </c>
      <c r="D55" s="91" t="str">
        <f>CO_ATT_INPUTS!D55</f>
        <v>PUGALENTHI A S</v>
      </c>
      <c r="E55" s="19">
        <f>CO_ATT_INPUTS!AF55</f>
        <v>79.300000000000011</v>
      </c>
      <c r="F55" s="19">
        <f>CO_ATT_INPUTS!AG55</f>
        <v>70.8</v>
      </c>
      <c r="G55" s="19">
        <f>CO_ATT_INPUTS!AH55</f>
        <v>71.3</v>
      </c>
      <c r="H55" s="19">
        <f>CO_ATT_INPUTS!AI55</f>
        <v>71.050000000000011</v>
      </c>
      <c r="I55" s="19">
        <f>CO_ATT_INPUTS!AJ55</f>
        <v>74.050000000000011</v>
      </c>
      <c r="J55" s="53" t="str">
        <f>IF(E55&gt;=CO_ATT_INPUTS!$C$327,CHAR(252),CHAR(251))</f>
        <v>ü</v>
      </c>
      <c r="K55" s="53" t="str">
        <f>IF(F55&gt;=CO_ATT_INPUTS!$C$327,CHAR(252),CHAR(251))</f>
        <v>ü</v>
      </c>
      <c r="L55" s="53" t="str">
        <f>IF(G55&gt;=CO_ATT_INPUTS!$C$327,CHAR(252),CHAR(251))</f>
        <v>ü</v>
      </c>
      <c r="M55" s="53" t="str">
        <f>IF(H55&gt;=CO_ATT_INPUTS!$C$327,CHAR(252),CHAR(251))</f>
        <v>ü</v>
      </c>
      <c r="N55" s="54" t="str">
        <f>IF(I55&gt;=CO_ATT_INPUTS!$C$327,CHAR(252),CHAR(251))</f>
        <v>ü</v>
      </c>
    </row>
    <row r="56" spans="1:14" s="51" customFormat="1" ht="37.5" customHeight="1" x14ac:dyDescent="0.25">
      <c r="A56" s="52">
        <f>CO_ATT_INPUTS!A56</f>
        <v>38</v>
      </c>
      <c r="B56" s="18" t="str">
        <f>CO_ATT_INPUTS!B56</f>
        <v>22CC038</v>
      </c>
      <c r="C56" s="19" t="str">
        <f>CO_ATT_INPUTS!C56</f>
        <v>722822115038</v>
      </c>
      <c r="D56" s="91" t="str">
        <f>CO_ATT_INPUTS!D56</f>
        <v>RAJESH KUMAR M</v>
      </c>
      <c r="E56" s="19">
        <f>CO_ATT_INPUTS!AF56</f>
        <v>71.099999999999994</v>
      </c>
      <c r="F56" s="19">
        <f>CO_ATT_INPUTS!AG56</f>
        <v>56.1</v>
      </c>
      <c r="G56" s="19">
        <f>CO_ATT_INPUTS!AH56</f>
        <v>55.35</v>
      </c>
      <c r="H56" s="19">
        <f>CO_ATT_INPUTS!AI56</f>
        <v>64.599999999999994</v>
      </c>
      <c r="I56" s="19">
        <f>CO_ATT_INPUTS!AJ56</f>
        <v>62.6</v>
      </c>
      <c r="J56" s="53" t="str">
        <f>IF(E56&gt;=CO_ATT_INPUTS!$C$327,CHAR(252),CHAR(251))</f>
        <v>ü</v>
      </c>
      <c r="K56" s="53" t="str">
        <f>IF(F56&gt;=CO_ATT_INPUTS!$C$327,CHAR(252),CHAR(251))</f>
        <v>û</v>
      </c>
      <c r="L56" s="53" t="str">
        <f>IF(G56&gt;=CO_ATT_INPUTS!$C$327,CHAR(252),CHAR(251))</f>
        <v>û</v>
      </c>
      <c r="M56" s="53" t="str">
        <f>IF(H56&gt;=CO_ATT_INPUTS!$C$327,CHAR(252),CHAR(251))</f>
        <v>û</v>
      </c>
      <c r="N56" s="54" t="str">
        <f>IF(I56&gt;=CO_ATT_INPUTS!$C$327,CHAR(252),CHAR(251))</f>
        <v>û</v>
      </c>
    </row>
    <row r="57" spans="1:14" s="51" customFormat="1" ht="37.5" customHeight="1" x14ac:dyDescent="0.25">
      <c r="A57" s="52">
        <f>CO_ATT_INPUTS!A57</f>
        <v>39</v>
      </c>
      <c r="B57" s="18" t="str">
        <f>CO_ATT_INPUTS!B57</f>
        <v>22CC039</v>
      </c>
      <c r="C57" s="19" t="str">
        <f>CO_ATT_INPUTS!C57</f>
        <v>722822115039</v>
      </c>
      <c r="D57" s="91" t="str">
        <f>CO_ATT_INPUTS!D57</f>
        <v>RENUKA K</v>
      </c>
      <c r="E57" s="19">
        <f>CO_ATT_INPUTS!AF57</f>
        <v>86.800000000000011</v>
      </c>
      <c r="F57" s="19">
        <f>CO_ATT_INPUTS!AG57</f>
        <v>79.050000000000011</v>
      </c>
      <c r="G57" s="19">
        <f>CO_ATT_INPUTS!AH57</f>
        <v>69.800000000000011</v>
      </c>
      <c r="H57" s="19">
        <f>CO_ATT_INPUTS!AI57</f>
        <v>77.050000000000011</v>
      </c>
      <c r="I57" s="19">
        <f>CO_ATT_INPUTS!AJ57</f>
        <v>74.800000000000011</v>
      </c>
      <c r="J57" s="53" t="str">
        <f>IF(E57&gt;=CO_ATT_INPUTS!$C$327,CHAR(252),CHAR(251))</f>
        <v>ü</v>
      </c>
      <c r="K57" s="53" t="str">
        <f>IF(F57&gt;=CO_ATT_INPUTS!$C$327,CHAR(252),CHAR(251))</f>
        <v>ü</v>
      </c>
      <c r="L57" s="53" t="str">
        <f>IF(G57&gt;=CO_ATT_INPUTS!$C$327,CHAR(252),CHAR(251))</f>
        <v>û</v>
      </c>
      <c r="M57" s="53" t="str">
        <f>IF(H57&gt;=CO_ATT_INPUTS!$C$327,CHAR(252),CHAR(251))</f>
        <v>ü</v>
      </c>
      <c r="N57" s="54" t="str">
        <f>IF(I57&gt;=CO_ATT_INPUTS!$C$327,CHAR(252),CHAR(251))</f>
        <v>ü</v>
      </c>
    </row>
    <row r="58" spans="1:14" s="51" customFormat="1" ht="37.5" customHeight="1" x14ac:dyDescent="0.25">
      <c r="A58" s="52">
        <f>CO_ATT_INPUTS!A58</f>
        <v>40</v>
      </c>
      <c r="B58" s="18" t="str">
        <f>CO_ATT_INPUTS!B58</f>
        <v>22CC040</v>
      </c>
      <c r="C58" s="19" t="str">
        <f>CO_ATT_INPUTS!C58</f>
        <v>722822115040</v>
      </c>
      <c r="D58" s="91" t="str">
        <f>CO_ATT_INPUTS!D58</f>
        <v>RISHAB S</v>
      </c>
      <c r="E58" s="19">
        <f>CO_ATT_INPUTS!AF58</f>
        <v>69.8</v>
      </c>
      <c r="F58" s="19">
        <f>CO_ATT_INPUTS!AG58</f>
        <v>75.550000000000011</v>
      </c>
      <c r="G58" s="19">
        <f>CO_ATT_INPUTS!AH58</f>
        <v>70.05</v>
      </c>
      <c r="H58" s="19">
        <f>CO_ATT_INPUTS!AI58</f>
        <v>70.8</v>
      </c>
      <c r="I58" s="19">
        <f>CO_ATT_INPUTS!AJ58</f>
        <v>65.3</v>
      </c>
      <c r="J58" s="53" t="str">
        <f>IF(E58&gt;=CO_ATT_INPUTS!$C$327,CHAR(252),CHAR(251))</f>
        <v>û</v>
      </c>
      <c r="K58" s="53" t="str">
        <f>IF(F58&gt;=CO_ATT_INPUTS!$C$327,CHAR(252),CHAR(251))</f>
        <v>ü</v>
      </c>
      <c r="L58" s="53" t="str">
        <f>IF(G58&gt;=CO_ATT_INPUTS!$C$327,CHAR(252),CHAR(251))</f>
        <v>ü</v>
      </c>
      <c r="M58" s="53" t="str">
        <f>IF(H58&gt;=CO_ATT_INPUTS!$C$327,CHAR(252),CHAR(251))</f>
        <v>ü</v>
      </c>
      <c r="N58" s="54" t="str">
        <f>IF(I58&gt;=CO_ATT_INPUTS!$C$327,CHAR(252),CHAR(251))</f>
        <v>û</v>
      </c>
    </row>
    <row r="59" spans="1:14" s="51" customFormat="1" ht="37.5" customHeight="1" x14ac:dyDescent="0.25">
      <c r="A59" s="52">
        <f>CO_ATT_INPUTS!A59</f>
        <v>41</v>
      </c>
      <c r="B59" s="18" t="str">
        <f>CO_ATT_INPUTS!B59</f>
        <v>22CC041</v>
      </c>
      <c r="C59" s="19" t="str">
        <f>CO_ATT_INPUTS!C59</f>
        <v>722822115041</v>
      </c>
      <c r="D59" s="91" t="str">
        <f>CO_ATT_INPUTS!D59</f>
        <v>RITHIKA S</v>
      </c>
      <c r="E59" s="19">
        <f>CO_ATT_INPUTS!AF59</f>
        <v>85.1</v>
      </c>
      <c r="F59" s="19">
        <f>CO_ATT_INPUTS!AG59</f>
        <v>69.099999999999994</v>
      </c>
      <c r="G59" s="19">
        <f>CO_ATT_INPUTS!AH59</f>
        <v>80.849999999999994</v>
      </c>
      <c r="H59" s="19">
        <f>CO_ATT_INPUTS!AI59</f>
        <v>76.349999999999994</v>
      </c>
      <c r="I59" s="19">
        <f>CO_ATT_INPUTS!AJ59</f>
        <v>75.599999999999994</v>
      </c>
      <c r="J59" s="53" t="str">
        <f>IF(E59&gt;=CO_ATT_INPUTS!$C$327,CHAR(252),CHAR(251))</f>
        <v>ü</v>
      </c>
      <c r="K59" s="53" t="str">
        <f>IF(F59&gt;=CO_ATT_INPUTS!$C$327,CHAR(252),CHAR(251))</f>
        <v>û</v>
      </c>
      <c r="L59" s="53" t="str">
        <f>IF(G59&gt;=CO_ATT_INPUTS!$C$327,CHAR(252),CHAR(251))</f>
        <v>ü</v>
      </c>
      <c r="M59" s="53" t="str">
        <f>IF(H59&gt;=CO_ATT_INPUTS!$C$327,CHAR(252),CHAR(251))</f>
        <v>ü</v>
      </c>
      <c r="N59" s="54" t="str">
        <f>IF(I59&gt;=CO_ATT_INPUTS!$C$327,CHAR(252),CHAR(251))</f>
        <v>ü</v>
      </c>
    </row>
    <row r="60" spans="1:14" s="51" customFormat="1" ht="37.5" customHeight="1" x14ac:dyDescent="0.25">
      <c r="A60" s="52">
        <f>CO_ATT_INPUTS!A60</f>
        <v>42</v>
      </c>
      <c r="B60" s="18" t="str">
        <f>CO_ATT_INPUTS!B60</f>
        <v>22CC042</v>
      </c>
      <c r="C60" s="19" t="str">
        <f>CO_ATT_INPUTS!C60</f>
        <v>722822115042</v>
      </c>
      <c r="D60" s="91" t="str">
        <f>CO_ATT_INPUTS!D60</f>
        <v>RITHISH S</v>
      </c>
      <c r="E60" s="19">
        <f>CO_ATT_INPUTS!AF60</f>
        <v>76.300000000000011</v>
      </c>
      <c r="F60" s="19">
        <f>CO_ATT_INPUTS!AG60</f>
        <v>72.050000000000011</v>
      </c>
      <c r="G60" s="19">
        <f>CO_ATT_INPUTS!AH60</f>
        <v>72.3</v>
      </c>
      <c r="H60" s="19">
        <f>CO_ATT_INPUTS!AI60</f>
        <v>75.300000000000011</v>
      </c>
      <c r="I60" s="19">
        <f>CO_ATT_INPUTS!AJ60</f>
        <v>71.550000000000011</v>
      </c>
      <c r="J60" s="53" t="str">
        <f>IF(E60&gt;=CO_ATT_INPUTS!$C$327,CHAR(252),CHAR(251))</f>
        <v>ü</v>
      </c>
      <c r="K60" s="53" t="str">
        <f>IF(F60&gt;=CO_ATT_INPUTS!$C$327,CHAR(252),CHAR(251))</f>
        <v>ü</v>
      </c>
      <c r="L60" s="53" t="str">
        <f>IF(G60&gt;=CO_ATT_INPUTS!$C$327,CHAR(252),CHAR(251))</f>
        <v>ü</v>
      </c>
      <c r="M60" s="53" t="str">
        <f>IF(H60&gt;=CO_ATT_INPUTS!$C$327,CHAR(252),CHAR(251))</f>
        <v>ü</v>
      </c>
      <c r="N60" s="54" t="str">
        <f>IF(I60&gt;=CO_ATT_INPUTS!$C$327,CHAR(252),CHAR(251))</f>
        <v>ü</v>
      </c>
    </row>
    <row r="61" spans="1:14" s="51" customFormat="1" ht="37.5" customHeight="1" x14ac:dyDescent="0.25">
      <c r="A61" s="52">
        <f>CO_ATT_INPUTS!A61</f>
        <v>43</v>
      </c>
      <c r="B61" s="18" t="str">
        <f>CO_ATT_INPUTS!B61</f>
        <v>22CC043</v>
      </c>
      <c r="C61" s="19" t="str">
        <f>CO_ATT_INPUTS!C61</f>
        <v>722822115043</v>
      </c>
      <c r="D61" s="91" t="str">
        <f>CO_ATT_INPUTS!D61</f>
        <v>ROHIT K S</v>
      </c>
      <c r="E61" s="19">
        <f>CO_ATT_INPUTS!AF61</f>
        <v>81.900000000000006</v>
      </c>
      <c r="F61" s="19">
        <f>CO_ATT_INPUTS!AG61</f>
        <v>74.400000000000006</v>
      </c>
      <c r="G61" s="19">
        <f>CO_ATT_INPUTS!AH61</f>
        <v>65.150000000000006</v>
      </c>
      <c r="H61" s="19">
        <f>CO_ATT_INPUTS!AI61</f>
        <v>74.150000000000006</v>
      </c>
      <c r="I61" s="19">
        <f>CO_ATT_INPUTS!AJ61</f>
        <v>63.4</v>
      </c>
      <c r="J61" s="53" t="str">
        <f>IF(E61&gt;=CO_ATT_INPUTS!$C$327,CHAR(252),CHAR(251))</f>
        <v>ü</v>
      </c>
      <c r="K61" s="53" t="str">
        <f>IF(F61&gt;=CO_ATT_INPUTS!$C$327,CHAR(252),CHAR(251))</f>
        <v>ü</v>
      </c>
      <c r="L61" s="53" t="str">
        <f>IF(G61&gt;=CO_ATT_INPUTS!$C$327,CHAR(252),CHAR(251))</f>
        <v>û</v>
      </c>
      <c r="M61" s="53" t="str">
        <f>IF(H61&gt;=CO_ATT_INPUTS!$C$327,CHAR(252),CHAR(251))</f>
        <v>ü</v>
      </c>
      <c r="N61" s="54" t="str">
        <f>IF(I61&gt;=CO_ATT_INPUTS!$C$327,CHAR(252),CHAR(251))</f>
        <v>û</v>
      </c>
    </row>
    <row r="62" spans="1:14" s="51" customFormat="1" ht="37.5" customHeight="1" x14ac:dyDescent="0.25">
      <c r="A62" s="52">
        <f>CO_ATT_INPUTS!A62</f>
        <v>44</v>
      </c>
      <c r="B62" s="18" t="str">
        <f>CO_ATT_INPUTS!B62</f>
        <v>22CC044</v>
      </c>
      <c r="C62" s="19" t="str">
        <f>CO_ATT_INPUTS!C62</f>
        <v>722822115044</v>
      </c>
      <c r="D62" s="91" t="str">
        <f>CO_ATT_INPUTS!D62</f>
        <v>SAKTHI VIGNESH S</v>
      </c>
      <c r="E62" s="19">
        <f>CO_ATT_INPUTS!AF62</f>
        <v>79.550000000000011</v>
      </c>
      <c r="F62" s="19">
        <f>CO_ATT_INPUTS!AG62</f>
        <v>73.800000000000011</v>
      </c>
      <c r="G62" s="19">
        <f>CO_ATT_INPUTS!AH62</f>
        <v>74.550000000000011</v>
      </c>
      <c r="H62" s="19">
        <f>CO_ATT_INPUTS!AI62</f>
        <v>77.800000000000011</v>
      </c>
      <c r="I62" s="19">
        <f>CO_ATT_INPUTS!AJ62</f>
        <v>68.800000000000011</v>
      </c>
      <c r="J62" s="53" t="str">
        <f>IF(E62&gt;=CO_ATT_INPUTS!$C$327,CHAR(252),CHAR(251))</f>
        <v>ü</v>
      </c>
      <c r="K62" s="53" t="str">
        <f>IF(F62&gt;=CO_ATT_INPUTS!$C$327,CHAR(252),CHAR(251))</f>
        <v>ü</v>
      </c>
      <c r="L62" s="53" t="str">
        <f>IF(G62&gt;=CO_ATT_INPUTS!$C$327,CHAR(252),CHAR(251))</f>
        <v>ü</v>
      </c>
      <c r="M62" s="53" t="str">
        <f>IF(H62&gt;=CO_ATT_INPUTS!$C$327,CHAR(252),CHAR(251))</f>
        <v>ü</v>
      </c>
      <c r="N62" s="54" t="str">
        <f>IF(I62&gt;=CO_ATT_INPUTS!$C$327,CHAR(252),CHAR(251))</f>
        <v>û</v>
      </c>
    </row>
    <row r="63" spans="1:14" s="51" customFormat="1" ht="37.5" customHeight="1" x14ac:dyDescent="0.25">
      <c r="A63" s="52">
        <f>CO_ATT_INPUTS!A63</f>
        <v>45</v>
      </c>
      <c r="B63" s="18" t="str">
        <f>CO_ATT_INPUTS!B63</f>
        <v>22CC045</v>
      </c>
      <c r="C63" s="19" t="str">
        <f>CO_ATT_INPUTS!C63</f>
        <v>722822115045</v>
      </c>
      <c r="D63" s="91" t="str">
        <f>CO_ATT_INPUTS!D63</f>
        <v>SAKTHIVEL M</v>
      </c>
      <c r="E63" s="19">
        <f>CO_ATT_INPUTS!AF63</f>
        <v>87.7</v>
      </c>
      <c r="F63" s="19">
        <f>CO_ATT_INPUTS!AG63</f>
        <v>85.2</v>
      </c>
      <c r="G63" s="19">
        <f>CO_ATT_INPUTS!AH63</f>
        <v>77.95</v>
      </c>
      <c r="H63" s="19">
        <f>CO_ATT_INPUTS!AI63</f>
        <v>78.7</v>
      </c>
      <c r="I63" s="19">
        <f>CO_ATT_INPUTS!AJ63</f>
        <v>71.2</v>
      </c>
      <c r="J63" s="53" t="str">
        <f>IF(E63&gt;=CO_ATT_INPUTS!$C$327,CHAR(252),CHAR(251))</f>
        <v>ü</v>
      </c>
      <c r="K63" s="53" t="str">
        <f>IF(F63&gt;=CO_ATT_INPUTS!$C$327,CHAR(252),CHAR(251))</f>
        <v>ü</v>
      </c>
      <c r="L63" s="53" t="str">
        <f>IF(G63&gt;=CO_ATT_INPUTS!$C$327,CHAR(252),CHAR(251))</f>
        <v>ü</v>
      </c>
      <c r="M63" s="53" t="str">
        <f>IF(H63&gt;=CO_ATT_INPUTS!$C$327,CHAR(252),CHAR(251))</f>
        <v>ü</v>
      </c>
      <c r="N63" s="54" t="str">
        <f>IF(I63&gt;=CO_ATT_INPUTS!$C$327,CHAR(252),CHAR(251))</f>
        <v>ü</v>
      </c>
    </row>
    <row r="64" spans="1:14" s="51" customFormat="1" ht="37.5" customHeight="1" x14ac:dyDescent="0.25">
      <c r="A64" s="52">
        <f>CO_ATT_INPUTS!A64</f>
        <v>46</v>
      </c>
      <c r="B64" s="18" t="str">
        <f>CO_ATT_INPUTS!B64</f>
        <v>22CC046</v>
      </c>
      <c r="C64" s="19" t="str">
        <f>CO_ATT_INPUTS!C64</f>
        <v>722822115046</v>
      </c>
      <c r="D64" s="91" t="str">
        <f>CO_ATT_INPUTS!D64</f>
        <v>SAMRAAT M</v>
      </c>
      <c r="E64" s="19">
        <f>CO_ATT_INPUTS!AF64</f>
        <v>70.599999999999994</v>
      </c>
      <c r="F64" s="19">
        <f>CO_ATT_INPUTS!AG64</f>
        <v>73.599999999999994</v>
      </c>
      <c r="G64" s="19">
        <f>CO_ATT_INPUTS!AH64</f>
        <v>68.599999999999994</v>
      </c>
      <c r="H64" s="19">
        <f>CO_ATT_INPUTS!AI64</f>
        <v>66.849999999999994</v>
      </c>
      <c r="I64" s="19">
        <f>CO_ATT_INPUTS!AJ64</f>
        <v>65.599999999999994</v>
      </c>
      <c r="J64" s="53" t="str">
        <f>IF(E64&gt;=CO_ATT_INPUTS!$C$327,CHAR(252),CHAR(251))</f>
        <v>ü</v>
      </c>
      <c r="K64" s="53" t="str">
        <f>IF(F64&gt;=CO_ATT_INPUTS!$C$327,CHAR(252),CHAR(251))</f>
        <v>ü</v>
      </c>
      <c r="L64" s="53" t="str">
        <f>IF(G64&gt;=CO_ATT_INPUTS!$C$327,CHAR(252),CHAR(251))</f>
        <v>û</v>
      </c>
      <c r="M64" s="53" t="str">
        <f>IF(H64&gt;=CO_ATT_INPUTS!$C$327,CHAR(252),CHAR(251))</f>
        <v>û</v>
      </c>
      <c r="N64" s="54" t="str">
        <f>IF(I64&gt;=CO_ATT_INPUTS!$C$327,CHAR(252),CHAR(251))</f>
        <v>û</v>
      </c>
    </row>
    <row r="65" spans="1:14" s="51" customFormat="1" ht="37.5" customHeight="1" x14ac:dyDescent="0.25">
      <c r="A65" s="52">
        <f>CO_ATT_INPUTS!A65</f>
        <v>47</v>
      </c>
      <c r="B65" s="18" t="str">
        <f>CO_ATT_INPUTS!B65</f>
        <v>22CC047</v>
      </c>
      <c r="C65" s="19" t="str">
        <f>CO_ATT_INPUTS!C65</f>
        <v>722822115047</v>
      </c>
      <c r="D65" s="91" t="str">
        <f>CO_ATT_INPUTS!D65</f>
        <v>SHANMUGAPRIYA M</v>
      </c>
      <c r="E65" s="19">
        <f>CO_ATT_INPUTS!AF65</f>
        <v>86.800000000000011</v>
      </c>
      <c r="F65" s="19">
        <f>CO_ATT_INPUTS!AG65</f>
        <v>87.800000000000011</v>
      </c>
      <c r="G65" s="19">
        <f>CO_ATT_INPUTS!AH65</f>
        <v>81.550000000000011</v>
      </c>
      <c r="H65" s="19">
        <f>CO_ATT_INPUTS!AI65</f>
        <v>82.300000000000011</v>
      </c>
      <c r="I65" s="19">
        <f>CO_ATT_INPUTS!AJ65</f>
        <v>88.300000000000011</v>
      </c>
      <c r="J65" s="53" t="str">
        <f>IF(E65&gt;=CO_ATT_INPUTS!$C$327,CHAR(252),CHAR(251))</f>
        <v>ü</v>
      </c>
      <c r="K65" s="53" t="str">
        <f>IF(F65&gt;=CO_ATT_INPUTS!$C$327,CHAR(252),CHAR(251))</f>
        <v>ü</v>
      </c>
      <c r="L65" s="53" t="str">
        <f>IF(G65&gt;=CO_ATT_INPUTS!$C$327,CHAR(252),CHAR(251))</f>
        <v>ü</v>
      </c>
      <c r="M65" s="53" t="str">
        <f>IF(H65&gt;=CO_ATT_INPUTS!$C$327,CHAR(252),CHAR(251))</f>
        <v>ü</v>
      </c>
      <c r="N65" s="54" t="str">
        <f>IF(I65&gt;=CO_ATT_INPUTS!$C$327,CHAR(252),CHAR(251))</f>
        <v>ü</v>
      </c>
    </row>
    <row r="66" spans="1:14" s="51" customFormat="1" ht="37.5" customHeight="1" x14ac:dyDescent="0.25">
      <c r="A66" s="52">
        <f>CO_ATT_INPUTS!A66</f>
        <v>48</v>
      </c>
      <c r="B66" s="18" t="str">
        <f>CO_ATT_INPUTS!B66</f>
        <v>22CC048</v>
      </c>
      <c r="C66" s="19" t="str">
        <f>CO_ATT_INPUTS!C66</f>
        <v>722822115048</v>
      </c>
      <c r="D66" s="91" t="str">
        <f>CO_ATT_INPUTS!D66</f>
        <v>SHRINAYA S K</v>
      </c>
      <c r="E66" s="19">
        <f>CO_ATT_INPUTS!AF66</f>
        <v>87.9</v>
      </c>
      <c r="F66" s="19">
        <f>CO_ATT_INPUTS!AG66</f>
        <v>86.65</v>
      </c>
      <c r="G66" s="19">
        <f>CO_ATT_INPUTS!AH66</f>
        <v>88.15</v>
      </c>
      <c r="H66" s="19">
        <f>CO_ATT_INPUTS!AI66</f>
        <v>79.150000000000006</v>
      </c>
      <c r="I66" s="19">
        <f>CO_ATT_INPUTS!AJ66</f>
        <v>79.150000000000006</v>
      </c>
      <c r="J66" s="53" t="str">
        <f>IF(E66&gt;=CO_ATT_INPUTS!$C$327,CHAR(252),CHAR(251))</f>
        <v>ü</v>
      </c>
      <c r="K66" s="53" t="str">
        <f>IF(F66&gt;=CO_ATT_INPUTS!$C$327,CHAR(252),CHAR(251))</f>
        <v>ü</v>
      </c>
      <c r="L66" s="53" t="str">
        <f>IF(G66&gt;=CO_ATT_INPUTS!$C$327,CHAR(252),CHAR(251))</f>
        <v>ü</v>
      </c>
      <c r="M66" s="53" t="str">
        <f>IF(H66&gt;=CO_ATT_INPUTS!$C$327,CHAR(252),CHAR(251))</f>
        <v>ü</v>
      </c>
      <c r="N66" s="54" t="str">
        <f>IF(I66&gt;=CO_ATT_INPUTS!$C$327,CHAR(252),CHAR(251))</f>
        <v>ü</v>
      </c>
    </row>
    <row r="67" spans="1:14" s="51" customFormat="1" ht="37.5" customHeight="1" x14ac:dyDescent="0.25">
      <c r="A67" s="52">
        <f>CO_ATT_INPUTS!A67</f>
        <v>49</v>
      </c>
      <c r="B67" s="18" t="str">
        <f>CO_ATT_INPUTS!B67</f>
        <v>22CC049</v>
      </c>
      <c r="C67" s="19" t="str">
        <f>CO_ATT_INPUTS!C67</f>
        <v>722822115049</v>
      </c>
      <c r="D67" s="91" t="str">
        <f>CO_ATT_INPUTS!D67</f>
        <v>SIDDARTHAN S</v>
      </c>
      <c r="E67" s="19">
        <f>CO_ATT_INPUTS!AF67</f>
        <v>79.3</v>
      </c>
      <c r="F67" s="19">
        <f>CO_ATT_INPUTS!AG67</f>
        <v>70.05</v>
      </c>
      <c r="G67" s="19">
        <f>CO_ATT_INPUTS!AH67</f>
        <v>59.050000000000004</v>
      </c>
      <c r="H67" s="19">
        <f>CO_ATT_INPUTS!AI67</f>
        <v>74.050000000000011</v>
      </c>
      <c r="I67" s="19">
        <f>CO_ATT_INPUTS!AJ67</f>
        <v>74.300000000000011</v>
      </c>
      <c r="J67" s="53" t="str">
        <f>IF(E67&gt;=CO_ATT_INPUTS!$C$327,CHAR(252),CHAR(251))</f>
        <v>ü</v>
      </c>
      <c r="K67" s="53" t="str">
        <f>IF(F67&gt;=CO_ATT_INPUTS!$C$327,CHAR(252),CHAR(251))</f>
        <v>ü</v>
      </c>
      <c r="L67" s="53" t="str">
        <f>IF(G67&gt;=CO_ATT_INPUTS!$C$327,CHAR(252),CHAR(251))</f>
        <v>û</v>
      </c>
      <c r="M67" s="53" t="str">
        <f>IF(H67&gt;=CO_ATT_INPUTS!$C$327,CHAR(252),CHAR(251))</f>
        <v>ü</v>
      </c>
      <c r="N67" s="54" t="str">
        <f>IF(I67&gt;=CO_ATT_INPUTS!$C$327,CHAR(252),CHAR(251))</f>
        <v>ü</v>
      </c>
    </row>
    <row r="68" spans="1:14" s="51" customFormat="1" ht="37.5" customHeight="1" x14ac:dyDescent="0.25">
      <c r="A68" s="52">
        <f>CO_ATT_INPUTS!A68</f>
        <v>50</v>
      </c>
      <c r="B68" s="18" t="str">
        <f>CO_ATT_INPUTS!B68</f>
        <v>22CC050</v>
      </c>
      <c r="C68" s="19" t="str">
        <f>CO_ATT_INPUTS!C68</f>
        <v>722822115050</v>
      </c>
      <c r="D68" s="91" t="str">
        <f>CO_ATT_INPUTS!D68</f>
        <v>SIVANANTHAM A</v>
      </c>
      <c r="E68" s="19">
        <f>CO_ATT_INPUTS!AF68</f>
        <v>71.099999999999994</v>
      </c>
      <c r="F68" s="19">
        <f>CO_ATT_INPUTS!AG68</f>
        <v>73.599999999999994</v>
      </c>
      <c r="G68" s="19">
        <f>CO_ATT_INPUTS!AH68</f>
        <v>62.35</v>
      </c>
      <c r="H68" s="19">
        <f>CO_ATT_INPUTS!AI68</f>
        <v>70.349999999999994</v>
      </c>
      <c r="I68" s="19">
        <f>CO_ATT_INPUTS!AJ68</f>
        <v>68.849999999999994</v>
      </c>
      <c r="J68" s="53" t="str">
        <f>IF(E68&gt;=CO_ATT_INPUTS!$C$327,CHAR(252),CHAR(251))</f>
        <v>ü</v>
      </c>
      <c r="K68" s="53" t="str">
        <f>IF(F68&gt;=CO_ATT_INPUTS!$C$327,CHAR(252),CHAR(251))</f>
        <v>ü</v>
      </c>
      <c r="L68" s="53" t="str">
        <f>IF(G68&gt;=CO_ATT_INPUTS!$C$327,CHAR(252),CHAR(251))</f>
        <v>û</v>
      </c>
      <c r="M68" s="53" t="str">
        <f>IF(H68&gt;=CO_ATT_INPUTS!$C$327,CHAR(252),CHAR(251))</f>
        <v>ü</v>
      </c>
      <c r="N68" s="54" t="str">
        <f>IF(I68&gt;=CO_ATT_INPUTS!$C$327,CHAR(252),CHAR(251))</f>
        <v>û</v>
      </c>
    </row>
    <row r="69" spans="1:14" s="51" customFormat="1" ht="37.5" customHeight="1" x14ac:dyDescent="0.25">
      <c r="A69" s="52">
        <f>CO_ATT_INPUTS!A69</f>
        <v>51</v>
      </c>
      <c r="B69" s="18" t="str">
        <f>CO_ATT_INPUTS!B69</f>
        <v>22CC051</v>
      </c>
      <c r="C69" s="19" t="str">
        <f>CO_ATT_INPUTS!C69</f>
        <v>722822115051</v>
      </c>
      <c r="D69" s="91" t="str">
        <f>CO_ATT_INPUTS!D69</f>
        <v>SOFIYA NIVEDHINI  J</v>
      </c>
      <c r="E69" s="19">
        <f>CO_ATT_INPUTS!AF69</f>
        <v>36.150000000000006</v>
      </c>
      <c r="F69" s="19">
        <f>CO_ATT_INPUTS!AG69</f>
        <v>51.65</v>
      </c>
      <c r="G69" s="19">
        <f>CO_ATT_INPUTS!AH69</f>
        <v>40.900000000000006</v>
      </c>
      <c r="H69" s="19">
        <f>CO_ATT_INPUTS!AI69</f>
        <v>64.150000000000006</v>
      </c>
      <c r="I69" s="19">
        <f>CO_ATT_INPUTS!AJ69</f>
        <v>50.4</v>
      </c>
      <c r="J69" s="53" t="str">
        <f>IF(E69&gt;=CO_ATT_INPUTS!$C$327,CHAR(252),CHAR(251))</f>
        <v>û</v>
      </c>
      <c r="K69" s="53" t="str">
        <f>IF(F69&gt;=CO_ATT_INPUTS!$C$327,CHAR(252),CHAR(251))</f>
        <v>û</v>
      </c>
      <c r="L69" s="53" t="str">
        <f>IF(G69&gt;=CO_ATT_INPUTS!$C$327,CHAR(252),CHAR(251))</f>
        <v>û</v>
      </c>
      <c r="M69" s="53" t="str">
        <f>IF(H69&gt;=CO_ATT_INPUTS!$C$327,CHAR(252),CHAR(251))</f>
        <v>û</v>
      </c>
      <c r="N69" s="54" t="str">
        <f>IF(I69&gt;=CO_ATT_INPUTS!$C$327,CHAR(252),CHAR(251))</f>
        <v>û</v>
      </c>
    </row>
    <row r="70" spans="1:14" s="51" customFormat="1" ht="37.5" customHeight="1" x14ac:dyDescent="0.25">
      <c r="A70" s="52">
        <f>CO_ATT_INPUTS!A70</f>
        <v>52</v>
      </c>
      <c r="B70" s="18" t="str">
        <f>CO_ATT_INPUTS!B70</f>
        <v>22CC052</v>
      </c>
      <c r="C70" s="19" t="str">
        <f>CO_ATT_INPUTS!C70</f>
        <v>722822115052</v>
      </c>
      <c r="D70" s="91" t="str">
        <f>CO_ATT_INPUTS!D70</f>
        <v>SOWBHARNIKA  P G</v>
      </c>
      <c r="E70" s="19">
        <f>CO_ATT_INPUTS!AF70</f>
        <v>86.95</v>
      </c>
      <c r="F70" s="19">
        <f>CO_ATT_INPUTS!AG70</f>
        <v>82.2</v>
      </c>
      <c r="G70" s="19">
        <f>CO_ATT_INPUTS!AH70</f>
        <v>84.95</v>
      </c>
      <c r="H70" s="19">
        <f>CO_ATT_INPUTS!AI70</f>
        <v>88.95</v>
      </c>
      <c r="I70" s="19">
        <f>CO_ATT_INPUTS!AJ70</f>
        <v>85.45</v>
      </c>
      <c r="J70" s="53" t="str">
        <f>IF(E70&gt;=CO_ATT_INPUTS!$C$327,CHAR(252),CHAR(251))</f>
        <v>ü</v>
      </c>
      <c r="K70" s="53" t="str">
        <f>IF(F70&gt;=CO_ATT_INPUTS!$C$327,CHAR(252),CHAR(251))</f>
        <v>ü</v>
      </c>
      <c r="L70" s="53" t="str">
        <f>IF(G70&gt;=CO_ATT_INPUTS!$C$327,CHAR(252),CHAR(251))</f>
        <v>ü</v>
      </c>
      <c r="M70" s="53" t="str">
        <f>IF(H70&gt;=CO_ATT_INPUTS!$C$327,CHAR(252),CHAR(251))</f>
        <v>ü</v>
      </c>
      <c r="N70" s="54" t="str">
        <f>IF(I70&gt;=CO_ATT_INPUTS!$C$327,CHAR(252),CHAR(251))</f>
        <v>ü</v>
      </c>
    </row>
    <row r="71" spans="1:14" s="51" customFormat="1" ht="37.5" customHeight="1" x14ac:dyDescent="0.25">
      <c r="A71" s="52">
        <f>CO_ATT_INPUTS!A71</f>
        <v>53</v>
      </c>
      <c r="B71" s="18" t="str">
        <f>CO_ATT_INPUTS!B71</f>
        <v>22CC053</v>
      </c>
      <c r="C71" s="19" t="str">
        <f>CO_ATT_INPUTS!C71</f>
        <v>722822115053</v>
      </c>
      <c r="D71" s="91" t="str">
        <f>CO_ATT_INPUTS!D71</f>
        <v>SREEMATHI S</v>
      </c>
      <c r="E71" s="19">
        <f>CO_ATT_INPUTS!AF71</f>
        <v>86.050000000000011</v>
      </c>
      <c r="F71" s="19">
        <f>CO_ATT_INPUTS!AG71</f>
        <v>86.300000000000011</v>
      </c>
      <c r="G71" s="19">
        <f>CO_ATT_INPUTS!AH71</f>
        <v>87.300000000000011</v>
      </c>
      <c r="H71" s="19">
        <f>CO_ATT_INPUTS!AI71</f>
        <v>87.800000000000011</v>
      </c>
      <c r="I71" s="19">
        <f>CO_ATT_INPUTS!AJ71</f>
        <v>87.300000000000011</v>
      </c>
      <c r="J71" s="53" t="str">
        <f>IF(E71&gt;=CO_ATT_INPUTS!$C$327,CHAR(252),CHAR(251))</f>
        <v>ü</v>
      </c>
      <c r="K71" s="53" t="str">
        <f>IF(F71&gt;=CO_ATT_INPUTS!$C$327,CHAR(252),CHAR(251))</f>
        <v>ü</v>
      </c>
      <c r="L71" s="53" t="str">
        <f>IF(G71&gt;=CO_ATT_INPUTS!$C$327,CHAR(252),CHAR(251))</f>
        <v>ü</v>
      </c>
      <c r="M71" s="53" t="str">
        <f>IF(H71&gt;=CO_ATT_INPUTS!$C$327,CHAR(252),CHAR(251))</f>
        <v>ü</v>
      </c>
      <c r="N71" s="54" t="str">
        <f>IF(I71&gt;=CO_ATT_INPUTS!$C$327,CHAR(252),CHAR(251))</f>
        <v>ü</v>
      </c>
    </row>
    <row r="72" spans="1:14" s="51" customFormat="1" ht="37.5" customHeight="1" x14ac:dyDescent="0.25">
      <c r="A72" s="52">
        <f>CO_ATT_INPUTS!A72</f>
        <v>54</v>
      </c>
      <c r="B72" s="18" t="str">
        <f>CO_ATT_INPUTS!B72</f>
        <v>22CC054</v>
      </c>
      <c r="C72" s="19" t="str">
        <f>CO_ATT_INPUTS!C72</f>
        <v>722822115054</v>
      </c>
      <c r="D72" s="91" t="str">
        <f>CO_ATT_INPUTS!D72</f>
        <v>SRINIDHI P S</v>
      </c>
      <c r="E72" s="19">
        <f>CO_ATT_INPUTS!AF72</f>
        <v>88.4</v>
      </c>
      <c r="F72" s="19">
        <f>CO_ATT_INPUTS!AG72</f>
        <v>82.65</v>
      </c>
      <c r="G72" s="19">
        <f>CO_ATT_INPUTS!AH72</f>
        <v>89.9</v>
      </c>
      <c r="H72" s="19">
        <f>CO_ATT_INPUTS!AI72</f>
        <v>89.9</v>
      </c>
      <c r="I72" s="19">
        <f>CO_ATT_INPUTS!AJ72</f>
        <v>85.15</v>
      </c>
      <c r="J72" s="53" t="str">
        <f>IF(E72&gt;=CO_ATT_INPUTS!$C$327,CHAR(252),CHAR(251))</f>
        <v>ü</v>
      </c>
      <c r="K72" s="53" t="str">
        <f>IF(F72&gt;=CO_ATT_INPUTS!$C$327,CHAR(252),CHAR(251))</f>
        <v>ü</v>
      </c>
      <c r="L72" s="53" t="str">
        <f>IF(G72&gt;=CO_ATT_INPUTS!$C$327,CHAR(252),CHAR(251))</f>
        <v>ü</v>
      </c>
      <c r="M72" s="53" t="str">
        <f>IF(H72&gt;=CO_ATT_INPUTS!$C$327,CHAR(252),CHAR(251))</f>
        <v>ü</v>
      </c>
      <c r="N72" s="54" t="str">
        <f>IF(I72&gt;=CO_ATT_INPUTS!$C$327,CHAR(252),CHAR(251))</f>
        <v>ü</v>
      </c>
    </row>
    <row r="73" spans="1:14" s="51" customFormat="1" ht="37.5" customHeight="1" x14ac:dyDescent="0.25">
      <c r="A73" s="52">
        <f>CO_ATT_INPUTS!A73</f>
        <v>55</v>
      </c>
      <c r="B73" s="18" t="str">
        <f>CO_ATT_INPUTS!B73</f>
        <v>22CC055</v>
      </c>
      <c r="C73" s="19" t="str">
        <f>CO_ATT_INPUTS!C73</f>
        <v>722822115055</v>
      </c>
      <c r="D73" s="91" t="str">
        <f>CO_ATT_INPUTS!D73</f>
        <v>SUGIRTHA VARDHINI  M</v>
      </c>
      <c r="E73" s="19">
        <f>CO_ATT_INPUTS!AF73</f>
        <v>86.65</v>
      </c>
      <c r="F73" s="19">
        <f>CO_ATT_INPUTS!AG73</f>
        <v>88.9</v>
      </c>
      <c r="G73" s="19">
        <f>CO_ATT_INPUTS!AH73</f>
        <v>81.650000000000006</v>
      </c>
      <c r="H73" s="19">
        <f>CO_ATT_INPUTS!AI73</f>
        <v>82.15</v>
      </c>
      <c r="I73" s="19">
        <f>CO_ATT_INPUTS!AJ73</f>
        <v>82.4</v>
      </c>
      <c r="J73" s="53" t="str">
        <f>IF(E73&gt;=CO_ATT_INPUTS!$C$327,CHAR(252),CHAR(251))</f>
        <v>ü</v>
      </c>
      <c r="K73" s="53" t="str">
        <f>IF(F73&gt;=CO_ATT_INPUTS!$C$327,CHAR(252),CHAR(251))</f>
        <v>ü</v>
      </c>
      <c r="L73" s="53" t="str">
        <f>IF(G73&gt;=CO_ATT_INPUTS!$C$327,CHAR(252),CHAR(251))</f>
        <v>ü</v>
      </c>
      <c r="M73" s="53" t="str">
        <f>IF(H73&gt;=CO_ATT_INPUTS!$C$327,CHAR(252),CHAR(251))</f>
        <v>ü</v>
      </c>
      <c r="N73" s="54" t="str">
        <f>IF(I73&gt;=CO_ATT_INPUTS!$C$327,CHAR(252),CHAR(251))</f>
        <v>ü</v>
      </c>
    </row>
    <row r="74" spans="1:14" s="51" customFormat="1" ht="37.5" customHeight="1" x14ac:dyDescent="0.25">
      <c r="A74" s="52">
        <f>CO_ATT_INPUTS!A74</f>
        <v>56</v>
      </c>
      <c r="B74" s="18" t="str">
        <f>CO_ATT_INPUTS!B74</f>
        <v>22CC056</v>
      </c>
      <c r="C74" s="19" t="str">
        <f>CO_ATT_INPUTS!C74</f>
        <v>722822115056</v>
      </c>
      <c r="D74" s="91" t="str">
        <f>CO_ATT_INPUTS!D74</f>
        <v>SURRYA BHAARATHI S A</v>
      </c>
      <c r="E74" s="19">
        <f>CO_ATT_INPUTS!AF74</f>
        <v>76.099999999999994</v>
      </c>
      <c r="F74" s="19">
        <f>CO_ATT_INPUTS!AG74</f>
        <v>75.099999999999994</v>
      </c>
      <c r="G74" s="19">
        <f>CO_ATT_INPUTS!AH74</f>
        <v>67.099999999999994</v>
      </c>
      <c r="H74" s="19">
        <f>CO_ATT_INPUTS!AI74</f>
        <v>75.099999999999994</v>
      </c>
      <c r="I74" s="19">
        <f>CO_ATT_INPUTS!AJ74</f>
        <v>68.349999999999994</v>
      </c>
      <c r="J74" s="53" t="str">
        <f>IF(E74&gt;=CO_ATT_INPUTS!$C$327,CHAR(252),CHAR(251))</f>
        <v>ü</v>
      </c>
      <c r="K74" s="53" t="str">
        <f>IF(F74&gt;=CO_ATT_INPUTS!$C$327,CHAR(252),CHAR(251))</f>
        <v>ü</v>
      </c>
      <c r="L74" s="53" t="str">
        <f>IF(G74&gt;=CO_ATT_INPUTS!$C$327,CHAR(252),CHAR(251))</f>
        <v>û</v>
      </c>
      <c r="M74" s="53" t="str">
        <f>IF(H74&gt;=CO_ATT_INPUTS!$C$327,CHAR(252),CHAR(251))</f>
        <v>ü</v>
      </c>
      <c r="N74" s="54" t="str">
        <f>IF(I74&gt;=CO_ATT_INPUTS!$C$327,CHAR(252),CHAR(251))</f>
        <v>û</v>
      </c>
    </row>
    <row r="75" spans="1:14" s="51" customFormat="1" ht="37.5" customHeight="1" x14ac:dyDescent="0.25">
      <c r="A75" s="52">
        <f>CO_ATT_INPUTS!A75</f>
        <v>57</v>
      </c>
      <c r="B75" s="18" t="str">
        <f>CO_ATT_INPUTS!B75</f>
        <v>22CC057</v>
      </c>
      <c r="C75" s="19" t="str">
        <f>CO_ATT_INPUTS!C75</f>
        <v>722822115057</v>
      </c>
      <c r="D75" s="91" t="str">
        <f>CO_ATT_INPUTS!D75</f>
        <v>SWETHA S</v>
      </c>
      <c r="E75" s="19">
        <f>CO_ATT_INPUTS!AF75</f>
        <v>89.85</v>
      </c>
      <c r="F75" s="19">
        <f>CO_ATT_INPUTS!AG75</f>
        <v>83.6</v>
      </c>
      <c r="G75" s="19">
        <f>CO_ATT_INPUTS!AH75</f>
        <v>78.099999999999994</v>
      </c>
      <c r="H75" s="19">
        <f>CO_ATT_INPUTS!AI75</f>
        <v>80.349999999999994</v>
      </c>
      <c r="I75" s="19">
        <f>CO_ATT_INPUTS!AJ75</f>
        <v>77.349999999999994</v>
      </c>
      <c r="J75" s="53" t="str">
        <f>IF(E75&gt;=CO_ATT_INPUTS!$C$327,CHAR(252),CHAR(251))</f>
        <v>ü</v>
      </c>
      <c r="K75" s="53" t="str">
        <f>IF(F75&gt;=CO_ATT_INPUTS!$C$327,CHAR(252),CHAR(251))</f>
        <v>ü</v>
      </c>
      <c r="L75" s="53" t="str">
        <f>IF(G75&gt;=CO_ATT_INPUTS!$C$327,CHAR(252),CHAR(251))</f>
        <v>ü</v>
      </c>
      <c r="M75" s="53" t="str">
        <f>IF(H75&gt;=CO_ATT_INPUTS!$C$327,CHAR(252),CHAR(251))</f>
        <v>ü</v>
      </c>
      <c r="N75" s="54" t="str">
        <f>IF(I75&gt;=CO_ATT_INPUTS!$C$327,CHAR(252),CHAR(251))</f>
        <v>ü</v>
      </c>
    </row>
    <row r="76" spans="1:14" s="51" customFormat="1" ht="37.5" customHeight="1" x14ac:dyDescent="0.25">
      <c r="A76" s="52">
        <f>CO_ATT_INPUTS!A76</f>
        <v>58</v>
      </c>
      <c r="B76" s="18" t="str">
        <f>CO_ATT_INPUTS!B76</f>
        <v>22CC058</v>
      </c>
      <c r="C76" s="19" t="str">
        <f>CO_ATT_INPUTS!C76</f>
        <v>722822115058</v>
      </c>
      <c r="D76" s="91" t="str">
        <f>CO_ATT_INPUTS!D76</f>
        <v>TAMILKUMARAN N</v>
      </c>
      <c r="E76" s="19">
        <f>CO_ATT_INPUTS!AF76</f>
        <v>82</v>
      </c>
      <c r="F76" s="19">
        <f>CO_ATT_INPUTS!AG76</f>
        <v>83.25</v>
      </c>
      <c r="G76" s="19">
        <f>CO_ATT_INPUTS!AH76</f>
        <v>73.75</v>
      </c>
      <c r="H76" s="19">
        <f>CO_ATT_INPUTS!AI76</f>
        <v>78</v>
      </c>
      <c r="I76" s="19">
        <f>CO_ATT_INPUTS!AJ76</f>
        <v>74.5</v>
      </c>
      <c r="J76" s="53" t="str">
        <f>IF(E76&gt;=CO_ATT_INPUTS!$C$327,CHAR(252),CHAR(251))</f>
        <v>ü</v>
      </c>
      <c r="K76" s="53" t="str">
        <f>IF(F76&gt;=CO_ATT_INPUTS!$C$327,CHAR(252),CHAR(251))</f>
        <v>ü</v>
      </c>
      <c r="L76" s="53" t="str">
        <f>IF(G76&gt;=CO_ATT_INPUTS!$C$327,CHAR(252),CHAR(251))</f>
        <v>ü</v>
      </c>
      <c r="M76" s="53" t="str">
        <f>IF(H76&gt;=CO_ATT_INPUTS!$C$327,CHAR(252),CHAR(251))</f>
        <v>ü</v>
      </c>
      <c r="N76" s="54" t="str">
        <f>IF(I76&gt;=CO_ATT_INPUTS!$C$327,CHAR(252),CHAR(251))</f>
        <v>ü</v>
      </c>
    </row>
    <row r="77" spans="1:14" s="51" customFormat="1" ht="37.5" customHeight="1" x14ac:dyDescent="0.25">
      <c r="A77" s="52">
        <f>CO_ATT_INPUTS!A77</f>
        <v>59</v>
      </c>
      <c r="B77" s="18" t="str">
        <f>CO_ATT_INPUTS!B77</f>
        <v>22CC059</v>
      </c>
      <c r="C77" s="19" t="str">
        <f>CO_ATT_INPUTS!C77</f>
        <v>722822115059</v>
      </c>
      <c r="D77" s="91" t="str">
        <f>CO_ATT_INPUTS!D77</f>
        <v>VEDHA KAVYA SRI P</v>
      </c>
      <c r="E77" s="19">
        <f>CO_ATT_INPUTS!AF77</f>
        <v>77.8</v>
      </c>
      <c r="F77" s="19">
        <f>CO_ATT_INPUTS!AG77</f>
        <v>71.3</v>
      </c>
      <c r="G77" s="19">
        <f>CO_ATT_INPUTS!AH77</f>
        <v>78.3</v>
      </c>
      <c r="H77" s="19">
        <f>CO_ATT_INPUTS!AI77</f>
        <v>46.800000000000004</v>
      </c>
      <c r="I77" s="19">
        <f>CO_ATT_INPUTS!AJ77</f>
        <v>70.800000000000011</v>
      </c>
      <c r="J77" s="53" t="str">
        <f>IF(E77&gt;=CO_ATT_INPUTS!$C$327,CHAR(252),CHAR(251))</f>
        <v>ü</v>
      </c>
      <c r="K77" s="53" t="str">
        <f>IF(F77&gt;=CO_ATT_INPUTS!$C$327,CHAR(252),CHAR(251))</f>
        <v>ü</v>
      </c>
      <c r="L77" s="53" t="str">
        <f>IF(G77&gt;=CO_ATT_INPUTS!$C$327,CHAR(252),CHAR(251))</f>
        <v>ü</v>
      </c>
      <c r="M77" s="53" t="str">
        <f>IF(H77&gt;=CO_ATT_INPUTS!$C$327,CHAR(252),CHAR(251))</f>
        <v>û</v>
      </c>
      <c r="N77" s="54" t="str">
        <f>IF(I77&gt;=CO_ATT_INPUTS!$C$327,CHAR(252),CHAR(251))</f>
        <v>ü</v>
      </c>
    </row>
    <row r="78" spans="1:14" s="51" customFormat="1" ht="37.5" customHeight="1" x14ac:dyDescent="0.25">
      <c r="A78" s="52">
        <f>CO_ATT_INPUTS!A78</f>
        <v>60</v>
      </c>
      <c r="B78" s="18" t="str">
        <f>CO_ATT_INPUTS!B78</f>
        <v>22CC060</v>
      </c>
      <c r="C78" s="19" t="str">
        <f>CO_ATT_INPUTS!C78</f>
        <v>722822115060</v>
      </c>
      <c r="D78" s="91" t="str">
        <f>CO_ATT_INPUTS!D78</f>
        <v>VISHAL KUMAR S</v>
      </c>
      <c r="E78" s="19">
        <f>CO_ATT_INPUTS!AF78</f>
        <v>71.900000000000006</v>
      </c>
      <c r="F78" s="19">
        <f>CO_ATT_INPUTS!AG78</f>
        <v>54.900000000000006</v>
      </c>
      <c r="G78" s="19">
        <f>CO_ATT_INPUTS!AH78</f>
        <v>57.65</v>
      </c>
      <c r="H78" s="19">
        <f>CO_ATT_INPUTS!AI78</f>
        <v>58.400000000000006</v>
      </c>
      <c r="I78" s="19">
        <f>CO_ATT_INPUTS!AJ78</f>
        <v>56.150000000000006</v>
      </c>
      <c r="J78" s="53" t="str">
        <f>IF(E78&gt;=CO_ATT_INPUTS!$C$327,CHAR(252),CHAR(251))</f>
        <v>ü</v>
      </c>
      <c r="K78" s="53" t="str">
        <f>IF(F78&gt;=CO_ATT_INPUTS!$C$327,CHAR(252),CHAR(251))</f>
        <v>û</v>
      </c>
      <c r="L78" s="53" t="str">
        <f>IF(G78&gt;=CO_ATT_INPUTS!$C$327,CHAR(252),CHAR(251))</f>
        <v>û</v>
      </c>
      <c r="M78" s="53" t="str">
        <f>IF(H78&gt;=CO_ATT_INPUTS!$C$327,CHAR(252),CHAR(251))</f>
        <v>û</v>
      </c>
      <c r="N78" s="54" t="str">
        <f>IF(I78&gt;=CO_ATT_INPUTS!$C$327,CHAR(252),CHAR(251))</f>
        <v>û</v>
      </c>
    </row>
    <row r="79" spans="1:14" s="51" customFormat="1" ht="37.5" customHeight="1" x14ac:dyDescent="0.25">
      <c r="A79" s="52">
        <f>CO_ATT_INPUTS!A79</f>
        <v>61</v>
      </c>
      <c r="B79" s="18" t="str">
        <f>CO_ATT_INPUTS!B79</f>
        <v>22CC061</v>
      </c>
      <c r="C79" s="19" t="str">
        <f>CO_ATT_INPUTS!C79</f>
        <v>722822115061</v>
      </c>
      <c r="D79" s="91" t="str">
        <f>CO_ATT_INPUTS!D79</f>
        <v>YALINI S</v>
      </c>
      <c r="E79" s="19">
        <f>CO_ATT_INPUTS!AF79</f>
        <v>89.9</v>
      </c>
      <c r="F79" s="19">
        <f>CO_ATT_INPUTS!AG79</f>
        <v>89.9</v>
      </c>
      <c r="G79" s="19">
        <f>CO_ATT_INPUTS!AH79</f>
        <v>82.15</v>
      </c>
      <c r="H79" s="19">
        <f>CO_ATT_INPUTS!AI79</f>
        <v>74.150000000000006</v>
      </c>
      <c r="I79" s="19">
        <f>CO_ATT_INPUTS!AJ79</f>
        <v>73.400000000000006</v>
      </c>
      <c r="J79" s="53" t="str">
        <f>IF(E79&gt;=CO_ATT_INPUTS!$C$327,CHAR(252),CHAR(251))</f>
        <v>ü</v>
      </c>
      <c r="K79" s="53" t="str">
        <f>IF(F79&gt;=CO_ATT_INPUTS!$C$327,CHAR(252),CHAR(251))</f>
        <v>ü</v>
      </c>
      <c r="L79" s="53" t="str">
        <f>IF(G79&gt;=CO_ATT_INPUTS!$C$327,CHAR(252),CHAR(251))</f>
        <v>ü</v>
      </c>
      <c r="M79" s="53" t="str">
        <f>IF(H79&gt;=CO_ATT_INPUTS!$C$327,CHAR(252),CHAR(251))</f>
        <v>ü</v>
      </c>
      <c r="N79" s="54" t="str">
        <f>IF(I79&gt;=CO_ATT_INPUTS!$C$327,CHAR(252),CHAR(251))</f>
        <v>ü</v>
      </c>
    </row>
    <row r="80" spans="1:14" s="51" customFormat="1" ht="37.5" customHeight="1" x14ac:dyDescent="0.25">
      <c r="A80" s="52">
        <f>CO_ATT_INPUTS!A80</f>
        <v>62</v>
      </c>
      <c r="B80" s="18" t="str">
        <f>CO_ATT_INPUTS!B80</f>
        <v>22CC062</v>
      </c>
      <c r="C80" s="19" t="str">
        <f>CO_ATT_INPUTS!C80</f>
        <v>722822115062</v>
      </c>
      <c r="D80" s="91" t="str">
        <f>CO_ATT_INPUTS!D80</f>
        <v>YASHWANTH B</v>
      </c>
      <c r="E80" s="19">
        <f>CO_ATT_INPUTS!AF80</f>
        <v>84.25</v>
      </c>
      <c r="F80" s="19">
        <f>CO_ATT_INPUTS!AG80</f>
        <v>80.5</v>
      </c>
      <c r="G80" s="19">
        <f>CO_ATT_INPUTS!AH80</f>
        <v>80.5</v>
      </c>
      <c r="H80" s="19">
        <f>CO_ATT_INPUTS!AI80</f>
        <v>81</v>
      </c>
      <c r="I80" s="19">
        <f>CO_ATT_INPUTS!AJ80</f>
        <v>79.25</v>
      </c>
      <c r="J80" s="53" t="str">
        <f>IF(E80&gt;=CO_ATT_INPUTS!$C$327,CHAR(252),CHAR(251))</f>
        <v>ü</v>
      </c>
      <c r="K80" s="53" t="str">
        <f>IF(F80&gt;=CO_ATT_INPUTS!$C$327,CHAR(252),CHAR(251))</f>
        <v>ü</v>
      </c>
      <c r="L80" s="53" t="str">
        <f>IF(G80&gt;=CO_ATT_INPUTS!$C$327,CHAR(252),CHAR(251))</f>
        <v>ü</v>
      </c>
      <c r="M80" s="53" t="str">
        <f>IF(H80&gt;=CO_ATT_INPUTS!$C$327,CHAR(252),CHAR(251))</f>
        <v>ü</v>
      </c>
      <c r="N80" s="54" t="str">
        <f>IF(I80&gt;=CO_ATT_INPUTS!$C$327,CHAR(252),CHAR(251))</f>
        <v>ü</v>
      </c>
    </row>
    <row r="81" spans="1:14" s="51" customFormat="1" ht="37.5" customHeight="1" x14ac:dyDescent="0.25">
      <c r="A81" s="52">
        <f>CO_ATT_INPUTS!A81</f>
        <v>63</v>
      </c>
      <c r="B81" s="18" t="str">
        <f>CO_ATT_INPUTS!B81</f>
        <v>22CC063</v>
      </c>
      <c r="C81" s="19" t="str">
        <f>CO_ATT_INPUTS!C81</f>
        <v>722822115063</v>
      </c>
      <c r="D81" s="91" t="str">
        <f>CO_ATT_INPUTS!D81</f>
        <v>YUKESH R</v>
      </c>
      <c r="E81" s="19">
        <f>CO_ATT_INPUTS!AF81</f>
        <v>78.45</v>
      </c>
      <c r="F81" s="19">
        <f>CO_ATT_INPUTS!AG81</f>
        <v>71.95</v>
      </c>
      <c r="G81" s="19">
        <f>CO_ATT_INPUTS!AH81</f>
        <v>70.7</v>
      </c>
      <c r="H81" s="19">
        <f>CO_ATT_INPUTS!AI81</f>
        <v>67.45</v>
      </c>
      <c r="I81" s="19">
        <f>CO_ATT_INPUTS!AJ81</f>
        <v>71.7</v>
      </c>
      <c r="J81" s="53" t="str">
        <f>IF(E81&gt;=CO_ATT_INPUTS!$C$327,CHAR(252),CHAR(251))</f>
        <v>ü</v>
      </c>
      <c r="K81" s="53" t="str">
        <f>IF(F81&gt;=CO_ATT_INPUTS!$C$327,CHAR(252),CHAR(251))</f>
        <v>ü</v>
      </c>
      <c r="L81" s="53" t="str">
        <f>IF(G81&gt;=CO_ATT_INPUTS!$C$327,CHAR(252),CHAR(251))</f>
        <v>ü</v>
      </c>
      <c r="M81" s="53" t="str">
        <f>IF(H81&gt;=CO_ATT_INPUTS!$C$327,CHAR(252),CHAR(251))</f>
        <v>û</v>
      </c>
      <c r="N81" s="54" t="str">
        <f>IF(I81&gt;=CO_ATT_INPUTS!$C$327,CHAR(252),CHAR(251))</f>
        <v>ü</v>
      </c>
    </row>
    <row r="82" spans="1:14" s="51" customFormat="1" ht="37.5" customHeight="1" x14ac:dyDescent="0.25">
      <c r="A82" s="52">
        <f>CO_ATT_INPUTS!A82</f>
        <v>64</v>
      </c>
      <c r="B82" s="18" t="str">
        <f>CO_ATT_INPUTS!B82</f>
        <v>22CC301</v>
      </c>
      <c r="C82" s="19" t="str">
        <f>CO_ATT_INPUTS!C82</f>
        <v>722822115301</v>
      </c>
      <c r="D82" s="91" t="str">
        <f>CO_ATT_INPUTS!D82</f>
        <v>AJITH DAS S</v>
      </c>
      <c r="E82" s="19">
        <f>CO_ATT_INPUTS!AF82</f>
        <v>65.05</v>
      </c>
      <c r="F82" s="19">
        <f>CO_ATT_INPUTS!AG82</f>
        <v>68.05</v>
      </c>
      <c r="G82" s="19">
        <f>CO_ATT_INPUTS!AH82</f>
        <v>66.55</v>
      </c>
      <c r="H82" s="19">
        <f>CO_ATT_INPUTS!AI82</f>
        <v>73.800000000000011</v>
      </c>
      <c r="I82" s="19">
        <f>CO_ATT_INPUTS!AJ82</f>
        <v>64.300000000000011</v>
      </c>
      <c r="J82" s="53" t="str">
        <f>IF(E82&gt;=CO_ATT_INPUTS!$C$327,CHAR(252),CHAR(251))</f>
        <v>û</v>
      </c>
      <c r="K82" s="53" t="str">
        <f>IF(F82&gt;=CO_ATT_INPUTS!$C$327,CHAR(252),CHAR(251))</f>
        <v>û</v>
      </c>
      <c r="L82" s="53" t="str">
        <f>IF(G82&gt;=CO_ATT_INPUTS!$C$327,CHAR(252),CHAR(251))</f>
        <v>û</v>
      </c>
      <c r="M82" s="53" t="str">
        <f>IF(H82&gt;=CO_ATT_INPUTS!$C$327,CHAR(252),CHAR(251))</f>
        <v>ü</v>
      </c>
      <c r="N82" s="54" t="str">
        <f>IF(I82&gt;=CO_ATT_INPUTS!$C$327,CHAR(252),CHAR(251))</f>
        <v>û</v>
      </c>
    </row>
    <row r="83" spans="1:14" s="51" customFormat="1" ht="37.5" customHeight="1" x14ac:dyDescent="0.25">
      <c r="A83" s="52">
        <f>CO_ATT_INPUTS!A83</f>
        <v>65</v>
      </c>
      <c r="B83" s="18" t="str">
        <f>CO_ATT_INPUTS!B83</f>
        <v>22CC302</v>
      </c>
      <c r="C83" s="19" t="str">
        <f>CO_ATT_INPUTS!C83</f>
        <v>722822115302</v>
      </c>
      <c r="D83" s="91" t="str">
        <f>CO_ATT_INPUTS!D83</f>
        <v>RAKESH M</v>
      </c>
      <c r="E83" s="19">
        <f>CO_ATT_INPUTS!AF83</f>
        <v>84.2</v>
      </c>
      <c r="F83" s="19">
        <f>CO_ATT_INPUTS!AG83</f>
        <v>76.2</v>
      </c>
      <c r="G83" s="19">
        <f>CO_ATT_INPUTS!AH83</f>
        <v>79.7</v>
      </c>
      <c r="H83" s="19">
        <f>CO_ATT_INPUTS!AI83</f>
        <v>82.2</v>
      </c>
      <c r="I83" s="19">
        <f>CO_ATT_INPUTS!AJ83</f>
        <v>81.45</v>
      </c>
      <c r="J83" s="53" t="str">
        <f>IF(E83&gt;=CO_ATT_INPUTS!$C$327,CHAR(252),CHAR(251))</f>
        <v>ü</v>
      </c>
      <c r="K83" s="53" t="str">
        <f>IF(F83&gt;=CO_ATT_INPUTS!$C$327,CHAR(252),CHAR(251))</f>
        <v>ü</v>
      </c>
      <c r="L83" s="53" t="str">
        <f>IF(G83&gt;=CO_ATT_INPUTS!$C$327,CHAR(252),CHAR(251))</f>
        <v>ü</v>
      </c>
      <c r="M83" s="53" t="str">
        <f>IF(H83&gt;=CO_ATT_INPUTS!$C$327,CHAR(252),CHAR(251))</f>
        <v>ü</v>
      </c>
      <c r="N83" s="54" t="str">
        <f>IF(I83&gt;=CO_ATT_INPUTS!$C$327,CHAR(252),CHAR(251))</f>
        <v>ü</v>
      </c>
    </row>
    <row r="84" spans="1:14" s="51" customFormat="1" ht="37.5" hidden="1" customHeight="1" x14ac:dyDescent="0.25">
      <c r="A84" s="52">
        <f>CO_ATT_INPUTS!A84</f>
        <v>66</v>
      </c>
      <c r="B84" s="18">
        <f>CO_ATT_INPUTS!B84</f>
        <v>0</v>
      </c>
      <c r="C84" s="19">
        <f>CO_ATT_INPUTS!C84</f>
        <v>0</v>
      </c>
      <c r="D84" s="91">
        <f>CO_ATT_INPUTS!D84</f>
        <v>0</v>
      </c>
      <c r="E84" s="19">
        <f>CO_ATT_INPUTS!AF84</f>
        <v>0</v>
      </c>
      <c r="F84" s="19">
        <f>CO_ATT_INPUTS!AG84</f>
        <v>0</v>
      </c>
      <c r="G84" s="19">
        <f>CO_ATT_INPUTS!AH84</f>
        <v>0</v>
      </c>
      <c r="H84" s="19">
        <f>CO_ATT_INPUTS!AI84</f>
        <v>0</v>
      </c>
      <c r="I84" s="19">
        <f>CO_ATT_INPUTS!AJ84</f>
        <v>0</v>
      </c>
      <c r="J84" s="53" t="str">
        <f>IF(E84&gt;=CO_ATT_INPUTS!$C$327,CHAR(252),CHAR(251))</f>
        <v>û</v>
      </c>
      <c r="K84" s="53" t="str">
        <f>IF(F84&gt;=CO_ATT_INPUTS!$C$327,CHAR(252),CHAR(251))</f>
        <v>û</v>
      </c>
      <c r="L84" s="53" t="str">
        <f>IF(G84&gt;=CO_ATT_INPUTS!$C$327,CHAR(252),CHAR(251))</f>
        <v>û</v>
      </c>
      <c r="M84" s="53" t="str">
        <f>IF(H84&gt;=CO_ATT_INPUTS!$C$327,CHAR(252),CHAR(251))</f>
        <v>û</v>
      </c>
      <c r="N84" s="54" t="str">
        <f>IF(I84&gt;=CO_ATT_INPUTS!$C$327,CHAR(252),CHAR(251))</f>
        <v>û</v>
      </c>
    </row>
    <row r="85" spans="1:14" s="51" customFormat="1" ht="37.5" hidden="1" customHeight="1" x14ac:dyDescent="0.25">
      <c r="A85" s="52">
        <f>CO_ATT_INPUTS!A85</f>
        <v>67</v>
      </c>
      <c r="B85" s="18">
        <f>CO_ATT_INPUTS!B85</f>
        <v>0</v>
      </c>
      <c r="C85" s="19">
        <f>CO_ATT_INPUTS!C85</f>
        <v>0</v>
      </c>
      <c r="D85" s="91">
        <f>CO_ATT_INPUTS!D85</f>
        <v>0</v>
      </c>
      <c r="E85" s="19">
        <f>CO_ATT_INPUTS!AF85</f>
        <v>0</v>
      </c>
      <c r="F85" s="19">
        <f>CO_ATT_INPUTS!AG85</f>
        <v>0</v>
      </c>
      <c r="G85" s="19">
        <f>CO_ATT_INPUTS!AH85</f>
        <v>0</v>
      </c>
      <c r="H85" s="19">
        <f>CO_ATT_INPUTS!AI85</f>
        <v>0</v>
      </c>
      <c r="I85" s="19">
        <f>CO_ATT_INPUTS!AJ85</f>
        <v>0</v>
      </c>
      <c r="J85" s="53" t="str">
        <f>IF(E85&gt;=CO_ATT_INPUTS!$C$327,CHAR(252),CHAR(251))</f>
        <v>û</v>
      </c>
      <c r="K85" s="53" t="str">
        <f>IF(F85&gt;=CO_ATT_INPUTS!$C$327,CHAR(252),CHAR(251))</f>
        <v>û</v>
      </c>
      <c r="L85" s="53" t="str">
        <f>IF(G85&gt;=CO_ATT_INPUTS!$C$327,CHAR(252),CHAR(251))</f>
        <v>û</v>
      </c>
      <c r="M85" s="53" t="str">
        <f>IF(H85&gt;=CO_ATT_INPUTS!$C$327,CHAR(252),CHAR(251))</f>
        <v>û</v>
      </c>
      <c r="N85" s="54" t="str">
        <f>IF(I85&gt;=CO_ATT_INPUTS!$C$327,CHAR(252),CHAR(251))</f>
        <v>û</v>
      </c>
    </row>
    <row r="86" spans="1:14" s="51" customFormat="1" ht="37.5" hidden="1" customHeight="1" x14ac:dyDescent="0.25">
      <c r="A86" s="52">
        <f>CO_ATT_INPUTS!A86</f>
        <v>68</v>
      </c>
      <c r="B86" s="18">
        <f>CO_ATT_INPUTS!B86</f>
        <v>0</v>
      </c>
      <c r="C86" s="19">
        <f>CO_ATT_INPUTS!C86</f>
        <v>0</v>
      </c>
      <c r="D86" s="91">
        <f>CO_ATT_INPUTS!D86</f>
        <v>0</v>
      </c>
      <c r="E86" s="19">
        <f>CO_ATT_INPUTS!AF86</f>
        <v>0</v>
      </c>
      <c r="F86" s="19">
        <f>CO_ATT_INPUTS!AG86</f>
        <v>0</v>
      </c>
      <c r="G86" s="19">
        <f>CO_ATT_INPUTS!AH86</f>
        <v>0</v>
      </c>
      <c r="H86" s="19">
        <f>CO_ATT_INPUTS!AI86</f>
        <v>0</v>
      </c>
      <c r="I86" s="19">
        <f>CO_ATT_INPUTS!AJ86</f>
        <v>0</v>
      </c>
      <c r="J86" s="53" t="str">
        <f>IF(E86&gt;=CO_ATT_INPUTS!$C$327,CHAR(252),CHAR(251))</f>
        <v>û</v>
      </c>
      <c r="K86" s="53" t="str">
        <f>IF(F86&gt;=CO_ATT_INPUTS!$C$327,CHAR(252),CHAR(251))</f>
        <v>û</v>
      </c>
      <c r="L86" s="53" t="str">
        <f>IF(G86&gt;=CO_ATT_INPUTS!$C$327,CHAR(252),CHAR(251))</f>
        <v>û</v>
      </c>
      <c r="M86" s="53" t="str">
        <f>IF(H86&gt;=CO_ATT_INPUTS!$C$327,CHAR(252),CHAR(251))</f>
        <v>û</v>
      </c>
      <c r="N86" s="54" t="str">
        <f>IF(I86&gt;=CO_ATT_INPUTS!$C$327,CHAR(252),CHAR(251))</f>
        <v>û</v>
      </c>
    </row>
    <row r="87" spans="1:14" s="51" customFormat="1" ht="37.5" hidden="1" customHeight="1" x14ac:dyDescent="0.25">
      <c r="A87" s="52">
        <f>CO_ATT_INPUTS!A87</f>
        <v>69</v>
      </c>
      <c r="B87" s="18">
        <f>CO_ATT_INPUTS!B87</f>
        <v>0</v>
      </c>
      <c r="C87" s="19">
        <f>CO_ATT_INPUTS!C87</f>
        <v>0</v>
      </c>
      <c r="D87" s="91">
        <f>CO_ATT_INPUTS!D87</f>
        <v>0</v>
      </c>
      <c r="E87" s="19">
        <f>CO_ATT_INPUTS!AF87</f>
        <v>0</v>
      </c>
      <c r="F87" s="19">
        <f>CO_ATT_INPUTS!AG87</f>
        <v>0</v>
      </c>
      <c r="G87" s="19">
        <f>CO_ATT_INPUTS!AH87</f>
        <v>0</v>
      </c>
      <c r="H87" s="19">
        <f>CO_ATT_INPUTS!AI87</f>
        <v>0</v>
      </c>
      <c r="I87" s="19">
        <f>CO_ATT_INPUTS!AJ87</f>
        <v>0</v>
      </c>
      <c r="J87" s="53" t="str">
        <f>IF(E87&gt;=CO_ATT_INPUTS!$C$327,CHAR(252),CHAR(251))</f>
        <v>û</v>
      </c>
      <c r="K87" s="53" t="str">
        <f>IF(F87&gt;=CO_ATT_INPUTS!$C$327,CHAR(252),CHAR(251))</f>
        <v>û</v>
      </c>
      <c r="L87" s="53" t="str">
        <f>IF(G87&gt;=CO_ATT_INPUTS!$C$327,CHAR(252),CHAR(251))</f>
        <v>û</v>
      </c>
      <c r="M87" s="53" t="str">
        <f>IF(H87&gt;=CO_ATT_INPUTS!$C$327,CHAR(252),CHAR(251))</f>
        <v>û</v>
      </c>
      <c r="N87" s="54" t="str">
        <f>IF(I87&gt;=CO_ATT_INPUTS!$C$327,CHAR(252),CHAR(251))</f>
        <v>û</v>
      </c>
    </row>
    <row r="88" spans="1:14" s="51" customFormat="1" ht="37.5" hidden="1" customHeight="1" x14ac:dyDescent="0.25">
      <c r="A88" s="52">
        <f>CO_ATT_INPUTS!A88</f>
        <v>70</v>
      </c>
      <c r="B88" s="18">
        <f>CO_ATT_INPUTS!B88</f>
        <v>0</v>
      </c>
      <c r="C88" s="19">
        <f>CO_ATT_INPUTS!C88</f>
        <v>0</v>
      </c>
      <c r="D88" s="91">
        <f>CO_ATT_INPUTS!D88</f>
        <v>0</v>
      </c>
      <c r="E88" s="19">
        <f>CO_ATT_INPUTS!AF88</f>
        <v>0</v>
      </c>
      <c r="F88" s="19">
        <f>CO_ATT_INPUTS!AG88</f>
        <v>0</v>
      </c>
      <c r="G88" s="19">
        <f>CO_ATT_INPUTS!AH88</f>
        <v>0</v>
      </c>
      <c r="H88" s="19">
        <f>CO_ATT_INPUTS!AI88</f>
        <v>0</v>
      </c>
      <c r="I88" s="19">
        <f>CO_ATT_INPUTS!AJ88</f>
        <v>0</v>
      </c>
      <c r="J88" s="53" t="str">
        <f>IF(E88&gt;=CO_ATT_INPUTS!$C$327,CHAR(252),CHAR(251))</f>
        <v>û</v>
      </c>
      <c r="K88" s="53" t="str">
        <f>IF(F88&gt;=CO_ATT_INPUTS!$C$327,CHAR(252),CHAR(251))</f>
        <v>û</v>
      </c>
      <c r="L88" s="53" t="str">
        <f>IF(G88&gt;=CO_ATT_INPUTS!$C$327,CHAR(252),CHAR(251))</f>
        <v>û</v>
      </c>
      <c r="M88" s="53" t="str">
        <f>IF(H88&gt;=CO_ATT_INPUTS!$C$327,CHAR(252),CHAR(251))</f>
        <v>û</v>
      </c>
      <c r="N88" s="54" t="str">
        <f>IF(I88&gt;=CO_ATT_INPUTS!$C$327,CHAR(252),CHAR(251))</f>
        <v>û</v>
      </c>
    </row>
    <row r="89" spans="1:14" s="51" customFormat="1" ht="37.5" hidden="1" customHeight="1" x14ac:dyDescent="0.25">
      <c r="A89" s="52">
        <f>CO_ATT_INPUTS!A89</f>
        <v>71</v>
      </c>
      <c r="B89" s="18">
        <f>CO_ATT_INPUTS!B89</f>
        <v>0</v>
      </c>
      <c r="C89" s="19">
        <f>CO_ATT_INPUTS!C89</f>
        <v>0</v>
      </c>
      <c r="D89" s="91">
        <f>CO_ATT_INPUTS!D89</f>
        <v>0</v>
      </c>
      <c r="E89" s="19">
        <f>CO_ATT_INPUTS!AF89</f>
        <v>0</v>
      </c>
      <c r="F89" s="19">
        <f>CO_ATT_INPUTS!AG89</f>
        <v>0</v>
      </c>
      <c r="G89" s="19">
        <f>CO_ATT_INPUTS!AH89</f>
        <v>0</v>
      </c>
      <c r="H89" s="19">
        <f>CO_ATT_INPUTS!AI89</f>
        <v>0</v>
      </c>
      <c r="I89" s="19">
        <f>CO_ATT_INPUTS!AJ89</f>
        <v>0</v>
      </c>
      <c r="J89" s="53" t="str">
        <f>IF(E89&gt;=CO_ATT_INPUTS!$C$327,CHAR(252),CHAR(251))</f>
        <v>û</v>
      </c>
      <c r="K89" s="53" t="str">
        <f>IF(F89&gt;=CO_ATT_INPUTS!$C$327,CHAR(252),CHAR(251))</f>
        <v>û</v>
      </c>
      <c r="L89" s="53" t="str">
        <f>IF(G89&gt;=CO_ATT_INPUTS!$C$327,CHAR(252),CHAR(251))</f>
        <v>û</v>
      </c>
      <c r="M89" s="53" t="str">
        <f>IF(H89&gt;=CO_ATT_INPUTS!$C$327,CHAR(252),CHAR(251))</f>
        <v>û</v>
      </c>
      <c r="N89" s="54" t="str">
        <f>IF(I89&gt;=CO_ATT_INPUTS!$C$327,CHAR(252),CHAR(251))</f>
        <v>û</v>
      </c>
    </row>
    <row r="90" spans="1:14" s="51" customFormat="1" ht="37.5" hidden="1" customHeight="1" x14ac:dyDescent="0.25">
      <c r="A90" s="52">
        <f>CO_ATT_INPUTS!A90</f>
        <v>72</v>
      </c>
      <c r="B90" s="18">
        <f>CO_ATT_INPUTS!B90</f>
        <v>0</v>
      </c>
      <c r="C90" s="19">
        <f>CO_ATT_INPUTS!C90</f>
        <v>0</v>
      </c>
      <c r="D90" s="91">
        <f>CO_ATT_INPUTS!D90</f>
        <v>0</v>
      </c>
      <c r="E90" s="19">
        <f>CO_ATT_INPUTS!AF90</f>
        <v>0</v>
      </c>
      <c r="F90" s="19">
        <f>CO_ATT_INPUTS!AG90</f>
        <v>0</v>
      </c>
      <c r="G90" s="19">
        <f>CO_ATT_INPUTS!AH90</f>
        <v>0</v>
      </c>
      <c r="H90" s="19">
        <f>CO_ATT_INPUTS!AI90</f>
        <v>0</v>
      </c>
      <c r="I90" s="19">
        <f>CO_ATT_INPUTS!AJ90</f>
        <v>0</v>
      </c>
      <c r="J90" s="53" t="str">
        <f>IF(E90&gt;=CO_ATT_INPUTS!$C$327,CHAR(252),CHAR(251))</f>
        <v>û</v>
      </c>
      <c r="K90" s="53" t="str">
        <f>IF(F90&gt;=CO_ATT_INPUTS!$C$327,CHAR(252),CHAR(251))</f>
        <v>û</v>
      </c>
      <c r="L90" s="53" t="str">
        <f>IF(G90&gt;=CO_ATT_INPUTS!$C$327,CHAR(252),CHAR(251))</f>
        <v>û</v>
      </c>
      <c r="M90" s="53" t="str">
        <f>IF(H90&gt;=CO_ATT_INPUTS!$C$327,CHAR(252),CHAR(251))</f>
        <v>û</v>
      </c>
      <c r="N90" s="54" t="str">
        <f>IF(I90&gt;=CO_ATT_INPUTS!$C$327,CHAR(252),CHAR(251))</f>
        <v>û</v>
      </c>
    </row>
    <row r="91" spans="1:14" s="51" customFormat="1" ht="37.5" hidden="1" customHeight="1" x14ac:dyDescent="0.25">
      <c r="A91" s="52">
        <f>CO_ATT_INPUTS!A91</f>
        <v>73</v>
      </c>
      <c r="B91" s="18">
        <f>CO_ATT_INPUTS!B91</f>
        <v>0</v>
      </c>
      <c r="C91" s="19">
        <f>CO_ATT_INPUTS!C91</f>
        <v>0</v>
      </c>
      <c r="D91" s="91">
        <f>CO_ATT_INPUTS!D91</f>
        <v>0</v>
      </c>
      <c r="E91" s="19">
        <f>CO_ATT_INPUTS!AF91</f>
        <v>0</v>
      </c>
      <c r="F91" s="19">
        <f>CO_ATT_INPUTS!AG91</f>
        <v>0</v>
      </c>
      <c r="G91" s="19">
        <f>CO_ATT_INPUTS!AH91</f>
        <v>0</v>
      </c>
      <c r="H91" s="19">
        <f>CO_ATT_INPUTS!AI91</f>
        <v>0</v>
      </c>
      <c r="I91" s="19">
        <f>CO_ATT_INPUTS!AJ91</f>
        <v>0</v>
      </c>
      <c r="J91" s="53" t="str">
        <f>IF(E91&gt;=CO_ATT_INPUTS!$C$327,CHAR(252),CHAR(251))</f>
        <v>û</v>
      </c>
      <c r="K91" s="53" t="str">
        <f>IF(F91&gt;=CO_ATT_INPUTS!$C$327,CHAR(252),CHAR(251))</f>
        <v>û</v>
      </c>
      <c r="L91" s="53" t="str">
        <f>IF(G91&gt;=CO_ATT_INPUTS!$C$327,CHAR(252),CHAR(251))</f>
        <v>û</v>
      </c>
      <c r="M91" s="53" t="str">
        <f>IF(H91&gt;=CO_ATT_INPUTS!$C$327,CHAR(252),CHAR(251))</f>
        <v>û</v>
      </c>
      <c r="N91" s="54" t="str">
        <f>IF(I91&gt;=CO_ATT_INPUTS!$C$327,CHAR(252),CHAR(251))</f>
        <v>û</v>
      </c>
    </row>
    <row r="92" spans="1:14" s="51" customFormat="1" ht="37.5" hidden="1" customHeight="1" x14ac:dyDescent="0.25">
      <c r="A92" s="52">
        <f>CO_ATT_INPUTS!A92</f>
        <v>74</v>
      </c>
      <c r="B92" s="18">
        <f>CO_ATT_INPUTS!B92</f>
        <v>0</v>
      </c>
      <c r="C92" s="19">
        <f>CO_ATT_INPUTS!C92</f>
        <v>0</v>
      </c>
      <c r="D92" s="91">
        <f>CO_ATT_INPUTS!D92</f>
        <v>0</v>
      </c>
      <c r="E92" s="19">
        <f>CO_ATT_INPUTS!AF92</f>
        <v>0</v>
      </c>
      <c r="F92" s="19">
        <f>CO_ATT_INPUTS!AG92</f>
        <v>0</v>
      </c>
      <c r="G92" s="19">
        <f>CO_ATT_INPUTS!AH92</f>
        <v>0</v>
      </c>
      <c r="H92" s="19">
        <f>CO_ATT_INPUTS!AI92</f>
        <v>0</v>
      </c>
      <c r="I92" s="19">
        <f>CO_ATT_INPUTS!AJ92</f>
        <v>0</v>
      </c>
      <c r="J92" s="53" t="str">
        <f>IF(E92&gt;=CO_ATT_INPUTS!$C$327,CHAR(252),CHAR(251))</f>
        <v>û</v>
      </c>
      <c r="K92" s="53" t="str">
        <f>IF(F92&gt;=CO_ATT_INPUTS!$C$327,CHAR(252),CHAR(251))</f>
        <v>û</v>
      </c>
      <c r="L92" s="53" t="str">
        <f>IF(G92&gt;=CO_ATT_INPUTS!$C$327,CHAR(252),CHAR(251))</f>
        <v>û</v>
      </c>
      <c r="M92" s="53" t="str">
        <f>IF(H92&gt;=CO_ATT_INPUTS!$C$327,CHAR(252),CHAR(251))</f>
        <v>û</v>
      </c>
      <c r="N92" s="54" t="str">
        <f>IF(I92&gt;=CO_ATT_INPUTS!$C$327,CHAR(252),CHAR(251))</f>
        <v>û</v>
      </c>
    </row>
    <row r="93" spans="1:14" s="51" customFormat="1" ht="37.5" hidden="1" customHeight="1" x14ac:dyDescent="0.25">
      <c r="A93" s="52">
        <f>CO_ATT_INPUTS!A93</f>
        <v>75</v>
      </c>
      <c r="B93" s="18">
        <f>CO_ATT_INPUTS!B93</f>
        <v>0</v>
      </c>
      <c r="C93" s="19">
        <f>CO_ATT_INPUTS!C93</f>
        <v>0</v>
      </c>
      <c r="D93" s="91">
        <f>CO_ATT_INPUTS!D93</f>
        <v>0</v>
      </c>
      <c r="E93" s="19">
        <f>CO_ATT_INPUTS!AF93</f>
        <v>0</v>
      </c>
      <c r="F93" s="19">
        <f>CO_ATT_INPUTS!AG93</f>
        <v>0</v>
      </c>
      <c r="G93" s="19">
        <f>CO_ATT_INPUTS!AH93</f>
        <v>0</v>
      </c>
      <c r="H93" s="19">
        <f>CO_ATT_INPUTS!AI93</f>
        <v>0</v>
      </c>
      <c r="I93" s="19">
        <f>CO_ATT_INPUTS!AJ93</f>
        <v>0</v>
      </c>
      <c r="J93" s="53" t="str">
        <f>IF(E93&gt;=CO_ATT_INPUTS!$C$327,CHAR(252),CHAR(251))</f>
        <v>û</v>
      </c>
      <c r="K93" s="53" t="str">
        <f>IF(F93&gt;=CO_ATT_INPUTS!$C$327,CHAR(252),CHAR(251))</f>
        <v>û</v>
      </c>
      <c r="L93" s="53" t="str">
        <f>IF(G93&gt;=CO_ATT_INPUTS!$C$327,CHAR(252),CHAR(251))</f>
        <v>û</v>
      </c>
      <c r="M93" s="53" t="str">
        <f>IF(H93&gt;=CO_ATT_INPUTS!$C$327,CHAR(252),CHAR(251))</f>
        <v>û</v>
      </c>
      <c r="N93" s="54" t="str">
        <f>IF(I93&gt;=CO_ATT_INPUTS!$C$327,CHAR(252),CHAR(251))</f>
        <v>û</v>
      </c>
    </row>
    <row r="94" spans="1:14" s="51" customFormat="1" ht="37.5" hidden="1" customHeight="1" x14ac:dyDescent="0.25">
      <c r="A94" s="52">
        <f>CO_ATT_INPUTS!A94</f>
        <v>76</v>
      </c>
      <c r="B94" s="18">
        <f>CO_ATT_INPUTS!B94</f>
        <v>0</v>
      </c>
      <c r="C94" s="19">
        <f>CO_ATT_INPUTS!C94</f>
        <v>0</v>
      </c>
      <c r="D94" s="91">
        <f>CO_ATT_INPUTS!D94</f>
        <v>0</v>
      </c>
      <c r="E94" s="19">
        <f>CO_ATT_INPUTS!AF94</f>
        <v>0</v>
      </c>
      <c r="F94" s="19">
        <f>CO_ATT_INPUTS!AG94</f>
        <v>0</v>
      </c>
      <c r="G94" s="19">
        <f>CO_ATT_INPUTS!AH94</f>
        <v>0</v>
      </c>
      <c r="H94" s="19">
        <f>CO_ATT_INPUTS!AI94</f>
        <v>0</v>
      </c>
      <c r="I94" s="19">
        <f>CO_ATT_INPUTS!AJ94</f>
        <v>0</v>
      </c>
      <c r="J94" s="53" t="str">
        <f>IF(E94&gt;=CO_ATT_INPUTS!$C$327,CHAR(252),CHAR(251))</f>
        <v>û</v>
      </c>
      <c r="K94" s="53" t="str">
        <f>IF(F94&gt;=CO_ATT_INPUTS!$C$327,CHAR(252),CHAR(251))</f>
        <v>û</v>
      </c>
      <c r="L94" s="53" t="str">
        <f>IF(G94&gt;=CO_ATT_INPUTS!$C$327,CHAR(252),CHAR(251))</f>
        <v>û</v>
      </c>
      <c r="M94" s="53" t="str">
        <f>IF(H94&gt;=CO_ATT_INPUTS!$C$327,CHAR(252),CHAR(251))</f>
        <v>û</v>
      </c>
      <c r="N94" s="54" t="str">
        <f>IF(I94&gt;=CO_ATT_INPUTS!$C$327,CHAR(252),CHAR(251))</f>
        <v>û</v>
      </c>
    </row>
    <row r="95" spans="1:14" s="51" customFormat="1" ht="37.5" hidden="1" customHeight="1" x14ac:dyDescent="0.25">
      <c r="A95" s="52">
        <f>CO_ATT_INPUTS!A95</f>
        <v>77</v>
      </c>
      <c r="B95" s="18">
        <f>CO_ATT_INPUTS!B95</f>
        <v>0</v>
      </c>
      <c r="C95" s="19">
        <f>CO_ATT_INPUTS!C95</f>
        <v>0</v>
      </c>
      <c r="D95" s="91">
        <f>CO_ATT_INPUTS!D95</f>
        <v>0</v>
      </c>
      <c r="E95" s="19">
        <f>CO_ATT_INPUTS!AF95</f>
        <v>0</v>
      </c>
      <c r="F95" s="19">
        <f>CO_ATT_INPUTS!AG95</f>
        <v>0</v>
      </c>
      <c r="G95" s="19">
        <f>CO_ATT_INPUTS!AH95</f>
        <v>0</v>
      </c>
      <c r="H95" s="19">
        <f>CO_ATT_INPUTS!AI95</f>
        <v>0</v>
      </c>
      <c r="I95" s="19">
        <f>CO_ATT_INPUTS!AJ95</f>
        <v>0</v>
      </c>
      <c r="J95" s="53" t="str">
        <f>IF(E95&gt;=CO_ATT_INPUTS!$C$327,CHAR(252),CHAR(251))</f>
        <v>û</v>
      </c>
      <c r="K95" s="53" t="str">
        <f>IF(F95&gt;=CO_ATT_INPUTS!$C$327,CHAR(252),CHAR(251))</f>
        <v>û</v>
      </c>
      <c r="L95" s="53" t="str">
        <f>IF(G95&gt;=CO_ATT_INPUTS!$C$327,CHAR(252),CHAR(251))</f>
        <v>û</v>
      </c>
      <c r="M95" s="53" t="str">
        <f>IF(H95&gt;=CO_ATT_INPUTS!$C$327,CHAR(252),CHAR(251))</f>
        <v>û</v>
      </c>
      <c r="N95" s="54" t="str">
        <f>IF(I95&gt;=CO_ATT_INPUTS!$C$327,CHAR(252),CHAR(251))</f>
        <v>û</v>
      </c>
    </row>
    <row r="96" spans="1:14" s="51" customFormat="1" ht="37.5" hidden="1" customHeight="1" x14ac:dyDescent="0.25">
      <c r="A96" s="52">
        <f>CO_ATT_INPUTS!A96</f>
        <v>78</v>
      </c>
      <c r="B96" s="18">
        <f>CO_ATT_INPUTS!B96</f>
        <v>0</v>
      </c>
      <c r="C96" s="19">
        <f>CO_ATT_INPUTS!C96</f>
        <v>0</v>
      </c>
      <c r="D96" s="91">
        <f>CO_ATT_INPUTS!D96</f>
        <v>0</v>
      </c>
      <c r="E96" s="19">
        <f>CO_ATT_INPUTS!AF96</f>
        <v>0</v>
      </c>
      <c r="F96" s="19">
        <f>CO_ATT_INPUTS!AG96</f>
        <v>0</v>
      </c>
      <c r="G96" s="19">
        <f>CO_ATT_INPUTS!AH96</f>
        <v>0</v>
      </c>
      <c r="H96" s="19">
        <f>CO_ATT_INPUTS!AI96</f>
        <v>0</v>
      </c>
      <c r="I96" s="19">
        <f>CO_ATT_INPUTS!AJ96</f>
        <v>0</v>
      </c>
      <c r="J96" s="53" t="str">
        <f>IF(E96&gt;=CO_ATT_INPUTS!$C$327,CHAR(252),CHAR(251))</f>
        <v>û</v>
      </c>
      <c r="K96" s="53" t="str">
        <f>IF(F96&gt;=CO_ATT_INPUTS!$C$327,CHAR(252),CHAR(251))</f>
        <v>û</v>
      </c>
      <c r="L96" s="53" t="str">
        <f>IF(G96&gt;=CO_ATT_INPUTS!$C$327,CHAR(252),CHAR(251))</f>
        <v>û</v>
      </c>
      <c r="M96" s="53" t="str">
        <f>IF(H96&gt;=CO_ATT_INPUTS!$C$327,CHAR(252),CHAR(251))</f>
        <v>û</v>
      </c>
      <c r="N96" s="54" t="str">
        <f>IF(I96&gt;=CO_ATT_INPUTS!$C$327,CHAR(252),CHAR(251))</f>
        <v>û</v>
      </c>
    </row>
    <row r="97" spans="1:14" s="51" customFormat="1" ht="37.5" hidden="1" customHeight="1" x14ac:dyDescent="0.25">
      <c r="A97" s="52">
        <f>CO_ATT_INPUTS!A97</f>
        <v>79</v>
      </c>
      <c r="B97" s="18">
        <f>CO_ATT_INPUTS!B97</f>
        <v>0</v>
      </c>
      <c r="C97" s="19">
        <f>CO_ATT_INPUTS!C97</f>
        <v>0</v>
      </c>
      <c r="D97" s="91">
        <f>CO_ATT_INPUTS!D97</f>
        <v>0</v>
      </c>
      <c r="E97" s="19">
        <f>CO_ATT_INPUTS!AF97</f>
        <v>0</v>
      </c>
      <c r="F97" s="19">
        <f>CO_ATT_INPUTS!AG97</f>
        <v>0</v>
      </c>
      <c r="G97" s="19">
        <f>CO_ATT_INPUTS!AH97</f>
        <v>0</v>
      </c>
      <c r="H97" s="19">
        <f>CO_ATT_INPUTS!AI97</f>
        <v>0</v>
      </c>
      <c r="I97" s="19">
        <f>CO_ATT_INPUTS!AJ97</f>
        <v>0</v>
      </c>
      <c r="J97" s="53" t="str">
        <f>IF(E97&gt;=CO_ATT_INPUTS!$C$327,CHAR(252),CHAR(251))</f>
        <v>û</v>
      </c>
      <c r="K97" s="53" t="str">
        <f>IF(F97&gt;=CO_ATT_INPUTS!$C$327,CHAR(252),CHAR(251))</f>
        <v>û</v>
      </c>
      <c r="L97" s="53" t="str">
        <f>IF(G97&gt;=CO_ATT_INPUTS!$C$327,CHAR(252),CHAR(251))</f>
        <v>û</v>
      </c>
      <c r="M97" s="53" t="str">
        <f>IF(H97&gt;=CO_ATT_INPUTS!$C$327,CHAR(252),CHAR(251))</f>
        <v>û</v>
      </c>
      <c r="N97" s="54" t="str">
        <f>IF(I97&gt;=CO_ATT_INPUTS!$C$327,CHAR(252),CHAR(251))</f>
        <v>û</v>
      </c>
    </row>
    <row r="98" spans="1:14" s="51" customFormat="1" ht="37.5" hidden="1" customHeight="1" x14ac:dyDescent="0.25">
      <c r="A98" s="52">
        <f>CO_ATT_INPUTS!A98</f>
        <v>80</v>
      </c>
      <c r="B98" s="18">
        <f>CO_ATT_INPUTS!B98</f>
        <v>0</v>
      </c>
      <c r="C98" s="19">
        <f>CO_ATT_INPUTS!C98</f>
        <v>0</v>
      </c>
      <c r="D98" s="91">
        <f>CO_ATT_INPUTS!D98</f>
        <v>0</v>
      </c>
      <c r="E98" s="19">
        <f>CO_ATT_INPUTS!AF98</f>
        <v>0</v>
      </c>
      <c r="F98" s="19">
        <f>CO_ATT_INPUTS!AG98</f>
        <v>0</v>
      </c>
      <c r="G98" s="19">
        <f>CO_ATT_INPUTS!AH98</f>
        <v>0</v>
      </c>
      <c r="H98" s="19">
        <f>CO_ATT_INPUTS!AI98</f>
        <v>0</v>
      </c>
      <c r="I98" s="19">
        <f>CO_ATT_INPUTS!AJ98</f>
        <v>0</v>
      </c>
      <c r="J98" s="53" t="str">
        <f>IF(E98&gt;=CO_ATT_INPUTS!$C$327,CHAR(252),CHAR(251))</f>
        <v>û</v>
      </c>
      <c r="K98" s="53" t="str">
        <f>IF(F98&gt;=CO_ATT_INPUTS!$C$327,CHAR(252),CHAR(251))</f>
        <v>û</v>
      </c>
      <c r="L98" s="53" t="str">
        <f>IF(G98&gt;=CO_ATT_INPUTS!$C$327,CHAR(252),CHAR(251))</f>
        <v>û</v>
      </c>
      <c r="M98" s="53" t="str">
        <f>IF(H98&gt;=CO_ATT_INPUTS!$C$327,CHAR(252),CHAR(251))</f>
        <v>û</v>
      </c>
      <c r="N98" s="54" t="str">
        <f>IF(I98&gt;=CO_ATT_INPUTS!$C$327,CHAR(252),CHAR(251))</f>
        <v>û</v>
      </c>
    </row>
    <row r="99" spans="1:14" s="51" customFormat="1" ht="37.5" hidden="1" customHeight="1" x14ac:dyDescent="0.25">
      <c r="A99" s="52">
        <f>CO_ATT_INPUTS!A99</f>
        <v>81</v>
      </c>
      <c r="B99" s="18">
        <f>CO_ATT_INPUTS!B99</f>
        <v>0</v>
      </c>
      <c r="C99" s="19">
        <f>CO_ATT_INPUTS!C99</f>
        <v>0</v>
      </c>
      <c r="D99" s="91">
        <f>CO_ATT_INPUTS!D99</f>
        <v>0</v>
      </c>
      <c r="E99" s="19">
        <f>CO_ATT_INPUTS!AF99</f>
        <v>0</v>
      </c>
      <c r="F99" s="19">
        <f>CO_ATT_INPUTS!AG99</f>
        <v>0</v>
      </c>
      <c r="G99" s="19">
        <f>CO_ATT_INPUTS!AH99</f>
        <v>0</v>
      </c>
      <c r="H99" s="19">
        <f>CO_ATT_INPUTS!AI99</f>
        <v>0</v>
      </c>
      <c r="I99" s="19">
        <f>CO_ATT_INPUTS!AJ99</f>
        <v>0</v>
      </c>
      <c r="J99" s="53" t="str">
        <f>IF(E99&gt;=CO_ATT_INPUTS!$C$327,CHAR(252),CHAR(251))</f>
        <v>û</v>
      </c>
      <c r="K99" s="53" t="str">
        <f>IF(F99&gt;=CO_ATT_INPUTS!$C$327,CHAR(252),CHAR(251))</f>
        <v>û</v>
      </c>
      <c r="L99" s="53" t="str">
        <f>IF(G99&gt;=CO_ATT_INPUTS!$C$327,CHAR(252),CHAR(251))</f>
        <v>û</v>
      </c>
      <c r="M99" s="53" t="str">
        <f>IF(H99&gt;=CO_ATT_INPUTS!$C$327,CHAR(252),CHAR(251))</f>
        <v>û</v>
      </c>
      <c r="N99" s="54" t="str">
        <f>IF(I99&gt;=CO_ATT_INPUTS!$C$327,CHAR(252),CHAR(251))</f>
        <v>û</v>
      </c>
    </row>
    <row r="100" spans="1:14" s="51" customFormat="1" ht="37.5" hidden="1" customHeight="1" x14ac:dyDescent="0.25">
      <c r="A100" s="52">
        <f>CO_ATT_INPUTS!A100</f>
        <v>82</v>
      </c>
      <c r="B100" s="18">
        <f>CO_ATT_INPUTS!B100</f>
        <v>0</v>
      </c>
      <c r="C100" s="19">
        <f>CO_ATT_INPUTS!C100</f>
        <v>0</v>
      </c>
      <c r="D100" s="91">
        <f>CO_ATT_INPUTS!D100</f>
        <v>0</v>
      </c>
      <c r="E100" s="19">
        <f>CO_ATT_INPUTS!AF100</f>
        <v>0</v>
      </c>
      <c r="F100" s="19">
        <f>CO_ATT_INPUTS!AG100</f>
        <v>0</v>
      </c>
      <c r="G100" s="19">
        <f>CO_ATT_INPUTS!AH100</f>
        <v>0</v>
      </c>
      <c r="H100" s="19">
        <f>CO_ATT_INPUTS!AI100</f>
        <v>0</v>
      </c>
      <c r="I100" s="19">
        <f>CO_ATT_INPUTS!AJ100</f>
        <v>0</v>
      </c>
      <c r="J100" s="53" t="str">
        <f>IF(E100&gt;=CO_ATT_INPUTS!$C$327,CHAR(252),CHAR(251))</f>
        <v>û</v>
      </c>
      <c r="K100" s="53" t="str">
        <f>IF(F100&gt;=CO_ATT_INPUTS!$C$327,CHAR(252),CHAR(251))</f>
        <v>û</v>
      </c>
      <c r="L100" s="53" t="str">
        <f>IF(G100&gt;=CO_ATT_INPUTS!$C$327,CHAR(252),CHAR(251))</f>
        <v>û</v>
      </c>
      <c r="M100" s="53" t="str">
        <f>IF(H100&gt;=CO_ATT_INPUTS!$C$327,CHAR(252),CHAR(251))</f>
        <v>û</v>
      </c>
      <c r="N100" s="54" t="str">
        <f>IF(I100&gt;=CO_ATT_INPUTS!$C$327,CHAR(252),CHAR(251))</f>
        <v>û</v>
      </c>
    </row>
    <row r="101" spans="1:14" s="51" customFormat="1" ht="37.5" hidden="1" customHeight="1" x14ac:dyDescent="0.25">
      <c r="A101" s="52">
        <f>CO_ATT_INPUTS!A101</f>
        <v>83</v>
      </c>
      <c r="B101" s="18">
        <f>CO_ATT_INPUTS!B101</f>
        <v>0</v>
      </c>
      <c r="C101" s="19">
        <f>CO_ATT_INPUTS!C101</f>
        <v>0</v>
      </c>
      <c r="D101" s="91">
        <f>CO_ATT_INPUTS!D101</f>
        <v>0</v>
      </c>
      <c r="E101" s="19">
        <f>CO_ATT_INPUTS!AF101</f>
        <v>0</v>
      </c>
      <c r="F101" s="19">
        <f>CO_ATT_INPUTS!AG101</f>
        <v>0</v>
      </c>
      <c r="G101" s="19">
        <f>CO_ATT_INPUTS!AH101</f>
        <v>0</v>
      </c>
      <c r="H101" s="19">
        <f>CO_ATT_INPUTS!AI101</f>
        <v>0</v>
      </c>
      <c r="I101" s="19">
        <f>CO_ATT_INPUTS!AJ101</f>
        <v>0</v>
      </c>
      <c r="J101" s="53" t="str">
        <f>IF(E101&gt;=CO_ATT_INPUTS!$C$327,CHAR(252),CHAR(251))</f>
        <v>û</v>
      </c>
      <c r="K101" s="53" t="str">
        <f>IF(F101&gt;=CO_ATT_INPUTS!$C$327,CHAR(252),CHAR(251))</f>
        <v>û</v>
      </c>
      <c r="L101" s="53" t="str">
        <f>IF(G101&gt;=CO_ATT_INPUTS!$C$327,CHAR(252),CHAR(251))</f>
        <v>û</v>
      </c>
      <c r="M101" s="53" t="str">
        <f>IF(H101&gt;=CO_ATT_INPUTS!$C$327,CHAR(252),CHAR(251))</f>
        <v>û</v>
      </c>
      <c r="N101" s="54" t="str">
        <f>IF(I101&gt;=CO_ATT_INPUTS!$C$327,CHAR(252),CHAR(251))</f>
        <v>û</v>
      </c>
    </row>
    <row r="102" spans="1:14" s="51" customFormat="1" ht="37.5" hidden="1" customHeight="1" x14ac:dyDescent="0.25">
      <c r="A102" s="52">
        <f>CO_ATT_INPUTS!A102</f>
        <v>84</v>
      </c>
      <c r="B102" s="18">
        <f>CO_ATT_INPUTS!B102</f>
        <v>0</v>
      </c>
      <c r="C102" s="19">
        <f>CO_ATT_INPUTS!C102</f>
        <v>0</v>
      </c>
      <c r="D102" s="91">
        <f>CO_ATT_INPUTS!D102</f>
        <v>0</v>
      </c>
      <c r="E102" s="19">
        <f>CO_ATT_INPUTS!AF102</f>
        <v>0</v>
      </c>
      <c r="F102" s="19">
        <f>CO_ATT_INPUTS!AG102</f>
        <v>0</v>
      </c>
      <c r="G102" s="19">
        <f>CO_ATT_INPUTS!AH102</f>
        <v>0</v>
      </c>
      <c r="H102" s="19">
        <f>CO_ATT_INPUTS!AI102</f>
        <v>0</v>
      </c>
      <c r="I102" s="19">
        <f>CO_ATT_INPUTS!AJ102</f>
        <v>0</v>
      </c>
      <c r="J102" s="53" t="str">
        <f>IF(E102&gt;=CO_ATT_INPUTS!$C$327,CHAR(252),CHAR(251))</f>
        <v>û</v>
      </c>
      <c r="K102" s="53" t="str">
        <f>IF(F102&gt;=CO_ATT_INPUTS!$C$327,CHAR(252),CHAR(251))</f>
        <v>û</v>
      </c>
      <c r="L102" s="53" t="str">
        <f>IF(G102&gt;=CO_ATT_INPUTS!$C$327,CHAR(252),CHAR(251))</f>
        <v>û</v>
      </c>
      <c r="M102" s="53" t="str">
        <f>IF(H102&gt;=CO_ATT_INPUTS!$C$327,CHAR(252),CHAR(251))</f>
        <v>û</v>
      </c>
      <c r="N102" s="54" t="str">
        <f>IF(I102&gt;=CO_ATT_INPUTS!$C$327,CHAR(252),CHAR(251))</f>
        <v>û</v>
      </c>
    </row>
    <row r="103" spans="1:14" s="51" customFormat="1" ht="37.5" hidden="1" customHeight="1" x14ac:dyDescent="0.25">
      <c r="A103" s="52">
        <f>CO_ATT_INPUTS!A103</f>
        <v>85</v>
      </c>
      <c r="B103" s="18">
        <f>CO_ATT_INPUTS!B103</f>
        <v>0</v>
      </c>
      <c r="C103" s="19">
        <f>CO_ATT_INPUTS!C103</f>
        <v>0</v>
      </c>
      <c r="D103" s="91">
        <f>CO_ATT_INPUTS!D103</f>
        <v>0</v>
      </c>
      <c r="E103" s="19">
        <f>CO_ATT_INPUTS!AF103</f>
        <v>0</v>
      </c>
      <c r="F103" s="19">
        <f>CO_ATT_INPUTS!AG103</f>
        <v>0</v>
      </c>
      <c r="G103" s="19">
        <f>CO_ATT_INPUTS!AH103</f>
        <v>0</v>
      </c>
      <c r="H103" s="19">
        <f>CO_ATT_INPUTS!AI103</f>
        <v>0</v>
      </c>
      <c r="I103" s="19">
        <f>CO_ATT_INPUTS!AJ103</f>
        <v>0</v>
      </c>
      <c r="J103" s="53" t="str">
        <f>IF(E103&gt;=CO_ATT_INPUTS!$C$327,CHAR(252),CHAR(251))</f>
        <v>û</v>
      </c>
      <c r="K103" s="53" t="str">
        <f>IF(F103&gt;=CO_ATT_INPUTS!$C$327,CHAR(252),CHAR(251))</f>
        <v>û</v>
      </c>
      <c r="L103" s="53" t="str">
        <f>IF(G103&gt;=CO_ATT_INPUTS!$C$327,CHAR(252),CHAR(251))</f>
        <v>û</v>
      </c>
      <c r="M103" s="53" t="str">
        <f>IF(H103&gt;=CO_ATT_INPUTS!$C$327,CHAR(252),CHAR(251))</f>
        <v>û</v>
      </c>
      <c r="N103" s="54" t="str">
        <f>IF(I103&gt;=CO_ATT_INPUTS!$C$327,CHAR(252),CHAR(251))</f>
        <v>û</v>
      </c>
    </row>
    <row r="104" spans="1:14" s="51" customFormat="1" ht="37.5" hidden="1" customHeight="1" x14ac:dyDescent="0.25">
      <c r="A104" s="52">
        <f>CO_ATT_INPUTS!A104</f>
        <v>86</v>
      </c>
      <c r="B104" s="18">
        <f>CO_ATT_INPUTS!B104</f>
        <v>0</v>
      </c>
      <c r="C104" s="19">
        <f>CO_ATT_INPUTS!C104</f>
        <v>0</v>
      </c>
      <c r="D104" s="91">
        <f>CO_ATT_INPUTS!D104</f>
        <v>0</v>
      </c>
      <c r="E104" s="19">
        <f>CO_ATT_INPUTS!AF104</f>
        <v>0</v>
      </c>
      <c r="F104" s="19">
        <f>CO_ATT_INPUTS!AG104</f>
        <v>0</v>
      </c>
      <c r="G104" s="19">
        <f>CO_ATT_INPUTS!AH104</f>
        <v>0</v>
      </c>
      <c r="H104" s="19">
        <f>CO_ATT_INPUTS!AI104</f>
        <v>0</v>
      </c>
      <c r="I104" s="19">
        <f>CO_ATT_INPUTS!AJ104</f>
        <v>0</v>
      </c>
      <c r="J104" s="53" t="str">
        <f>IF(E104&gt;=CO_ATT_INPUTS!$C$327,CHAR(252),CHAR(251))</f>
        <v>û</v>
      </c>
      <c r="K104" s="53" t="str">
        <f>IF(F104&gt;=CO_ATT_INPUTS!$C$327,CHAR(252),CHAR(251))</f>
        <v>û</v>
      </c>
      <c r="L104" s="53" t="str">
        <f>IF(G104&gt;=CO_ATT_INPUTS!$C$327,CHAR(252),CHAR(251))</f>
        <v>û</v>
      </c>
      <c r="M104" s="53" t="str">
        <f>IF(H104&gt;=CO_ATT_INPUTS!$C$327,CHAR(252),CHAR(251))</f>
        <v>û</v>
      </c>
      <c r="N104" s="54" t="str">
        <f>IF(I104&gt;=CO_ATT_INPUTS!$C$327,CHAR(252),CHAR(251))</f>
        <v>û</v>
      </c>
    </row>
    <row r="105" spans="1:14" s="51" customFormat="1" ht="37.5" hidden="1" customHeight="1" x14ac:dyDescent="0.25">
      <c r="A105" s="52">
        <f>CO_ATT_INPUTS!A105</f>
        <v>87</v>
      </c>
      <c r="B105" s="18">
        <f>CO_ATT_INPUTS!B105</f>
        <v>0</v>
      </c>
      <c r="C105" s="19">
        <f>CO_ATT_INPUTS!C105</f>
        <v>0</v>
      </c>
      <c r="D105" s="91">
        <f>CO_ATT_INPUTS!D105</f>
        <v>0</v>
      </c>
      <c r="E105" s="19">
        <f>CO_ATT_INPUTS!AF105</f>
        <v>0</v>
      </c>
      <c r="F105" s="19">
        <f>CO_ATT_INPUTS!AG105</f>
        <v>0</v>
      </c>
      <c r="G105" s="19">
        <f>CO_ATT_INPUTS!AH105</f>
        <v>0</v>
      </c>
      <c r="H105" s="19">
        <f>CO_ATT_INPUTS!AI105</f>
        <v>0</v>
      </c>
      <c r="I105" s="19">
        <f>CO_ATT_INPUTS!AJ105</f>
        <v>0</v>
      </c>
      <c r="J105" s="53" t="str">
        <f>IF(E105&gt;=CO_ATT_INPUTS!$C$327,CHAR(252),CHAR(251))</f>
        <v>û</v>
      </c>
      <c r="K105" s="53" t="str">
        <f>IF(F105&gt;=CO_ATT_INPUTS!$C$327,CHAR(252),CHAR(251))</f>
        <v>û</v>
      </c>
      <c r="L105" s="53" t="str">
        <f>IF(G105&gt;=CO_ATT_INPUTS!$C$327,CHAR(252),CHAR(251))</f>
        <v>û</v>
      </c>
      <c r="M105" s="53" t="str">
        <f>IF(H105&gt;=CO_ATT_INPUTS!$C$327,CHAR(252),CHAR(251))</f>
        <v>û</v>
      </c>
      <c r="N105" s="54" t="str">
        <f>IF(I105&gt;=CO_ATT_INPUTS!$C$327,CHAR(252),CHAR(251))</f>
        <v>û</v>
      </c>
    </row>
    <row r="106" spans="1:14" s="51" customFormat="1" ht="37.5" hidden="1" customHeight="1" x14ac:dyDescent="0.25">
      <c r="A106" s="52">
        <f>CO_ATT_INPUTS!A106</f>
        <v>88</v>
      </c>
      <c r="B106" s="18">
        <f>CO_ATT_INPUTS!B106</f>
        <v>0</v>
      </c>
      <c r="C106" s="19">
        <f>CO_ATT_INPUTS!C106</f>
        <v>0</v>
      </c>
      <c r="D106" s="91">
        <f>CO_ATT_INPUTS!D106</f>
        <v>0</v>
      </c>
      <c r="E106" s="19">
        <f>CO_ATT_INPUTS!AF106</f>
        <v>0</v>
      </c>
      <c r="F106" s="19">
        <f>CO_ATT_INPUTS!AG106</f>
        <v>0</v>
      </c>
      <c r="G106" s="19">
        <f>CO_ATT_INPUTS!AH106</f>
        <v>0</v>
      </c>
      <c r="H106" s="19">
        <f>CO_ATT_INPUTS!AI106</f>
        <v>0</v>
      </c>
      <c r="I106" s="19">
        <f>CO_ATT_INPUTS!AJ106</f>
        <v>0</v>
      </c>
      <c r="J106" s="53" t="str">
        <f>IF(E106&gt;=CO_ATT_INPUTS!$C$327,CHAR(252),CHAR(251))</f>
        <v>û</v>
      </c>
      <c r="K106" s="53" t="str">
        <f>IF(F106&gt;=CO_ATT_INPUTS!$C$327,CHAR(252),CHAR(251))</f>
        <v>û</v>
      </c>
      <c r="L106" s="53" t="str">
        <f>IF(G106&gt;=CO_ATT_INPUTS!$C$327,CHAR(252),CHAR(251))</f>
        <v>û</v>
      </c>
      <c r="M106" s="53" t="str">
        <f>IF(H106&gt;=CO_ATT_INPUTS!$C$327,CHAR(252),CHAR(251))</f>
        <v>û</v>
      </c>
      <c r="N106" s="54" t="str">
        <f>IF(I106&gt;=CO_ATT_INPUTS!$C$327,CHAR(252),CHAR(251))</f>
        <v>û</v>
      </c>
    </row>
    <row r="107" spans="1:14" s="51" customFormat="1" ht="37.5" hidden="1" customHeight="1" x14ac:dyDescent="0.25">
      <c r="A107" s="52">
        <f>CO_ATT_INPUTS!A107</f>
        <v>89</v>
      </c>
      <c r="B107" s="18">
        <f>CO_ATT_INPUTS!B107</f>
        <v>0</v>
      </c>
      <c r="C107" s="19">
        <f>CO_ATT_INPUTS!C107</f>
        <v>0</v>
      </c>
      <c r="D107" s="91">
        <f>CO_ATT_INPUTS!D107</f>
        <v>0</v>
      </c>
      <c r="E107" s="19">
        <f>CO_ATT_INPUTS!AF107</f>
        <v>0</v>
      </c>
      <c r="F107" s="19">
        <f>CO_ATT_INPUTS!AG107</f>
        <v>0</v>
      </c>
      <c r="G107" s="19">
        <f>CO_ATT_INPUTS!AH107</f>
        <v>0</v>
      </c>
      <c r="H107" s="19">
        <f>CO_ATT_INPUTS!AI107</f>
        <v>0</v>
      </c>
      <c r="I107" s="19">
        <f>CO_ATT_INPUTS!AJ107</f>
        <v>0</v>
      </c>
      <c r="J107" s="53" t="str">
        <f>IF(E107&gt;=CO_ATT_INPUTS!$C$327,CHAR(252),CHAR(251))</f>
        <v>û</v>
      </c>
      <c r="K107" s="53" t="str">
        <f>IF(F107&gt;=CO_ATT_INPUTS!$C$327,CHAR(252),CHAR(251))</f>
        <v>û</v>
      </c>
      <c r="L107" s="53" t="str">
        <f>IF(G107&gt;=CO_ATT_INPUTS!$C$327,CHAR(252),CHAR(251))</f>
        <v>û</v>
      </c>
      <c r="M107" s="53" t="str">
        <f>IF(H107&gt;=CO_ATT_INPUTS!$C$327,CHAR(252),CHAR(251))</f>
        <v>û</v>
      </c>
      <c r="N107" s="54" t="str">
        <f>IF(I107&gt;=CO_ATT_INPUTS!$C$327,CHAR(252),CHAR(251))</f>
        <v>û</v>
      </c>
    </row>
    <row r="108" spans="1:14" s="51" customFormat="1" ht="37.5" hidden="1" customHeight="1" x14ac:dyDescent="0.25">
      <c r="A108" s="52">
        <f>CO_ATT_INPUTS!A108</f>
        <v>90</v>
      </c>
      <c r="B108" s="18">
        <f>CO_ATT_INPUTS!B108</f>
        <v>0</v>
      </c>
      <c r="C108" s="19">
        <f>CO_ATT_INPUTS!C108</f>
        <v>0</v>
      </c>
      <c r="D108" s="91">
        <f>CO_ATT_INPUTS!D108</f>
        <v>0</v>
      </c>
      <c r="E108" s="19">
        <f>CO_ATT_INPUTS!AF108</f>
        <v>0</v>
      </c>
      <c r="F108" s="19">
        <f>CO_ATT_INPUTS!AG108</f>
        <v>0</v>
      </c>
      <c r="G108" s="19">
        <f>CO_ATT_INPUTS!AH108</f>
        <v>0</v>
      </c>
      <c r="H108" s="19">
        <f>CO_ATT_INPUTS!AI108</f>
        <v>0</v>
      </c>
      <c r="I108" s="19">
        <f>CO_ATT_INPUTS!AJ108</f>
        <v>0</v>
      </c>
      <c r="J108" s="53" t="str">
        <f>IF(E108&gt;=CO_ATT_INPUTS!$C$327,CHAR(252),CHAR(251))</f>
        <v>û</v>
      </c>
      <c r="K108" s="53" t="str">
        <f>IF(F108&gt;=CO_ATT_INPUTS!$C$327,CHAR(252),CHAR(251))</f>
        <v>û</v>
      </c>
      <c r="L108" s="53" t="str">
        <f>IF(G108&gt;=CO_ATT_INPUTS!$C$327,CHAR(252),CHAR(251))</f>
        <v>û</v>
      </c>
      <c r="M108" s="53" t="str">
        <f>IF(H108&gt;=CO_ATT_INPUTS!$C$327,CHAR(252),CHAR(251))</f>
        <v>û</v>
      </c>
      <c r="N108" s="54" t="str">
        <f>IF(I108&gt;=CO_ATT_INPUTS!$C$327,CHAR(252),CHAR(251))</f>
        <v>û</v>
      </c>
    </row>
    <row r="109" spans="1:14" s="51" customFormat="1" ht="37.5" hidden="1" customHeight="1" x14ac:dyDescent="0.25">
      <c r="A109" s="52">
        <f>CO_ATT_INPUTS!A109</f>
        <v>91</v>
      </c>
      <c r="B109" s="18">
        <f>CO_ATT_INPUTS!B109</f>
        <v>0</v>
      </c>
      <c r="C109" s="19">
        <f>CO_ATT_INPUTS!C109</f>
        <v>0</v>
      </c>
      <c r="D109" s="91">
        <f>CO_ATT_INPUTS!D109</f>
        <v>0</v>
      </c>
      <c r="E109" s="19">
        <f>CO_ATT_INPUTS!AF109</f>
        <v>0</v>
      </c>
      <c r="F109" s="19">
        <f>CO_ATT_INPUTS!AG109</f>
        <v>0</v>
      </c>
      <c r="G109" s="19">
        <f>CO_ATT_INPUTS!AH109</f>
        <v>0</v>
      </c>
      <c r="H109" s="19">
        <f>CO_ATT_INPUTS!AI109</f>
        <v>0</v>
      </c>
      <c r="I109" s="19">
        <f>CO_ATT_INPUTS!AJ109</f>
        <v>0</v>
      </c>
      <c r="J109" s="53" t="str">
        <f>IF(E109&gt;=CO_ATT_INPUTS!$C$327,CHAR(252),CHAR(251))</f>
        <v>û</v>
      </c>
      <c r="K109" s="53" t="str">
        <f>IF(F109&gt;=CO_ATT_INPUTS!$C$327,CHAR(252),CHAR(251))</f>
        <v>û</v>
      </c>
      <c r="L109" s="53" t="str">
        <f>IF(G109&gt;=CO_ATT_INPUTS!$C$327,CHAR(252),CHAR(251))</f>
        <v>û</v>
      </c>
      <c r="M109" s="53" t="str">
        <f>IF(H109&gt;=CO_ATT_INPUTS!$C$327,CHAR(252),CHAR(251))</f>
        <v>û</v>
      </c>
      <c r="N109" s="54" t="str">
        <f>IF(I109&gt;=CO_ATT_INPUTS!$C$327,CHAR(252),CHAR(251))</f>
        <v>û</v>
      </c>
    </row>
    <row r="110" spans="1:14" s="51" customFormat="1" ht="37.5" hidden="1" customHeight="1" x14ac:dyDescent="0.25">
      <c r="A110" s="52">
        <f>CO_ATT_INPUTS!A110</f>
        <v>92</v>
      </c>
      <c r="B110" s="18">
        <f>CO_ATT_INPUTS!B110</f>
        <v>0</v>
      </c>
      <c r="C110" s="19">
        <f>CO_ATT_INPUTS!C110</f>
        <v>0</v>
      </c>
      <c r="D110" s="91">
        <f>CO_ATT_INPUTS!D110</f>
        <v>0</v>
      </c>
      <c r="E110" s="19">
        <f>CO_ATT_INPUTS!AF110</f>
        <v>0</v>
      </c>
      <c r="F110" s="19">
        <f>CO_ATT_INPUTS!AG110</f>
        <v>0</v>
      </c>
      <c r="G110" s="19">
        <f>CO_ATT_INPUTS!AH110</f>
        <v>0</v>
      </c>
      <c r="H110" s="19">
        <f>CO_ATT_INPUTS!AI110</f>
        <v>0</v>
      </c>
      <c r="I110" s="19">
        <f>CO_ATT_INPUTS!AJ110</f>
        <v>0</v>
      </c>
      <c r="J110" s="53" t="str">
        <f>IF(E110&gt;=CO_ATT_INPUTS!$C$327,CHAR(252),CHAR(251))</f>
        <v>û</v>
      </c>
      <c r="K110" s="53" t="str">
        <f>IF(F110&gt;=CO_ATT_INPUTS!$C$327,CHAR(252),CHAR(251))</f>
        <v>û</v>
      </c>
      <c r="L110" s="53" t="str">
        <f>IF(G110&gt;=CO_ATT_INPUTS!$C$327,CHAR(252),CHAR(251))</f>
        <v>û</v>
      </c>
      <c r="M110" s="53" t="str">
        <f>IF(H110&gt;=CO_ATT_INPUTS!$C$327,CHAR(252),CHAR(251))</f>
        <v>û</v>
      </c>
      <c r="N110" s="54" t="str">
        <f>IF(I110&gt;=CO_ATT_INPUTS!$C$327,CHAR(252),CHAR(251))</f>
        <v>û</v>
      </c>
    </row>
    <row r="111" spans="1:14" s="51" customFormat="1" ht="37.5" hidden="1" customHeight="1" x14ac:dyDescent="0.25">
      <c r="A111" s="52">
        <f>CO_ATT_INPUTS!A111</f>
        <v>93</v>
      </c>
      <c r="B111" s="18">
        <f>CO_ATT_INPUTS!B111</f>
        <v>0</v>
      </c>
      <c r="C111" s="19">
        <f>CO_ATT_INPUTS!C111</f>
        <v>0</v>
      </c>
      <c r="D111" s="91">
        <f>CO_ATT_INPUTS!D111</f>
        <v>0</v>
      </c>
      <c r="E111" s="19">
        <f>CO_ATT_INPUTS!AF111</f>
        <v>0</v>
      </c>
      <c r="F111" s="19">
        <f>CO_ATT_INPUTS!AG111</f>
        <v>0</v>
      </c>
      <c r="G111" s="19">
        <f>CO_ATT_INPUTS!AH111</f>
        <v>0</v>
      </c>
      <c r="H111" s="19">
        <f>CO_ATT_INPUTS!AI111</f>
        <v>0</v>
      </c>
      <c r="I111" s="19">
        <f>CO_ATT_INPUTS!AJ111</f>
        <v>0</v>
      </c>
      <c r="J111" s="53" t="str">
        <f>IF(E111&gt;=CO_ATT_INPUTS!$C$327,CHAR(252),CHAR(251))</f>
        <v>û</v>
      </c>
      <c r="K111" s="53" t="str">
        <f>IF(F111&gt;=CO_ATT_INPUTS!$C$327,CHAR(252),CHAR(251))</f>
        <v>û</v>
      </c>
      <c r="L111" s="53" t="str">
        <f>IF(G111&gt;=CO_ATT_INPUTS!$C$327,CHAR(252),CHAR(251))</f>
        <v>û</v>
      </c>
      <c r="M111" s="53" t="str">
        <f>IF(H111&gt;=CO_ATT_INPUTS!$C$327,CHAR(252),CHAR(251))</f>
        <v>û</v>
      </c>
      <c r="N111" s="54" t="str">
        <f>IF(I111&gt;=CO_ATT_INPUTS!$C$327,CHAR(252),CHAR(251))</f>
        <v>û</v>
      </c>
    </row>
    <row r="112" spans="1:14" s="51" customFormat="1" ht="37.5" hidden="1" customHeight="1" x14ac:dyDescent="0.25">
      <c r="A112" s="52">
        <f>CO_ATT_INPUTS!A112</f>
        <v>94</v>
      </c>
      <c r="B112" s="18">
        <f>CO_ATT_INPUTS!B112</f>
        <v>0</v>
      </c>
      <c r="C112" s="19">
        <f>CO_ATT_INPUTS!C112</f>
        <v>0</v>
      </c>
      <c r="D112" s="91">
        <f>CO_ATT_INPUTS!D112</f>
        <v>0</v>
      </c>
      <c r="E112" s="19">
        <f>CO_ATT_INPUTS!AF112</f>
        <v>0</v>
      </c>
      <c r="F112" s="19">
        <f>CO_ATT_INPUTS!AG112</f>
        <v>0</v>
      </c>
      <c r="G112" s="19">
        <f>CO_ATT_INPUTS!AH112</f>
        <v>0</v>
      </c>
      <c r="H112" s="19">
        <f>CO_ATT_INPUTS!AI112</f>
        <v>0</v>
      </c>
      <c r="I112" s="19">
        <f>CO_ATT_INPUTS!AJ112</f>
        <v>0</v>
      </c>
      <c r="J112" s="53" t="str">
        <f>IF(E112&gt;=CO_ATT_INPUTS!$C$327,CHAR(252),CHAR(251))</f>
        <v>û</v>
      </c>
      <c r="K112" s="53" t="str">
        <f>IF(F112&gt;=CO_ATT_INPUTS!$C$327,CHAR(252),CHAR(251))</f>
        <v>û</v>
      </c>
      <c r="L112" s="53" t="str">
        <f>IF(G112&gt;=CO_ATT_INPUTS!$C$327,CHAR(252),CHAR(251))</f>
        <v>û</v>
      </c>
      <c r="M112" s="53" t="str">
        <f>IF(H112&gt;=CO_ATT_INPUTS!$C$327,CHAR(252),CHAR(251))</f>
        <v>û</v>
      </c>
      <c r="N112" s="54" t="str">
        <f>IF(I112&gt;=CO_ATT_INPUTS!$C$327,CHAR(252),CHAR(251))</f>
        <v>û</v>
      </c>
    </row>
    <row r="113" spans="1:14" s="51" customFormat="1" ht="37.5" hidden="1" customHeight="1" x14ac:dyDescent="0.25">
      <c r="A113" s="52">
        <f>CO_ATT_INPUTS!A113</f>
        <v>95</v>
      </c>
      <c r="B113" s="18">
        <f>CO_ATT_INPUTS!B113</f>
        <v>0</v>
      </c>
      <c r="C113" s="19">
        <f>CO_ATT_INPUTS!C113</f>
        <v>0</v>
      </c>
      <c r="D113" s="91">
        <f>CO_ATT_INPUTS!D113</f>
        <v>0</v>
      </c>
      <c r="E113" s="19">
        <f>CO_ATT_INPUTS!AF113</f>
        <v>0</v>
      </c>
      <c r="F113" s="19">
        <f>CO_ATT_INPUTS!AG113</f>
        <v>0</v>
      </c>
      <c r="G113" s="19">
        <f>CO_ATT_INPUTS!AH113</f>
        <v>0</v>
      </c>
      <c r="H113" s="19">
        <f>CO_ATT_INPUTS!AI113</f>
        <v>0</v>
      </c>
      <c r="I113" s="19">
        <f>CO_ATT_INPUTS!AJ113</f>
        <v>0</v>
      </c>
      <c r="J113" s="53" t="str">
        <f>IF(E113&gt;=CO_ATT_INPUTS!$C$327,CHAR(252),CHAR(251))</f>
        <v>û</v>
      </c>
      <c r="K113" s="53" t="str">
        <f>IF(F113&gt;=CO_ATT_INPUTS!$C$327,CHAR(252),CHAR(251))</f>
        <v>û</v>
      </c>
      <c r="L113" s="53" t="str">
        <f>IF(G113&gt;=CO_ATT_INPUTS!$C$327,CHAR(252),CHAR(251))</f>
        <v>û</v>
      </c>
      <c r="M113" s="53" t="str">
        <f>IF(H113&gt;=CO_ATT_INPUTS!$C$327,CHAR(252),CHAR(251))</f>
        <v>û</v>
      </c>
      <c r="N113" s="54" t="str">
        <f>IF(I113&gt;=CO_ATT_INPUTS!$C$327,CHAR(252),CHAR(251))</f>
        <v>û</v>
      </c>
    </row>
    <row r="114" spans="1:14" s="51" customFormat="1" ht="37.5" hidden="1" customHeight="1" x14ac:dyDescent="0.25">
      <c r="A114" s="52">
        <f>CO_ATT_INPUTS!A114</f>
        <v>96</v>
      </c>
      <c r="B114" s="18">
        <f>CO_ATT_INPUTS!B114</f>
        <v>0</v>
      </c>
      <c r="C114" s="19">
        <f>CO_ATT_INPUTS!C114</f>
        <v>0</v>
      </c>
      <c r="D114" s="91">
        <f>CO_ATT_INPUTS!D114</f>
        <v>0</v>
      </c>
      <c r="E114" s="19">
        <f>CO_ATT_INPUTS!AF114</f>
        <v>0</v>
      </c>
      <c r="F114" s="19">
        <f>CO_ATT_INPUTS!AG114</f>
        <v>0</v>
      </c>
      <c r="G114" s="19">
        <f>CO_ATT_INPUTS!AH114</f>
        <v>0</v>
      </c>
      <c r="H114" s="19">
        <f>CO_ATT_INPUTS!AI114</f>
        <v>0</v>
      </c>
      <c r="I114" s="19">
        <f>CO_ATT_INPUTS!AJ114</f>
        <v>0</v>
      </c>
      <c r="J114" s="53" t="str">
        <f>IF(E114&gt;=CO_ATT_INPUTS!$C$327,CHAR(252),CHAR(251))</f>
        <v>û</v>
      </c>
      <c r="K114" s="53" t="str">
        <f>IF(F114&gt;=CO_ATT_INPUTS!$C$327,CHAR(252),CHAR(251))</f>
        <v>û</v>
      </c>
      <c r="L114" s="53" t="str">
        <f>IF(G114&gt;=CO_ATT_INPUTS!$C$327,CHAR(252),CHAR(251))</f>
        <v>û</v>
      </c>
      <c r="M114" s="53" t="str">
        <f>IF(H114&gt;=CO_ATT_INPUTS!$C$327,CHAR(252),CHAR(251))</f>
        <v>û</v>
      </c>
      <c r="N114" s="54" t="str">
        <f>IF(I114&gt;=CO_ATT_INPUTS!$C$327,CHAR(252),CHAR(251))</f>
        <v>û</v>
      </c>
    </row>
    <row r="115" spans="1:14" s="51" customFormat="1" ht="37.5" hidden="1" customHeight="1" x14ac:dyDescent="0.25">
      <c r="A115" s="52">
        <f>CO_ATT_INPUTS!A115</f>
        <v>97</v>
      </c>
      <c r="B115" s="18">
        <f>CO_ATT_INPUTS!B115</f>
        <v>0</v>
      </c>
      <c r="C115" s="19">
        <f>CO_ATT_INPUTS!C115</f>
        <v>0</v>
      </c>
      <c r="D115" s="91">
        <f>CO_ATT_INPUTS!D115</f>
        <v>0</v>
      </c>
      <c r="E115" s="19">
        <f>CO_ATT_INPUTS!AF115</f>
        <v>0</v>
      </c>
      <c r="F115" s="19">
        <f>CO_ATT_INPUTS!AG115</f>
        <v>0</v>
      </c>
      <c r="G115" s="19">
        <f>CO_ATT_INPUTS!AH115</f>
        <v>0</v>
      </c>
      <c r="H115" s="19">
        <f>CO_ATT_INPUTS!AI115</f>
        <v>0</v>
      </c>
      <c r="I115" s="19">
        <f>CO_ATT_INPUTS!AJ115</f>
        <v>0</v>
      </c>
      <c r="J115" s="53" t="str">
        <f>IF(E115&gt;=CO_ATT_INPUTS!$C$327,CHAR(252),CHAR(251))</f>
        <v>û</v>
      </c>
      <c r="K115" s="53" t="str">
        <f>IF(F115&gt;=CO_ATT_INPUTS!$C$327,CHAR(252),CHAR(251))</f>
        <v>û</v>
      </c>
      <c r="L115" s="53" t="str">
        <f>IF(G115&gt;=CO_ATT_INPUTS!$C$327,CHAR(252),CHAR(251))</f>
        <v>û</v>
      </c>
      <c r="M115" s="53" t="str">
        <f>IF(H115&gt;=CO_ATT_INPUTS!$C$327,CHAR(252),CHAR(251))</f>
        <v>û</v>
      </c>
      <c r="N115" s="54" t="str">
        <f>IF(I115&gt;=CO_ATT_INPUTS!$C$327,CHAR(252),CHAR(251))</f>
        <v>û</v>
      </c>
    </row>
    <row r="116" spans="1:14" s="51" customFormat="1" ht="37.5" hidden="1" customHeight="1" x14ac:dyDescent="0.25">
      <c r="A116" s="52">
        <f>CO_ATT_INPUTS!A116</f>
        <v>98</v>
      </c>
      <c r="B116" s="18">
        <f>CO_ATT_INPUTS!B116</f>
        <v>0</v>
      </c>
      <c r="C116" s="19">
        <f>CO_ATT_INPUTS!C116</f>
        <v>0</v>
      </c>
      <c r="D116" s="91">
        <f>CO_ATT_INPUTS!D116</f>
        <v>0</v>
      </c>
      <c r="E116" s="19">
        <f>CO_ATT_INPUTS!AF116</f>
        <v>0</v>
      </c>
      <c r="F116" s="19">
        <f>CO_ATT_INPUTS!AG116</f>
        <v>0</v>
      </c>
      <c r="G116" s="19">
        <f>CO_ATT_INPUTS!AH116</f>
        <v>0</v>
      </c>
      <c r="H116" s="19">
        <f>CO_ATT_INPUTS!AI116</f>
        <v>0</v>
      </c>
      <c r="I116" s="19">
        <f>CO_ATT_INPUTS!AJ116</f>
        <v>0</v>
      </c>
      <c r="J116" s="53" t="str">
        <f>IF(E116&gt;=CO_ATT_INPUTS!$C$327,CHAR(252),CHAR(251))</f>
        <v>û</v>
      </c>
      <c r="K116" s="53" t="str">
        <f>IF(F116&gt;=CO_ATT_INPUTS!$C$327,CHAR(252),CHAR(251))</f>
        <v>û</v>
      </c>
      <c r="L116" s="53" t="str">
        <f>IF(G116&gt;=CO_ATT_INPUTS!$C$327,CHAR(252),CHAR(251))</f>
        <v>û</v>
      </c>
      <c r="M116" s="53" t="str">
        <f>IF(H116&gt;=CO_ATT_INPUTS!$C$327,CHAR(252),CHAR(251))</f>
        <v>û</v>
      </c>
      <c r="N116" s="54" t="str">
        <f>IF(I116&gt;=CO_ATT_INPUTS!$C$327,CHAR(252),CHAR(251))</f>
        <v>û</v>
      </c>
    </row>
    <row r="117" spans="1:14" s="51" customFormat="1" ht="37.5" hidden="1" customHeight="1" x14ac:dyDescent="0.25">
      <c r="A117" s="52">
        <f>CO_ATT_INPUTS!A117</f>
        <v>99</v>
      </c>
      <c r="B117" s="18">
        <f>CO_ATT_INPUTS!B117</f>
        <v>0</v>
      </c>
      <c r="C117" s="19">
        <f>CO_ATT_INPUTS!C117</f>
        <v>0</v>
      </c>
      <c r="D117" s="91">
        <f>CO_ATT_INPUTS!D117</f>
        <v>0</v>
      </c>
      <c r="E117" s="19">
        <f>CO_ATT_INPUTS!AF117</f>
        <v>0</v>
      </c>
      <c r="F117" s="19">
        <f>CO_ATT_INPUTS!AG117</f>
        <v>0</v>
      </c>
      <c r="G117" s="19">
        <f>CO_ATT_INPUTS!AH117</f>
        <v>0</v>
      </c>
      <c r="H117" s="19">
        <f>CO_ATT_INPUTS!AI117</f>
        <v>0</v>
      </c>
      <c r="I117" s="19">
        <f>CO_ATT_INPUTS!AJ117</f>
        <v>0</v>
      </c>
      <c r="J117" s="53" t="str">
        <f>IF(E117&gt;=CO_ATT_INPUTS!$C$327,CHAR(252),CHAR(251))</f>
        <v>û</v>
      </c>
      <c r="K117" s="53" t="str">
        <f>IF(F117&gt;=CO_ATT_INPUTS!$C$327,CHAR(252),CHAR(251))</f>
        <v>û</v>
      </c>
      <c r="L117" s="53" t="str">
        <f>IF(G117&gt;=CO_ATT_INPUTS!$C$327,CHAR(252),CHAR(251))</f>
        <v>û</v>
      </c>
      <c r="M117" s="53" t="str">
        <f>IF(H117&gt;=CO_ATT_INPUTS!$C$327,CHAR(252),CHAR(251))</f>
        <v>û</v>
      </c>
      <c r="N117" s="54" t="str">
        <f>IF(I117&gt;=CO_ATT_INPUTS!$C$327,CHAR(252),CHAR(251))</f>
        <v>û</v>
      </c>
    </row>
    <row r="118" spans="1:14" s="51" customFormat="1" ht="37.5" hidden="1" customHeight="1" x14ac:dyDescent="0.25">
      <c r="A118" s="52">
        <f>CO_ATT_INPUTS!A118</f>
        <v>100</v>
      </c>
      <c r="B118" s="18">
        <f>CO_ATT_INPUTS!B118</f>
        <v>0</v>
      </c>
      <c r="C118" s="19">
        <f>CO_ATT_INPUTS!C118</f>
        <v>0</v>
      </c>
      <c r="D118" s="91">
        <f>CO_ATT_INPUTS!D118</f>
        <v>0</v>
      </c>
      <c r="E118" s="19">
        <f>CO_ATT_INPUTS!AF118</f>
        <v>0</v>
      </c>
      <c r="F118" s="19">
        <f>CO_ATT_INPUTS!AG118</f>
        <v>0</v>
      </c>
      <c r="G118" s="19">
        <f>CO_ATT_INPUTS!AH118</f>
        <v>0</v>
      </c>
      <c r="H118" s="19">
        <f>CO_ATT_INPUTS!AI118</f>
        <v>0</v>
      </c>
      <c r="I118" s="19">
        <f>CO_ATT_INPUTS!AJ118</f>
        <v>0</v>
      </c>
      <c r="J118" s="53" t="str">
        <f>IF(E118&gt;=CO_ATT_INPUTS!$C$327,CHAR(252),CHAR(251))</f>
        <v>û</v>
      </c>
      <c r="K118" s="53" t="str">
        <f>IF(F118&gt;=CO_ATT_INPUTS!$C$327,CHAR(252),CHAR(251))</f>
        <v>û</v>
      </c>
      <c r="L118" s="53" t="str">
        <f>IF(G118&gt;=CO_ATT_INPUTS!$C$327,CHAR(252),CHAR(251))</f>
        <v>û</v>
      </c>
      <c r="M118" s="53" t="str">
        <f>IF(H118&gt;=CO_ATT_INPUTS!$C$327,CHAR(252),CHAR(251))</f>
        <v>û</v>
      </c>
      <c r="N118" s="54" t="str">
        <f>IF(I118&gt;=CO_ATT_INPUTS!$C$327,CHAR(252),CHAR(251))</f>
        <v>û</v>
      </c>
    </row>
    <row r="119" spans="1:14" s="51" customFormat="1" ht="37.5" hidden="1" customHeight="1" x14ac:dyDescent="0.25">
      <c r="A119" s="52">
        <f>CO_ATT_INPUTS!A119</f>
        <v>101</v>
      </c>
      <c r="B119" s="18">
        <f>CO_ATT_INPUTS!B119</f>
        <v>0</v>
      </c>
      <c r="C119" s="19">
        <f>CO_ATT_INPUTS!C119</f>
        <v>0</v>
      </c>
      <c r="D119" s="91">
        <f>CO_ATT_INPUTS!D119</f>
        <v>0</v>
      </c>
      <c r="E119" s="19">
        <f>CO_ATT_INPUTS!AF119</f>
        <v>0</v>
      </c>
      <c r="F119" s="19">
        <f>CO_ATT_INPUTS!AG119</f>
        <v>0</v>
      </c>
      <c r="G119" s="19">
        <f>CO_ATT_INPUTS!AH119</f>
        <v>0</v>
      </c>
      <c r="H119" s="19">
        <f>CO_ATT_INPUTS!AI119</f>
        <v>0</v>
      </c>
      <c r="I119" s="19">
        <f>CO_ATT_INPUTS!AJ119</f>
        <v>0</v>
      </c>
      <c r="J119" s="53" t="str">
        <f>IF(E119&gt;=CO_ATT_INPUTS!$C$327,CHAR(252),CHAR(251))</f>
        <v>û</v>
      </c>
      <c r="K119" s="53" t="str">
        <f>IF(F119&gt;=CO_ATT_INPUTS!$C$327,CHAR(252),CHAR(251))</f>
        <v>û</v>
      </c>
      <c r="L119" s="53" t="str">
        <f>IF(G119&gt;=CO_ATT_INPUTS!$C$327,CHAR(252),CHAR(251))</f>
        <v>û</v>
      </c>
      <c r="M119" s="53" t="str">
        <f>IF(H119&gt;=CO_ATT_INPUTS!$C$327,CHAR(252),CHAR(251))</f>
        <v>û</v>
      </c>
      <c r="N119" s="54" t="str">
        <f>IF(I119&gt;=CO_ATT_INPUTS!$C$327,CHAR(252),CHAR(251))</f>
        <v>û</v>
      </c>
    </row>
    <row r="120" spans="1:14" s="51" customFormat="1" ht="37.5" hidden="1" customHeight="1" x14ac:dyDescent="0.25">
      <c r="A120" s="52">
        <f>CO_ATT_INPUTS!A120</f>
        <v>102</v>
      </c>
      <c r="B120" s="18">
        <f>CO_ATT_INPUTS!B120</f>
        <v>0</v>
      </c>
      <c r="C120" s="19">
        <f>CO_ATT_INPUTS!C120</f>
        <v>0</v>
      </c>
      <c r="D120" s="91">
        <f>CO_ATT_INPUTS!D120</f>
        <v>0</v>
      </c>
      <c r="E120" s="19">
        <f>CO_ATT_INPUTS!AF120</f>
        <v>0</v>
      </c>
      <c r="F120" s="19">
        <f>CO_ATT_INPUTS!AG120</f>
        <v>0</v>
      </c>
      <c r="G120" s="19">
        <f>CO_ATT_INPUTS!AH120</f>
        <v>0</v>
      </c>
      <c r="H120" s="19">
        <f>CO_ATT_INPUTS!AI120</f>
        <v>0</v>
      </c>
      <c r="I120" s="19">
        <f>CO_ATT_INPUTS!AJ120</f>
        <v>0</v>
      </c>
      <c r="J120" s="53" t="str">
        <f>IF(E120&gt;=CO_ATT_INPUTS!$C$327,CHAR(252),CHAR(251))</f>
        <v>û</v>
      </c>
      <c r="K120" s="53" t="str">
        <f>IF(F120&gt;=CO_ATT_INPUTS!$C$327,CHAR(252),CHAR(251))</f>
        <v>û</v>
      </c>
      <c r="L120" s="53" t="str">
        <f>IF(G120&gt;=CO_ATT_INPUTS!$C$327,CHAR(252),CHAR(251))</f>
        <v>û</v>
      </c>
      <c r="M120" s="53" t="str">
        <f>IF(H120&gt;=CO_ATT_INPUTS!$C$327,CHAR(252),CHAR(251))</f>
        <v>û</v>
      </c>
      <c r="N120" s="54" t="str">
        <f>IF(I120&gt;=CO_ATT_INPUTS!$C$327,CHAR(252),CHAR(251))</f>
        <v>û</v>
      </c>
    </row>
    <row r="121" spans="1:14" s="51" customFormat="1" ht="37.5" hidden="1" customHeight="1" x14ac:dyDescent="0.25">
      <c r="A121" s="52">
        <f>CO_ATT_INPUTS!A121</f>
        <v>103</v>
      </c>
      <c r="B121" s="18">
        <f>CO_ATT_INPUTS!B121</f>
        <v>0</v>
      </c>
      <c r="C121" s="19">
        <f>CO_ATT_INPUTS!C121</f>
        <v>0</v>
      </c>
      <c r="D121" s="91">
        <f>CO_ATT_INPUTS!D121</f>
        <v>0</v>
      </c>
      <c r="E121" s="19">
        <f>CO_ATT_INPUTS!AF121</f>
        <v>0</v>
      </c>
      <c r="F121" s="19">
        <f>CO_ATT_INPUTS!AG121</f>
        <v>0</v>
      </c>
      <c r="G121" s="19">
        <f>CO_ATT_INPUTS!AH121</f>
        <v>0</v>
      </c>
      <c r="H121" s="19">
        <f>CO_ATT_INPUTS!AI121</f>
        <v>0</v>
      </c>
      <c r="I121" s="19">
        <f>CO_ATT_INPUTS!AJ121</f>
        <v>0</v>
      </c>
      <c r="J121" s="53" t="str">
        <f>IF(E121&gt;=CO_ATT_INPUTS!$C$327,CHAR(252),CHAR(251))</f>
        <v>û</v>
      </c>
      <c r="K121" s="53" t="str">
        <f>IF(F121&gt;=CO_ATT_INPUTS!$C$327,CHAR(252),CHAR(251))</f>
        <v>û</v>
      </c>
      <c r="L121" s="53" t="str">
        <f>IF(G121&gt;=CO_ATT_INPUTS!$C$327,CHAR(252),CHAR(251))</f>
        <v>û</v>
      </c>
      <c r="M121" s="53" t="str">
        <f>IF(H121&gt;=CO_ATT_INPUTS!$C$327,CHAR(252),CHAR(251))</f>
        <v>û</v>
      </c>
      <c r="N121" s="54" t="str">
        <f>IF(I121&gt;=CO_ATT_INPUTS!$C$327,CHAR(252),CHAR(251))</f>
        <v>û</v>
      </c>
    </row>
    <row r="122" spans="1:14" s="51" customFormat="1" ht="37.5" hidden="1" customHeight="1" x14ac:dyDescent="0.25">
      <c r="A122" s="52">
        <f>CO_ATT_INPUTS!A122</f>
        <v>104</v>
      </c>
      <c r="B122" s="18">
        <f>CO_ATT_INPUTS!B122</f>
        <v>0</v>
      </c>
      <c r="C122" s="19">
        <f>CO_ATT_INPUTS!C122</f>
        <v>0</v>
      </c>
      <c r="D122" s="91">
        <f>CO_ATT_INPUTS!D122</f>
        <v>0</v>
      </c>
      <c r="E122" s="19">
        <f>CO_ATT_INPUTS!AF122</f>
        <v>0</v>
      </c>
      <c r="F122" s="19">
        <f>CO_ATT_INPUTS!AG122</f>
        <v>0</v>
      </c>
      <c r="G122" s="19">
        <f>CO_ATT_INPUTS!AH122</f>
        <v>0</v>
      </c>
      <c r="H122" s="19">
        <f>CO_ATT_INPUTS!AI122</f>
        <v>0</v>
      </c>
      <c r="I122" s="19">
        <f>CO_ATT_INPUTS!AJ122</f>
        <v>0</v>
      </c>
      <c r="J122" s="53" t="str">
        <f>IF(E122&gt;=CO_ATT_INPUTS!$C$327,CHAR(252),CHAR(251))</f>
        <v>û</v>
      </c>
      <c r="K122" s="53" t="str">
        <f>IF(F122&gt;=CO_ATT_INPUTS!$C$327,CHAR(252),CHAR(251))</f>
        <v>û</v>
      </c>
      <c r="L122" s="53" t="str">
        <f>IF(G122&gt;=CO_ATT_INPUTS!$C$327,CHAR(252),CHAR(251))</f>
        <v>û</v>
      </c>
      <c r="M122" s="53" t="str">
        <f>IF(H122&gt;=CO_ATT_INPUTS!$C$327,CHAR(252),CHAR(251))</f>
        <v>û</v>
      </c>
      <c r="N122" s="54" t="str">
        <f>IF(I122&gt;=CO_ATT_INPUTS!$C$327,CHAR(252),CHAR(251))</f>
        <v>û</v>
      </c>
    </row>
    <row r="123" spans="1:14" s="51" customFormat="1" ht="37.5" hidden="1" customHeight="1" x14ac:dyDescent="0.25">
      <c r="A123" s="52">
        <f>CO_ATT_INPUTS!A123</f>
        <v>105</v>
      </c>
      <c r="B123" s="18">
        <f>CO_ATT_INPUTS!B123</f>
        <v>0</v>
      </c>
      <c r="C123" s="19">
        <f>CO_ATT_INPUTS!C123</f>
        <v>0</v>
      </c>
      <c r="D123" s="91">
        <f>CO_ATT_INPUTS!D123</f>
        <v>0</v>
      </c>
      <c r="E123" s="19">
        <f>CO_ATT_INPUTS!AF123</f>
        <v>0</v>
      </c>
      <c r="F123" s="19">
        <f>CO_ATT_INPUTS!AG123</f>
        <v>0</v>
      </c>
      <c r="G123" s="19">
        <f>CO_ATT_INPUTS!AH123</f>
        <v>0</v>
      </c>
      <c r="H123" s="19">
        <f>CO_ATT_INPUTS!AI123</f>
        <v>0</v>
      </c>
      <c r="I123" s="19">
        <f>CO_ATT_INPUTS!AJ123</f>
        <v>0</v>
      </c>
      <c r="J123" s="53" t="str">
        <f>IF(E123&gt;=CO_ATT_INPUTS!$C$327,CHAR(252),CHAR(251))</f>
        <v>û</v>
      </c>
      <c r="K123" s="53" t="str">
        <f>IF(F123&gt;=CO_ATT_INPUTS!$C$327,CHAR(252),CHAR(251))</f>
        <v>û</v>
      </c>
      <c r="L123" s="53" t="str">
        <f>IF(G123&gt;=CO_ATT_INPUTS!$C$327,CHAR(252),CHAR(251))</f>
        <v>û</v>
      </c>
      <c r="M123" s="53" t="str">
        <f>IF(H123&gt;=CO_ATT_INPUTS!$C$327,CHAR(252),CHAR(251))</f>
        <v>û</v>
      </c>
      <c r="N123" s="54" t="str">
        <f>IF(I123&gt;=CO_ATT_INPUTS!$C$327,CHAR(252),CHAR(251))</f>
        <v>û</v>
      </c>
    </row>
    <row r="124" spans="1:14" s="51" customFormat="1" ht="37.5" hidden="1" customHeight="1" x14ac:dyDescent="0.25">
      <c r="A124" s="52">
        <f>CO_ATT_INPUTS!A124</f>
        <v>106</v>
      </c>
      <c r="B124" s="18">
        <f>CO_ATT_INPUTS!B124</f>
        <v>0</v>
      </c>
      <c r="C124" s="19">
        <f>CO_ATT_INPUTS!C124</f>
        <v>0</v>
      </c>
      <c r="D124" s="91">
        <f>CO_ATT_INPUTS!D124</f>
        <v>0</v>
      </c>
      <c r="E124" s="19">
        <f>CO_ATT_INPUTS!AF124</f>
        <v>0</v>
      </c>
      <c r="F124" s="19">
        <f>CO_ATT_INPUTS!AG124</f>
        <v>0</v>
      </c>
      <c r="G124" s="19">
        <f>CO_ATT_INPUTS!AH124</f>
        <v>0</v>
      </c>
      <c r="H124" s="19">
        <f>CO_ATT_INPUTS!AI124</f>
        <v>0</v>
      </c>
      <c r="I124" s="19">
        <f>CO_ATT_INPUTS!AJ124</f>
        <v>0</v>
      </c>
      <c r="J124" s="53" t="str">
        <f>IF(E124&gt;=CO_ATT_INPUTS!$C$327,CHAR(252),CHAR(251))</f>
        <v>û</v>
      </c>
      <c r="K124" s="53" t="str">
        <f>IF(F124&gt;=CO_ATT_INPUTS!$C$327,CHAR(252),CHAR(251))</f>
        <v>û</v>
      </c>
      <c r="L124" s="53" t="str">
        <f>IF(G124&gt;=CO_ATT_INPUTS!$C$327,CHAR(252),CHAR(251))</f>
        <v>û</v>
      </c>
      <c r="M124" s="53" t="str">
        <f>IF(H124&gt;=CO_ATT_INPUTS!$C$327,CHAR(252),CHAR(251))</f>
        <v>û</v>
      </c>
      <c r="N124" s="54" t="str">
        <f>IF(I124&gt;=CO_ATT_INPUTS!$C$327,CHAR(252),CHAR(251))</f>
        <v>û</v>
      </c>
    </row>
    <row r="125" spans="1:14" s="51" customFormat="1" ht="37.5" hidden="1" customHeight="1" x14ac:dyDescent="0.25">
      <c r="A125" s="52">
        <f>CO_ATT_INPUTS!A125</f>
        <v>107</v>
      </c>
      <c r="B125" s="18">
        <f>CO_ATT_INPUTS!B125</f>
        <v>0</v>
      </c>
      <c r="C125" s="19">
        <f>CO_ATT_INPUTS!C125</f>
        <v>0</v>
      </c>
      <c r="D125" s="91">
        <f>CO_ATT_INPUTS!D125</f>
        <v>0</v>
      </c>
      <c r="E125" s="19">
        <f>CO_ATT_INPUTS!AF125</f>
        <v>0</v>
      </c>
      <c r="F125" s="19">
        <f>CO_ATT_INPUTS!AG125</f>
        <v>0</v>
      </c>
      <c r="G125" s="19">
        <f>CO_ATT_INPUTS!AH125</f>
        <v>0</v>
      </c>
      <c r="H125" s="19">
        <f>CO_ATT_INPUTS!AI125</f>
        <v>0</v>
      </c>
      <c r="I125" s="19">
        <f>CO_ATT_INPUTS!AJ125</f>
        <v>0</v>
      </c>
      <c r="J125" s="53" t="str">
        <f>IF(E125&gt;=CO_ATT_INPUTS!$C$327,CHAR(252),CHAR(251))</f>
        <v>û</v>
      </c>
      <c r="K125" s="53" t="str">
        <f>IF(F125&gt;=CO_ATT_INPUTS!$C$327,CHAR(252),CHAR(251))</f>
        <v>û</v>
      </c>
      <c r="L125" s="53" t="str">
        <f>IF(G125&gt;=CO_ATT_INPUTS!$C$327,CHAR(252),CHAR(251))</f>
        <v>û</v>
      </c>
      <c r="M125" s="53" t="str">
        <f>IF(H125&gt;=CO_ATT_INPUTS!$C$327,CHAR(252),CHAR(251))</f>
        <v>û</v>
      </c>
      <c r="N125" s="54" t="str">
        <f>IF(I125&gt;=CO_ATT_INPUTS!$C$327,CHAR(252),CHAR(251))</f>
        <v>û</v>
      </c>
    </row>
    <row r="126" spans="1:14" s="51" customFormat="1" ht="37.5" hidden="1" customHeight="1" x14ac:dyDescent="0.25">
      <c r="A126" s="52">
        <f>CO_ATT_INPUTS!A126</f>
        <v>108</v>
      </c>
      <c r="B126" s="18">
        <f>CO_ATT_INPUTS!B126</f>
        <v>0</v>
      </c>
      <c r="C126" s="19">
        <f>CO_ATT_INPUTS!C126</f>
        <v>0</v>
      </c>
      <c r="D126" s="91">
        <f>CO_ATT_INPUTS!D126</f>
        <v>0</v>
      </c>
      <c r="E126" s="19">
        <f>CO_ATT_INPUTS!AF126</f>
        <v>0</v>
      </c>
      <c r="F126" s="19">
        <f>CO_ATT_INPUTS!AG126</f>
        <v>0</v>
      </c>
      <c r="G126" s="19">
        <f>CO_ATT_INPUTS!AH126</f>
        <v>0</v>
      </c>
      <c r="H126" s="19">
        <f>CO_ATT_INPUTS!AI126</f>
        <v>0</v>
      </c>
      <c r="I126" s="19">
        <f>CO_ATT_INPUTS!AJ126</f>
        <v>0</v>
      </c>
      <c r="J126" s="53" t="str">
        <f>IF(E126&gt;=CO_ATT_INPUTS!$C$327,CHAR(252),CHAR(251))</f>
        <v>û</v>
      </c>
      <c r="K126" s="53" t="str">
        <f>IF(F126&gt;=CO_ATT_INPUTS!$C$327,CHAR(252),CHAR(251))</f>
        <v>û</v>
      </c>
      <c r="L126" s="53" t="str">
        <f>IF(G126&gt;=CO_ATT_INPUTS!$C$327,CHAR(252),CHAR(251))</f>
        <v>û</v>
      </c>
      <c r="M126" s="53" t="str">
        <f>IF(H126&gt;=CO_ATT_INPUTS!$C$327,CHAR(252),CHAR(251))</f>
        <v>û</v>
      </c>
      <c r="N126" s="54" t="str">
        <f>IF(I126&gt;=CO_ATT_INPUTS!$C$327,CHAR(252),CHAR(251))</f>
        <v>û</v>
      </c>
    </row>
    <row r="127" spans="1:14" s="51" customFormat="1" ht="37.5" hidden="1" customHeight="1" x14ac:dyDescent="0.25">
      <c r="A127" s="52">
        <f>CO_ATT_INPUTS!A127</f>
        <v>109</v>
      </c>
      <c r="B127" s="18">
        <f>CO_ATT_INPUTS!B127</f>
        <v>0</v>
      </c>
      <c r="C127" s="19">
        <f>CO_ATT_INPUTS!C127</f>
        <v>0</v>
      </c>
      <c r="D127" s="91">
        <f>CO_ATT_INPUTS!D127</f>
        <v>0</v>
      </c>
      <c r="E127" s="19">
        <f>CO_ATT_INPUTS!AF127</f>
        <v>0</v>
      </c>
      <c r="F127" s="19">
        <f>CO_ATT_INPUTS!AG127</f>
        <v>0</v>
      </c>
      <c r="G127" s="19">
        <f>CO_ATT_INPUTS!AH127</f>
        <v>0</v>
      </c>
      <c r="H127" s="19">
        <f>CO_ATT_INPUTS!AI127</f>
        <v>0</v>
      </c>
      <c r="I127" s="19">
        <f>CO_ATT_INPUTS!AJ127</f>
        <v>0</v>
      </c>
      <c r="J127" s="53" t="str">
        <f>IF(E127&gt;=CO_ATT_INPUTS!$C$327,CHAR(252),CHAR(251))</f>
        <v>û</v>
      </c>
      <c r="K127" s="53" t="str">
        <f>IF(F127&gt;=CO_ATT_INPUTS!$C$327,CHAR(252),CHAR(251))</f>
        <v>û</v>
      </c>
      <c r="L127" s="53" t="str">
        <f>IF(G127&gt;=CO_ATT_INPUTS!$C$327,CHAR(252),CHAR(251))</f>
        <v>û</v>
      </c>
      <c r="M127" s="53" t="str">
        <f>IF(H127&gt;=CO_ATT_INPUTS!$C$327,CHAR(252),CHAR(251))</f>
        <v>û</v>
      </c>
      <c r="N127" s="54" t="str">
        <f>IF(I127&gt;=CO_ATT_INPUTS!$C$327,CHAR(252),CHAR(251))</f>
        <v>û</v>
      </c>
    </row>
    <row r="128" spans="1:14" s="51" customFormat="1" ht="37.5" hidden="1" customHeight="1" x14ac:dyDescent="0.25">
      <c r="A128" s="52">
        <f>CO_ATT_INPUTS!A128</f>
        <v>110</v>
      </c>
      <c r="B128" s="18">
        <f>CO_ATT_INPUTS!B128</f>
        <v>0</v>
      </c>
      <c r="C128" s="19">
        <f>CO_ATT_INPUTS!C128</f>
        <v>0</v>
      </c>
      <c r="D128" s="91">
        <f>CO_ATT_INPUTS!D128</f>
        <v>0</v>
      </c>
      <c r="E128" s="19">
        <f>CO_ATT_INPUTS!AF128</f>
        <v>0</v>
      </c>
      <c r="F128" s="19">
        <f>CO_ATT_INPUTS!AG128</f>
        <v>0</v>
      </c>
      <c r="G128" s="19">
        <f>CO_ATT_INPUTS!AH128</f>
        <v>0</v>
      </c>
      <c r="H128" s="19">
        <f>CO_ATT_INPUTS!AI128</f>
        <v>0</v>
      </c>
      <c r="I128" s="19">
        <f>CO_ATT_INPUTS!AJ128</f>
        <v>0</v>
      </c>
      <c r="J128" s="53" t="str">
        <f>IF(E128&gt;=CO_ATT_INPUTS!$C$327,CHAR(252),CHAR(251))</f>
        <v>û</v>
      </c>
      <c r="K128" s="53" t="str">
        <f>IF(F128&gt;=CO_ATT_INPUTS!$C$327,CHAR(252),CHAR(251))</f>
        <v>û</v>
      </c>
      <c r="L128" s="53" t="str">
        <f>IF(G128&gt;=CO_ATT_INPUTS!$C$327,CHAR(252),CHAR(251))</f>
        <v>û</v>
      </c>
      <c r="M128" s="53" t="str">
        <f>IF(H128&gt;=CO_ATT_INPUTS!$C$327,CHAR(252),CHAR(251))</f>
        <v>û</v>
      </c>
      <c r="N128" s="54" t="str">
        <f>IF(I128&gt;=CO_ATT_INPUTS!$C$327,CHAR(252),CHAR(251))</f>
        <v>û</v>
      </c>
    </row>
    <row r="129" spans="1:14" s="51" customFormat="1" ht="37.5" hidden="1" customHeight="1" x14ac:dyDescent="0.25">
      <c r="A129" s="52">
        <f>CO_ATT_INPUTS!A129</f>
        <v>111</v>
      </c>
      <c r="B129" s="18">
        <f>CO_ATT_INPUTS!B129</f>
        <v>0</v>
      </c>
      <c r="C129" s="19">
        <f>CO_ATT_INPUTS!C129</f>
        <v>0</v>
      </c>
      <c r="D129" s="91">
        <f>CO_ATT_INPUTS!D129</f>
        <v>0</v>
      </c>
      <c r="E129" s="19">
        <f>CO_ATT_INPUTS!AF129</f>
        <v>0</v>
      </c>
      <c r="F129" s="19">
        <f>CO_ATT_INPUTS!AG129</f>
        <v>0</v>
      </c>
      <c r="G129" s="19">
        <f>CO_ATT_INPUTS!AH129</f>
        <v>0</v>
      </c>
      <c r="H129" s="19">
        <f>CO_ATT_INPUTS!AI129</f>
        <v>0</v>
      </c>
      <c r="I129" s="19">
        <f>CO_ATT_INPUTS!AJ129</f>
        <v>0</v>
      </c>
      <c r="J129" s="53" t="str">
        <f>IF(E129&gt;=CO_ATT_INPUTS!$C$327,CHAR(252),CHAR(251))</f>
        <v>û</v>
      </c>
      <c r="K129" s="53" t="str">
        <f>IF(F129&gt;=CO_ATT_INPUTS!$C$327,CHAR(252),CHAR(251))</f>
        <v>û</v>
      </c>
      <c r="L129" s="53" t="str">
        <f>IF(G129&gt;=CO_ATT_INPUTS!$C$327,CHAR(252),CHAR(251))</f>
        <v>û</v>
      </c>
      <c r="M129" s="53" t="str">
        <f>IF(H129&gt;=CO_ATT_INPUTS!$C$327,CHAR(252),CHAR(251))</f>
        <v>û</v>
      </c>
      <c r="N129" s="54" t="str">
        <f>IF(I129&gt;=CO_ATT_INPUTS!$C$327,CHAR(252),CHAR(251))</f>
        <v>û</v>
      </c>
    </row>
    <row r="130" spans="1:14" s="51" customFormat="1" ht="37.5" hidden="1" customHeight="1" x14ac:dyDescent="0.25">
      <c r="A130" s="52">
        <f>CO_ATT_INPUTS!A130</f>
        <v>112</v>
      </c>
      <c r="B130" s="18">
        <f>CO_ATT_INPUTS!B130</f>
        <v>0</v>
      </c>
      <c r="C130" s="19">
        <f>CO_ATT_INPUTS!C130</f>
        <v>0</v>
      </c>
      <c r="D130" s="91">
        <f>CO_ATT_INPUTS!D130</f>
        <v>0</v>
      </c>
      <c r="E130" s="19">
        <f>CO_ATT_INPUTS!AF130</f>
        <v>0</v>
      </c>
      <c r="F130" s="19">
        <f>CO_ATT_INPUTS!AG130</f>
        <v>0</v>
      </c>
      <c r="G130" s="19">
        <f>CO_ATT_INPUTS!AH130</f>
        <v>0</v>
      </c>
      <c r="H130" s="19">
        <f>CO_ATT_INPUTS!AI130</f>
        <v>0</v>
      </c>
      <c r="I130" s="19">
        <f>CO_ATT_INPUTS!AJ130</f>
        <v>0</v>
      </c>
      <c r="J130" s="53" t="str">
        <f>IF(E130&gt;=CO_ATT_INPUTS!$C$327,CHAR(252),CHAR(251))</f>
        <v>û</v>
      </c>
      <c r="K130" s="53" t="str">
        <f>IF(F130&gt;=CO_ATT_INPUTS!$C$327,CHAR(252),CHAR(251))</f>
        <v>û</v>
      </c>
      <c r="L130" s="53" t="str">
        <f>IF(G130&gt;=CO_ATT_INPUTS!$C$327,CHAR(252),CHAR(251))</f>
        <v>û</v>
      </c>
      <c r="M130" s="53" t="str">
        <f>IF(H130&gt;=CO_ATT_INPUTS!$C$327,CHAR(252),CHAR(251))</f>
        <v>û</v>
      </c>
      <c r="N130" s="54" t="str">
        <f>IF(I130&gt;=CO_ATT_INPUTS!$C$327,CHAR(252),CHAR(251))</f>
        <v>û</v>
      </c>
    </row>
    <row r="131" spans="1:14" s="51" customFormat="1" ht="37.5" hidden="1" customHeight="1" x14ac:dyDescent="0.25">
      <c r="A131" s="52">
        <f>CO_ATT_INPUTS!A131</f>
        <v>113</v>
      </c>
      <c r="B131" s="18">
        <f>CO_ATT_INPUTS!B131</f>
        <v>0</v>
      </c>
      <c r="C131" s="19">
        <f>CO_ATT_INPUTS!C131</f>
        <v>0</v>
      </c>
      <c r="D131" s="91">
        <f>CO_ATT_INPUTS!D131</f>
        <v>0</v>
      </c>
      <c r="E131" s="19">
        <f>CO_ATT_INPUTS!AF131</f>
        <v>0</v>
      </c>
      <c r="F131" s="19">
        <f>CO_ATT_INPUTS!AG131</f>
        <v>0</v>
      </c>
      <c r="G131" s="19">
        <f>CO_ATT_INPUTS!AH131</f>
        <v>0</v>
      </c>
      <c r="H131" s="19">
        <f>CO_ATT_INPUTS!AI131</f>
        <v>0</v>
      </c>
      <c r="I131" s="19">
        <f>CO_ATT_INPUTS!AJ131</f>
        <v>0</v>
      </c>
      <c r="J131" s="53" t="str">
        <f>IF(E131&gt;=CO_ATT_INPUTS!$C$327,CHAR(252),CHAR(251))</f>
        <v>û</v>
      </c>
      <c r="K131" s="53" t="str">
        <f>IF(F131&gt;=CO_ATT_INPUTS!$C$327,CHAR(252),CHAR(251))</f>
        <v>û</v>
      </c>
      <c r="L131" s="53" t="str">
        <f>IF(G131&gt;=CO_ATT_INPUTS!$C$327,CHAR(252),CHAR(251))</f>
        <v>û</v>
      </c>
      <c r="M131" s="53" t="str">
        <f>IF(H131&gt;=CO_ATT_INPUTS!$C$327,CHAR(252),CHAR(251))</f>
        <v>û</v>
      </c>
      <c r="N131" s="54" t="str">
        <f>IF(I131&gt;=CO_ATT_INPUTS!$C$327,CHAR(252),CHAR(251))</f>
        <v>û</v>
      </c>
    </row>
    <row r="132" spans="1:14" s="51" customFormat="1" ht="37.5" hidden="1" customHeight="1" x14ac:dyDescent="0.25">
      <c r="A132" s="52">
        <f>CO_ATT_INPUTS!A132</f>
        <v>114</v>
      </c>
      <c r="B132" s="18">
        <f>CO_ATT_INPUTS!B132</f>
        <v>0</v>
      </c>
      <c r="C132" s="19">
        <f>CO_ATT_INPUTS!C132</f>
        <v>0</v>
      </c>
      <c r="D132" s="91">
        <f>CO_ATT_INPUTS!D132</f>
        <v>0</v>
      </c>
      <c r="E132" s="19">
        <f>CO_ATT_INPUTS!AF132</f>
        <v>0</v>
      </c>
      <c r="F132" s="19">
        <f>CO_ATT_INPUTS!AG132</f>
        <v>0</v>
      </c>
      <c r="G132" s="19">
        <f>CO_ATT_INPUTS!AH132</f>
        <v>0</v>
      </c>
      <c r="H132" s="19">
        <f>CO_ATT_INPUTS!AI132</f>
        <v>0</v>
      </c>
      <c r="I132" s="19">
        <f>CO_ATT_INPUTS!AJ132</f>
        <v>0</v>
      </c>
      <c r="J132" s="53" t="str">
        <f>IF(E132&gt;=CO_ATT_INPUTS!$C$327,CHAR(252),CHAR(251))</f>
        <v>û</v>
      </c>
      <c r="K132" s="53" t="str">
        <f>IF(F132&gt;=CO_ATT_INPUTS!$C$327,CHAR(252),CHAR(251))</f>
        <v>û</v>
      </c>
      <c r="L132" s="53" t="str">
        <f>IF(G132&gt;=CO_ATT_INPUTS!$C$327,CHAR(252),CHAR(251))</f>
        <v>û</v>
      </c>
      <c r="M132" s="53" t="str">
        <f>IF(H132&gt;=CO_ATT_INPUTS!$C$327,CHAR(252),CHAR(251))</f>
        <v>û</v>
      </c>
      <c r="N132" s="54" t="str">
        <f>IF(I132&gt;=CO_ATT_INPUTS!$C$327,CHAR(252),CHAR(251))</f>
        <v>û</v>
      </c>
    </row>
    <row r="133" spans="1:14" s="51" customFormat="1" ht="37.5" hidden="1" customHeight="1" x14ac:dyDescent="0.25">
      <c r="A133" s="52">
        <f>CO_ATT_INPUTS!A133</f>
        <v>115</v>
      </c>
      <c r="B133" s="18">
        <f>CO_ATT_INPUTS!B133</f>
        <v>0</v>
      </c>
      <c r="C133" s="19">
        <f>CO_ATT_INPUTS!C133</f>
        <v>0</v>
      </c>
      <c r="D133" s="91">
        <f>CO_ATT_INPUTS!D133</f>
        <v>0</v>
      </c>
      <c r="E133" s="19">
        <f>CO_ATT_INPUTS!AF133</f>
        <v>0</v>
      </c>
      <c r="F133" s="19">
        <f>CO_ATT_INPUTS!AG133</f>
        <v>0</v>
      </c>
      <c r="G133" s="19">
        <f>CO_ATT_INPUTS!AH133</f>
        <v>0</v>
      </c>
      <c r="H133" s="19">
        <f>CO_ATT_INPUTS!AI133</f>
        <v>0</v>
      </c>
      <c r="I133" s="19">
        <f>CO_ATT_INPUTS!AJ133</f>
        <v>0</v>
      </c>
      <c r="J133" s="53" t="str">
        <f>IF(E133&gt;=CO_ATT_INPUTS!$C$327,CHAR(252),CHAR(251))</f>
        <v>û</v>
      </c>
      <c r="K133" s="53" t="str">
        <f>IF(F133&gt;=CO_ATT_INPUTS!$C$327,CHAR(252),CHAR(251))</f>
        <v>û</v>
      </c>
      <c r="L133" s="53" t="str">
        <f>IF(G133&gt;=CO_ATT_INPUTS!$C$327,CHAR(252),CHAR(251))</f>
        <v>û</v>
      </c>
      <c r="M133" s="53" t="str">
        <f>IF(H133&gt;=CO_ATT_INPUTS!$C$327,CHAR(252),CHAR(251))</f>
        <v>û</v>
      </c>
      <c r="N133" s="54" t="str">
        <f>IF(I133&gt;=CO_ATT_INPUTS!$C$327,CHAR(252),CHAR(251))</f>
        <v>û</v>
      </c>
    </row>
    <row r="134" spans="1:14" s="51" customFormat="1" ht="37.5" hidden="1" customHeight="1" x14ac:dyDescent="0.25">
      <c r="A134" s="52">
        <f>CO_ATT_INPUTS!A134</f>
        <v>116</v>
      </c>
      <c r="B134" s="18">
        <f>CO_ATT_INPUTS!B134</f>
        <v>0</v>
      </c>
      <c r="C134" s="19">
        <f>CO_ATT_INPUTS!C134</f>
        <v>0</v>
      </c>
      <c r="D134" s="91">
        <f>CO_ATT_INPUTS!D134</f>
        <v>0</v>
      </c>
      <c r="E134" s="19">
        <f>CO_ATT_INPUTS!AF134</f>
        <v>0</v>
      </c>
      <c r="F134" s="19">
        <f>CO_ATT_INPUTS!AG134</f>
        <v>0</v>
      </c>
      <c r="G134" s="19">
        <f>CO_ATT_INPUTS!AH134</f>
        <v>0</v>
      </c>
      <c r="H134" s="19">
        <f>CO_ATT_INPUTS!AI134</f>
        <v>0</v>
      </c>
      <c r="I134" s="19">
        <f>CO_ATT_INPUTS!AJ134</f>
        <v>0</v>
      </c>
      <c r="J134" s="53" t="str">
        <f>IF(E134&gt;=CO_ATT_INPUTS!$C$327,CHAR(252),CHAR(251))</f>
        <v>û</v>
      </c>
      <c r="K134" s="53" t="str">
        <f>IF(F134&gt;=CO_ATT_INPUTS!$C$327,CHAR(252),CHAR(251))</f>
        <v>û</v>
      </c>
      <c r="L134" s="53" t="str">
        <f>IF(G134&gt;=CO_ATT_INPUTS!$C$327,CHAR(252),CHAR(251))</f>
        <v>û</v>
      </c>
      <c r="M134" s="53" t="str">
        <f>IF(H134&gt;=CO_ATT_INPUTS!$C$327,CHAR(252),CHAR(251))</f>
        <v>û</v>
      </c>
      <c r="N134" s="54" t="str">
        <f>IF(I134&gt;=CO_ATT_INPUTS!$C$327,CHAR(252),CHAR(251))</f>
        <v>û</v>
      </c>
    </row>
    <row r="135" spans="1:14" s="51" customFormat="1" ht="37.5" hidden="1" customHeight="1" x14ac:dyDescent="0.25">
      <c r="A135" s="52">
        <f>CO_ATT_INPUTS!A135</f>
        <v>117</v>
      </c>
      <c r="B135" s="18">
        <f>CO_ATT_INPUTS!B135</f>
        <v>0</v>
      </c>
      <c r="C135" s="19">
        <f>CO_ATT_INPUTS!C135</f>
        <v>0</v>
      </c>
      <c r="D135" s="91">
        <f>CO_ATT_INPUTS!D135</f>
        <v>0</v>
      </c>
      <c r="E135" s="19">
        <f>CO_ATT_INPUTS!AF135</f>
        <v>0</v>
      </c>
      <c r="F135" s="19">
        <f>CO_ATT_INPUTS!AG135</f>
        <v>0</v>
      </c>
      <c r="G135" s="19">
        <f>CO_ATT_INPUTS!AH135</f>
        <v>0</v>
      </c>
      <c r="H135" s="19">
        <f>CO_ATT_INPUTS!AI135</f>
        <v>0</v>
      </c>
      <c r="I135" s="19">
        <f>CO_ATT_INPUTS!AJ135</f>
        <v>0</v>
      </c>
      <c r="J135" s="53" t="str">
        <f>IF(E135&gt;=CO_ATT_INPUTS!$C$327,CHAR(252),CHAR(251))</f>
        <v>û</v>
      </c>
      <c r="K135" s="53" t="str">
        <f>IF(F135&gt;=CO_ATT_INPUTS!$C$327,CHAR(252),CHAR(251))</f>
        <v>û</v>
      </c>
      <c r="L135" s="53" t="str">
        <f>IF(G135&gt;=CO_ATT_INPUTS!$C$327,CHAR(252),CHAR(251))</f>
        <v>û</v>
      </c>
      <c r="M135" s="53" t="str">
        <f>IF(H135&gt;=CO_ATT_INPUTS!$C$327,CHAR(252),CHAR(251))</f>
        <v>û</v>
      </c>
      <c r="N135" s="54" t="str">
        <f>IF(I135&gt;=CO_ATT_INPUTS!$C$327,CHAR(252),CHAR(251))</f>
        <v>û</v>
      </c>
    </row>
    <row r="136" spans="1:14" s="51" customFormat="1" ht="37.5" hidden="1" customHeight="1" x14ac:dyDescent="0.25">
      <c r="A136" s="52">
        <f>CO_ATT_INPUTS!A136</f>
        <v>118</v>
      </c>
      <c r="B136" s="18">
        <f>CO_ATT_INPUTS!B136</f>
        <v>0</v>
      </c>
      <c r="C136" s="19">
        <f>CO_ATT_INPUTS!C136</f>
        <v>0</v>
      </c>
      <c r="D136" s="91">
        <f>CO_ATT_INPUTS!D136</f>
        <v>0</v>
      </c>
      <c r="E136" s="19">
        <f>CO_ATT_INPUTS!AF136</f>
        <v>0</v>
      </c>
      <c r="F136" s="19">
        <f>CO_ATT_INPUTS!AG136</f>
        <v>0</v>
      </c>
      <c r="G136" s="19">
        <f>CO_ATT_INPUTS!AH136</f>
        <v>0</v>
      </c>
      <c r="H136" s="19">
        <f>CO_ATT_INPUTS!AI136</f>
        <v>0</v>
      </c>
      <c r="I136" s="19">
        <f>CO_ATT_INPUTS!AJ136</f>
        <v>0</v>
      </c>
      <c r="J136" s="53" t="str">
        <f>IF(E136&gt;=CO_ATT_INPUTS!$C$327,CHAR(252),CHAR(251))</f>
        <v>û</v>
      </c>
      <c r="K136" s="53" t="str">
        <f>IF(F136&gt;=CO_ATT_INPUTS!$C$327,CHAR(252),CHAR(251))</f>
        <v>û</v>
      </c>
      <c r="L136" s="53" t="str">
        <f>IF(G136&gt;=CO_ATT_INPUTS!$C$327,CHAR(252),CHAR(251))</f>
        <v>û</v>
      </c>
      <c r="M136" s="53" t="str">
        <f>IF(H136&gt;=CO_ATT_INPUTS!$C$327,CHAR(252),CHAR(251))</f>
        <v>û</v>
      </c>
      <c r="N136" s="54" t="str">
        <f>IF(I136&gt;=CO_ATT_INPUTS!$C$327,CHAR(252),CHAR(251))</f>
        <v>û</v>
      </c>
    </row>
    <row r="137" spans="1:14" s="51" customFormat="1" ht="37.5" hidden="1" customHeight="1" x14ac:dyDescent="0.25">
      <c r="A137" s="52">
        <f>CO_ATT_INPUTS!A137</f>
        <v>119</v>
      </c>
      <c r="B137" s="18">
        <f>CO_ATT_INPUTS!B137</f>
        <v>0</v>
      </c>
      <c r="C137" s="19">
        <f>CO_ATT_INPUTS!C137</f>
        <v>0</v>
      </c>
      <c r="D137" s="91">
        <f>CO_ATT_INPUTS!D137</f>
        <v>0</v>
      </c>
      <c r="E137" s="19">
        <f>CO_ATT_INPUTS!AF137</f>
        <v>0</v>
      </c>
      <c r="F137" s="19">
        <f>CO_ATT_INPUTS!AG137</f>
        <v>0</v>
      </c>
      <c r="G137" s="19">
        <f>CO_ATT_INPUTS!AH137</f>
        <v>0</v>
      </c>
      <c r="H137" s="19">
        <f>CO_ATT_INPUTS!AI137</f>
        <v>0</v>
      </c>
      <c r="I137" s="19">
        <f>CO_ATT_INPUTS!AJ137</f>
        <v>0</v>
      </c>
      <c r="J137" s="53" t="str">
        <f>IF(E137&gt;=CO_ATT_INPUTS!$C$327,CHAR(252),CHAR(251))</f>
        <v>û</v>
      </c>
      <c r="K137" s="53" t="str">
        <f>IF(F137&gt;=CO_ATT_INPUTS!$C$327,CHAR(252),CHAR(251))</f>
        <v>û</v>
      </c>
      <c r="L137" s="53" t="str">
        <f>IF(G137&gt;=CO_ATT_INPUTS!$C$327,CHAR(252),CHAR(251))</f>
        <v>û</v>
      </c>
      <c r="M137" s="53" t="str">
        <f>IF(H137&gt;=CO_ATT_INPUTS!$C$327,CHAR(252),CHAR(251))</f>
        <v>û</v>
      </c>
      <c r="N137" s="54" t="str">
        <f>IF(I137&gt;=CO_ATT_INPUTS!$C$327,CHAR(252),CHAR(251))</f>
        <v>û</v>
      </c>
    </row>
    <row r="138" spans="1:14" s="51" customFormat="1" ht="37.5" hidden="1" customHeight="1" x14ac:dyDescent="0.25">
      <c r="A138" s="52">
        <f>CO_ATT_INPUTS!A138</f>
        <v>120</v>
      </c>
      <c r="B138" s="18">
        <f>CO_ATT_INPUTS!B138</f>
        <v>0</v>
      </c>
      <c r="C138" s="19">
        <f>CO_ATT_INPUTS!C138</f>
        <v>0</v>
      </c>
      <c r="D138" s="91">
        <f>CO_ATT_INPUTS!D138</f>
        <v>0</v>
      </c>
      <c r="E138" s="19">
        <f>CO_ATT_INPUTS!AF138</f>
        <v>0</v>
      </c>
      <c r="F138" s="19">
        <f>CO_ATT_INPUTS!AG138</f>
        <v>0</v>
      </c>
      <c r="G138" s="19">
        <f>CO_ATT_INPUTS!AH138</f>
        <v>0</v>
      </c>
      <c r="H138" s="19">
        <f>CO_ATT_INPUTS!AI138</f>
        <v>0</v>
      </c>
      <c r="I138" s="19">
        <f>CO_ATT_INPUTS!AJ138</f>
        <v>0</v>
      </c>
      <c r="J138" s="53" t="str">
        <f>IF(E138&gt;=CO_ATT_INPUTS!$C$327,CHAR(252),CHAR(251))</f>
        <v>û</v>
      </c>
      <c r="K138" s="53" t="str">
        <f>IF(F138&gt;=CO_ATT_INPUTS!$C$327,CHAR(252),CHAR(251))</f>
        <v>û</v>
      </c>
      <c r="L138" s="53" t="str">
        <f>IF(G138&gt;=CO_ATT_INPUTS!$C$327,CHAR(252),CHAR(251))</f>
        <v>û</v>
      </c>
      <c r="M138" s="53" t="str">
        <f>IF(H138&gt;=CO_ATT_INPUTS!$C$327,CHAR(252),CHAR(251))</f>
        <v>û</v>
      </c>
      <c r="N138" s="54" t="str">
        <f>IF(I138&gt;=CO_ATT_INPUTS!$C$327,CHAR(252),CHAR(251))</f>
        <v>û</v>
      </c>
    </row>
    <row r="139" spans="1:14" s="51" customFormat="1" ht="37.5" hidden="1" customHeight="1" x14ac:dyDescent="0.25">
      <c r="A139" s="52">
        <f>CO_ATT_INPUTS!A139</f>
        <v>121</v>
      </c>
      <c r="B139" s="18">
        <f>CO_ATT_INPUTS!B139</f>
        <v>0</v>
      </c>
      <c r="C139" s="19">
        <f>CO_ATT_INPUTS!C139</f>
        <v>0</v>
      </c>
      <c r="D139" s="91">
        <f>CO_ATT_INPUTS!D139</f>
        <v>0</v>
      </c>
      <c r="E139" s="19">
        <f>CO_ATT_INPUTS!AF139</f>
        <v>0</v>
      </c>
      <c r="F139" s="19">
        <f>CO_ATT_INPUTS!AG139</f>
        <v>0</v>
      </c>
      <c r="G139" s="19">
        <f>CO_ATT_INPUTS!AH139</f>
        <v>0</v>
      </c>
      <c r="H139" s="19">
        <f>CO_ATT_INPUTS!AI139</f>
        <v>0</v>
      </c>
      <c r="I139" s="19">
        <f>CO_ATT_INPUTS!AJ139</f>
        <v>0</v>
      </c>
      <c r="J139" s="53" t="str">
        <f>IF(E139&gt;=CO_ATT_INPUTS!$C$327,CHAR(252),CHAR(251))</f>
        <v>û</v>
      </c>
      <c r="K139" s="53" t="str">
        <f>IF(F139&gt;=CO_ATT_INPUTS!$C$327,CHAR(252),CHAR(251))</f>
        <v>û</v>
      </c>
      <c r="L139" s="53" t="str">
        <f>IF(G139&gt;=CO_ATT_INPUTS!$C$327,CHAR(252),CHAR(251))</f>
        <v>û</v>
      </c>
      <c r="M139" s="53" t="str">
        <f>IF(H139&gt;=CO_ATT_INPUTS!$C$327,CHAR(252),CHAR(251))</f>
        <v>û</v>
      </c>
      <c r="N139" s="54" t="str">
        <f>IF(I139&gt;=CO_ATT_INPUTS!$C$327,CHAR(252),CHAR(251))</f>
        <v>û</v>
      </c>
    </row>
    <row r="140" spans="1:14" s="51" customFormat="1" ht="37.5" hidden="1" customHeight="1" x14ac:dyDescent="0.25">
      <c r="A140" s="52">
        <f>CO_ATT_INPUTS!A140</f>
        <v>122</v>
      </c>
      <c r="B140" s="18">
        <f>CO_ATT_INPUTS!B140</f>
        <v>0</v>
      </c>
      <c r="C140" s="19">
        <f>CO_ATT_INPUTS!C140</f>
        <v>0</v>
      </c>
      <c r="D140" s="91">
        <f>CO_ATT_INPUTS!D140</f>
        <v>0</v>
      </c>
      <c r="E140" s="19">
        <f>CO_ATT_INPUTS!AF140</f>
        <v>0</v>
      </c>
      <c r="F140" s="19">
        <f>CO_ATT_INPUTS!AG140</f>
        <v>0</v>
      </c>
      <c r="G140" s="19">
        <f>CO_ATT_INPUTS!AH140</f>
        <v>0</v>
      </c>
      <c r="H140" s="19">
        <f>CO_ATT_INPUTS!AI140</f>
        <v>0</v>
      </c>
      <c r="I140" s="19">
        <f>CO_ATT_INPUTS!AJ140</f>
        <v>0</v>
      </c>
      <c r="J140" s="53" t="str">
        <f>IF(E140&gt;=CO_ATT_INPUTS!$C$327,CHAR(252),CHAR(251))</f>
        <v>û</v>
      </c>
      <c r="K140" s="53" t="str">
        <f>IF(F140&gt;=CO_ATT_INPUTS!$C$327,CHAR(252),CHAR(251))</f>
        <v>û</v>
      </c>
      <c r="L140" s="53" t="str">
        <f>IF(G140&gt;=CO_ATT_INPUTS!$C$327,CHAR(252),CHAR(251))</f>
        <v>û</v>
      </c>
      <c r="M140" s="53" t="str">
        <f>IF(H140&gt;=CO_ATT_INPUTS!$C$327,CHAR(252),CHAR(251))</f>
        <v>û</v>
      </c>
      <c r="N140" s="54" t="str">
        <f>IF(I140&gt;=CO_ATT_INPUTS!$C$327,CHAR(252),CHAR(251))</f>
        <v>û</v>
      </c>
    </row>
    <row r="141" spans="1:14" s="51" customFormat="1" ht="37.5" hidden="1" customHeight="1" x14ac:dyDescent="0.25">
      <c r="A141" s="52">
        <f>CO_ATT_INPUTS!A141</f>
        <v>123</v>
      </c>
      <c r="B141" s="18">
        <f>CO_ATT_INPUTS!B141</f>
        <v>0</v>
      </c>
      <c r="C141" s="19">
        <f>CO_ATT_INPUTS!C141</f>
        <v>0</v>
      </c>
      <c r="D141" s="91">
        <f>CO_ATT_INPUTS!D141</f>
        <v>0</v>
      </c>
      <c r="E141" s="19">
        <f>CO_ATT_INPUTS!AF141</f>
        <v>0</v>
      </c>
      <c r="F141" s="19">
        <f>CO_ATT_INPUTS!AG141</f>
        <v>0</v>
      </c>
      <c r="G141" s="19">
        <f>CO_ATT_INPUTS!AH141</f>
        <v>0</v>
      </c>
      <c r="H141" s="19">
        <f>CO_ATT_INPUTS!AI141</f>
        <v>0</v>
      </c>
      <c r="I141" s="19">
        <f>CO_ATT_INPUTS!AJ141</f>
        <v>0</v>
      </c>
      <c r="J141" s="53" t="str">
        <f>IF(E141&gt;=CO_ATT_INPUTS!$C$327,CHAR(252),CHAR(251))</f>
        <v>û</v>
      </c>
      <c r="K141" s="53" t="str">
        <f>IF(F141&gt;=CO_ATT_INPUTS!$C$327,CHAR(252),CHAR(251))</f>
        <v>û</v>
      </c>
      <c r="L141" s="53" t="str">
        <f>IF(G141&gt;=CO_ATT_INPUTS!$C$327,CHAR(252),CHAR(251))</f>
        <v>û</v>
      </c>
      <c r="M141" s="53" t="str">
        <f>IF(H141&gt;=CO_ATT_INPUTS!$C$327,CHAR(252),CHAR(251))</f>
        <v>û</v>
      </c>
      <c r="N141" s="54" t="str">
        <f>IF(I141&gt;=CO_ATT_INPUTS!$C$327,CHAR(252),CHAR(251))</f>
        <v>û</v>
      </c>
    </row>
    <row r="142" spans="1:14" s="51" customFormat="1" ht="37.5" hidden="1" customHeight="1" x14ac:dyDescent="0.25">
      <c r="A142" s="52">
        <f>CO_ATT_INPUTS!A142</f>
        <v>124</v>
      </c>
      <c r="B142" s="18">
        <f>CO_ATT_INPUTS!B142</f>
        <v>0</v>
      </c>
      <c r="C142" s="19">
        <f>CO_ATT_INPUTS!C142</f>
        <v>0</v>
      </c>
      <c r="D142" s="91">
        <f>CO_ATT_INPUTS!D142</f>
        <v>0</v>
      </c>
      <c r="E142" s="19">
        <f>CO_ATT_INPUTS!AF142</f>
        <v>0</v>
      </c>
      <c r="F142" s="19">
        <f>CO_ATT_INPUTS!AG142</f>
        <v>0</v>
      </c>
      <c r="G142" s="19">
        <f>CO_ATT_INPUTS!AH142</f>
        <v>0</v>
      </c>
      <c r="H142" s="19">
        <f>CO_ATT_INPUTS!AI142</f>
        <v>0</v>
      </c>
      <c r="I142" s="19">
        <f>CO_ATT_INPUTS!AJ142</f>
        <v>0</v>
      </c>
      <c r="J142" s="53" t="str">
        <f>IF(E142&gt;=CO_ATT_INPUTS!$C$327,CHAR(252),CHAR(251))</f>
        <v>û</v>
      </c>
      <c r="K142" s="53" t="str">
        <f>IF(F142&gt;=CO_ATT_INPUTS!$C$327,CHAR(252),CHAR(251))</f>
        <v>û</v>
      </c>
      <c r="L142" s="53" t="str">
        <f>IF(G142&gt;=CO_ATT_INPUTS!$C$327,CHAR(252),CHAR(251))</f>
        <v>û</v>
      </c>
      <c r="M142" s="53" t="str">
        <f>IF(H142&gt;=CO_ATT_INPUTS!$C$327,CHAR(252),CHAR(251))</f>
        <v>û</v>
      </c>
      <c r="N142" s="54" t="str">
        <f>IF(I142&gt;=CO_ATT_INPUTS!$C$327,CHAR(252),CHAR(251))</f>
        <v>û</v>
      </c>
    </row>
    <row r="143" spans="1:14" s="51" customFormat="1" ht="37.5" hidden="1" customHeight="1" x14ac:dyDescent="0.25">
      <c r="A143" s="52">
        <f>CO_ATT_INPUTS!A143</f>
        <v>125</v>
      </c>
      <c r="B143" s="18">
        <f>CO_ATT_INPUTS!B143</f>
        <v>0</v>
      </c>
      <c r="C143" s="19">
        <f>CO_ATT_INPUTS!C143</f>
        <v>0</v>
      </c>
      <c r="D143" s="91">
        <f>CO_ATT_INPUTS!D143</f>
        <v>0</v>
      </c>
      <c r="E143" s="19">
        <f>CO_ATT_INPUTS!AF143</f>
        <v>0</v>
      </c>
      <c r="F143" s="19">
        <f>CO_ATT_INPUTS!AG143</f>
        <v>0</v>
      </c>
      <c r="G143" s="19">
        <f>CO_ATT_INPUTS!AH143</f>
        <v>0</v>
      </c>
      <c r="H143" s="19">
        <f>CO_ATT_INPUTS!AI143</f>
        <v>0</v>
      </c>
      <c r="I143" s="19">
        <f>CO_ATT_INPUTS!AJ143</f>
        <v>0</v>
      </c>
      <c r="J143" s="53" t="str">
        <f>IF(E143&gt;=CO_ATT_INPUTS!$C$327,CHAR(252),CHAR(251))</f>
        <v>û</v>
      </c>
      <c r="K143" s="53" t="str">
        <f>IF(F143&gt;=CO_ATT_INPUTS!$C$327,CHAR(252),CHAR(251))</f>
        <v>û</v>
      </c>
      <c r="L143" s="53" t="str">
        <f>IF(G143&gt;=CO_ATT_INPUTS!$C$327,CHAR(252),CHAR(251))</f>
        <v>û</v>
      </c>
      <c r="M143" s="53" t="str">
        <f>IF(H143&gt;=CO_ATT_INPUTS!$C$327,CHAR(252),CHAR(251))</f>
        <v>û</v>
      </c>
      <c r="N143" s="54" t="str">
        <f>IF(I143&gt;=CO_ATT_INPUTS!$C$327,CHAR(252),CHAR(251))</f>
        <v>û</v>
      </c>
    </row>
    <row r="144" spans="1:14" s="51" customFormat="1" ht="37.5" hidden="1" customHeight="1" x14ac:dyDescent="0.25">
      <c r="A144" s="52">
        <f>CO_ATT_INPUTS!A144</f>
        <v>126</v>
      </c>
      <c r="B144" s="18">
        <f>CO_ATT_INPUTS!B144</f>
        <v>0</v>
      </c>
      <c r="C144" s="19">
        <f>CO_ATT_INPUTS!C144</f>
        <v>0</v>
      </c>
      <c r="D144" s="91">
        <f>CO_ATT_INPUTS!D144</f>
        <v>0</v>
      </c>
      <c r="E144" s="19">
        <f>CO_ATT_INPUTS!AF144</f>
        <v>0</v>
      </c>
      <c r="F144" s="19">
        <f>CO_ATT_INPUTS!AG144</f>
        <v>0</v>
      </c>
      <c r="G144" s="19">
        <f>CO_ATT_INPUTS!AH144</f>
        <v>0</v>
      </c>
      <c r="H144" s="19">
        <f>CO_ATT_INPUTS!AI144</f>
        <v>0</v>
      </c>
      <c r="I144" s="19">
        <f>CO_ATT_INPUTS!AJ144</f>
        <v>0</v>
      </c>
      <c r="J144" s="53" t="str">
        <f>IF(E144&gt;=CO_ATT_INPUTS!$C$327,CHAR(252),CHAR(251))</f>
        <v>û</v>
      </c>
      <c r="K144" s="53" t="str">
        <f>IF(F144&gt;=CO_ATT_INPUTS!$C$327,CHAR(252),CHAR(251))</f>
        <v>û</v>
      </c>
      <c r="L144" s="53" t="str">
        <f>IF(G144&gt;=CO_ATT_INPUTS!$C$327,CHAR(252),CHAR(251))</f>
        <v>û</v>
      </c>
      <c r="M144" s="53" t="str">
        <f>IF(H144&gt;=CO_ATT_INPUTS!$C$327,CHAR(252),CHAR(251))</f>
        <v>û</v>
      </c>
      <c r="N144" s="54" t="str">
        <f>IF(I144&gt;=CO_ATT_INPUTS!$C$327,CHAR(252),CHAR(251))</f>
        <v>û</v>
      </c>
    </row>
    <row r="145" spans="1:14" s="51" customFormat="1" ht="37.5" hidden="1" customHeight="1" x14ac:dyDescent="0.25">
      <c r="A145" s="52">
        <f>CO_ATT_INPUTS!A145</f>
        <v>127</v>
      </c>
      <c r="B145" s="18">
        <f>CO_ATT_INPUTS!B145</f>
        <v>0</v>
      </c>
      <c r="C145" s="19">
        <f>CO_ATT_INPUTS!C145</f>
        <v>0</v>
      </c>
      <c r="D145" s="91">
        <f>CO_ATT_INPUTS!D145</f>
        <v>0</v>
      </c>
      <c r="E145" s="19">
        <f>CO_ATT_INPUTS!AF145</f>
        <v>0</v>
      </c>
      <c r="F145" s="19">
        <f>CO_ATT_INPUTS!AG145</f>
        <v>0</v>
      </c>
      <c r="G145" s="19">
        <f>CO_ATT_INPUTS!AH145</f>
        <v>0</v>
      </c>
      <c r="H145" s="19">
        <f>CO_ATT_INPUTS!AI145</f>
        <v>0</v>
      </c>
      <c r="I145" s="19">
        <f>CO_ATT_INPUTS!AJ145</f>
        <v>0</v>
      </c>
      <c r="J145" s="53" t="str">
        <f>IF(E145&gt;=CO_ATT_INPUTS!$C$327,CHAR(252),CHAR(251))</f>
        <v>û</v>
      </c>
      <c r="K145" s="53" t="str">
        <f>IF(F145&gt;=CO_ATT_INPUTS!$C$327,CHAR(252),CHAR(251))</f>
        <v>û</v>
      </c>
      <c r="L145" s="53" t="str">
        <f>IF(G145&gt;=CO_ATT_INPUTS!$C$327,CHAR(252),CHAR(251))</f>
        <v>û</v>
      </c>
      <c r="M145" s="53" t="str">
        <f>IF(H145&gt;=CO_ATT_INPUTS!$C$327,CHAR(252),CHAR(251))</f>
        <v>û</v>
      </c>
      <c r="N145" s="54" t="str">
        <f>IF(I145&gt;=CO_ATT_INPUTS!$C$327,CHAR(252),CHAR(251))</f>
        <v>û</v>
      </c>
    </row>
    <row r="146" spans="1:14" s="51" customFormat="1" ht="37.5" hidden="1" customHeight="1" x14ac:dyDescent="0.25">
      <c r="A146" s="52">
        <f>CO_ATT_INPUTS!A146</f>
        <v>128</v>
      </c>
      <c r="B146" s="18">
        <f>CO_ATT_INPUTS!B146</f>
        <v>0</v>
      </c>
      <c r="C146" s="19">
        <f>CO_ATT_INPUTS!C146</f>
        <v>0</v>
      </c>
      <c r="D146" s="91">
        <f>CO_ATT_INPUTS!D146</f>
        <v>0</v>
      </c>
      <c r="E146" s="19">
        <f>CO_ATT_INPUTS!AF146</f>
        <v>0</v>
      </c>
      <c r="F146" s="19">
        <f>CO_ATT_INPUTS!AG146</f>
        <v>0</v>
      </c>
      <c r="G146" s="19">
        <f>CO_ATT_INPUTS!AH146</f>
        <v>0</v>
      </c>
      <c r="H146" s="19">
        <f>CO_ATT_INPUTS!AI146</f>
        <v>0</v>
      </c>
      <c r="I146" s="19">
        <f>CO_ATT_INPUTS!AJ146</f>
        <v>0</v>
      </c>
      <c r="J146" s="53" t="str">
        <f>IF(E146&gt;=CO_ATT_INPUTS!$C$327,CHAR(252),CHAR(251))</f>
        <v>û</v>
      </c>
      <c r="K146" s="53" t="str">
        <f>IF(F146&gt;=CO_ATT_INPUTS!$C$327,CHAR(252),CHAR(251))</f>
        <v>û</v>
      </c>
      <c r="L146" s="53" t="str">
        <f>IF(G146&gt;=CO_ATT_INPUTS!$C$327,CHAR(252),CHAR(251))</f>
        <v>û</v>
      </c>
      <c r="M146" s="53" t="str">
        <f>IF(H146&gt;=CO_ATT_INPUTS!$C$327,CHAR(252),CHAR(251))</f>
        <v>û</v>
      </c>
      <c r="N146" s="54" t="str">
        <f>IF(I146&gt;=CO_ATT_INPUTS!$C$327,CHAR(252),CHAR(251))</f>
        <v>û</v>
      </c>
    </row>
    <row r="147" spans="1:14" s="51" customFormat="1" ht="37.5" hidden="1" customHeight="1" x14ac:dyDescent="0.25">
      <c r="A147" s="52">
        <f>CO_ATT_INPUTS!A147</f>
        <v>129</v>
      </c>
      <c r="B147" s="18">
        <f>CO_ATT_INPUTS!B147</f>
        <v>0</v>
      </c>
      <c r="C147" s="19">
        <f>CO_ATT_INPUTS!C147</f>
        <v>0</v>
      </c>
      <c r="D147" s="91">
        <f>CO_ATT_INPUTS!D147</f>
        <v>0</v>
      </c>
      <c r="E147" s="19">
        <f>CO_ATT_INPUTS!AF147</f>
        <v>0</v>
      </c>
      <c r="F147" s="19">
        <f>CO_ATT_INPUTS!AG147</f>
        <v>0</v>
      </c>
      <c r="G147" s="19">
        <f>CO_ATT_INPUTS!AH147</f>
        <v>0</v>
      </c>
      <c r="H147" s="19">
        <f>CO_ATT_INPUTS!AI147</f>
        <v>0</v>
      </c>
      <c r="I147" s="19">
        <f>CO_ATT_INPUTS!AJ147</f>
        <v>0</v>
      </c>
      <c r="J147" s="53" t="str">
        <f>IF(E147&gt;=CO_ATT_INPUTS!$C$327,CHAR(252),CHAR(251))</f>
        <v>û</v>
      </c>
      <c r="K147" s="53" t="str">
        <f>IF(F147&gt;=CO_ATT_INPUTS!$C$327,CHAR(252),CHAR(251))</f>
        <v>û</v>
      </c>
      <c r="L147" s="53" t="str">
        <f>IF(G147&gt;=CO_ATT_INPUTS!$C$327,CHAR(252),CHAR(251))</f>
        <v>û</v>
      </c>
      <c r="M147" s="53" t="str">
        <f>IF(H147&gt;=CO_ATT_INPUTS!$C$327,CHAR(252),CHAR(251))</f>
        <v>û</v>
      </c>
      <c r="N147" s="54" t="str">
        <f>IF(I147&gt;=CO_ATT_INPUTS!$C$327,CHAR(252),CHAR(251))</f>
        <v>û</v>
      </c>
    </row>
    <row r="148" spans="1:14" s="51" customFormat="1" ht="37.5" hidden="1" customHeight="1" x14ac:dyDescent="0.25">
      <c r="A148" s="52">
        <f>CO_ATT_INPUTS!A148</f>
        <v>130</v>
      </c>
      <c r="B148" s="18">
        <f>CO_ATT_INPUTS!B148</f>
        <v>0</v>
      </c>
      <c r="C148" s="19">
        <f>CO_ATT_INPUTS!C148</f>
        <v>0</v>
      </c>
      <c r="D148" s="91">
        <f>CO_ATT_INPUTS!D148</f>
        <v>0</v>
      </c>
      <c r="E148" s="19">
        <f>CO_ATT_INPUTS!AF148</f>
        <v>0</v>
      </c>
      <c r="F148" s="19">
        <f>CO_ATT_INPUTS!AG148</f>
        <v>0</v>
      </c>
      <c r="G148" s="19">
        <f>CO_ATT_INPUTS!AH148</f>
        <v>0</v>
      </c>
      <c r="H148" s="19">
        <f>CO_ATT_INPUTS!AI148</f>
        <v>0</v>
      </c>
      <c r="I148" s="19">
        <f>CO_ATT_INPUTS!AJ148</f>
        <v>0</v>
      </c>
      <c r="J148" s="53" t="str">
        <f>IF(E148&gt;=CO_ATT_INPUTS!$C$327,CHAR(252),CHAR(251))</f>
        <v>û</v>
      </c>
      <c r="K148" s="53" t="str">
        <f>IF(F148&gt;=CO_ATT_INPUTS!$C$327,CHAR(252),CHAR(251))</f>
        <v>û</v>
      </c>
      <c r="L148" s="53" t="str">
        <f>IF(G148&gt;=CO_ATT_INPUTS!$C$327,CHAR(252),CHAR(251))</f>
        <v>û</v>
      </c>
      <c r="M148" s="53" t="str">
        <f>IF(H148&gt;=CO_ATT_INPUTS!$C$327,CHAR(252),CHAR(251))</f>
        <v>û</v>
      </c>
      <c r="N148" s="54" t="str">
        <f>IF(I148&gt;=CO_ATT_INPUTS!$C$327,CHAR(252),CHAR(251))</f>
        <v>û</v>
      </c>
    </row>
    <row r="149" spans="1:14" s="51" customFormat="1" ht="37.5" hidden="1" customHeight="1" x14ac:dyDescent="0.25">
      <c r="A149" s="52">
        <f>CO_ATT_INPUTS!A149</f>
        <v>131</v>
      </c>
      <c r="B149" s="18">
        <f>CO_ATT_INPUTS!B149</f>
        <v>0</v>
      </c>
      <c r="C149" s="19">
        <f>CO_ATT_INPUTS!C149</f>
        <v>0</v>
      </c>
      <c r="D149" s="91">
        <f>CO_ATT_INPUTS!D149</f>
        <v>0</v>
      </c>
      <c r="E149" s="19">
        <f>CO_ATT_INPUTS!AF149</f>
        <v>0</v>
      </c>
      <c r="F149" s="19">
        <f>CO_ATT_INPUTS!AG149</f>
        <v>0</v>
      </c>
      <c r="G149" s="19">
        <f>CO_ATT_INPUTS!AH149</f>
        <v>0</v>
      </c>
      <c r="H149" s="19">
        <f>CO_ATT_INPUTS!AI149</f>
        <v>0</v>
      </c>
      <c r="I149" s="19">
        <f>CO_ATT_INPUTS!AJ149</f>
        <v>0</v>
      </c>
      <c r="J149" s="53" t="str">
        <f>IF(E149&gt;=CO_ATT_INPUTS!$C$327,CHAR(252),CHAR(251))</f>
        <v>û</v>
      </c>
      <c r="K149" s="53" t="str">
        <f>IF(F149&gt;=CO_ATT_INPUTS!$C$327,CHAR(252),CHAR(251))</f>
        <v>û</v>
      </c>
      <c r="L149" s="53" t="str">
        <f>IF(G149&gt;=CO_ATT_INPUTS!$C$327,CHAR(252),CHAR(251))</f>
        <v>û</v>
      </c>
      <c r="M149" s="53" t="str">
        <f>IF(H149&gt;=CO_ATT_INPUTS!$C$327,CHAR(252),CHAR(251))</f>
        <v>û</v>
      </c>
      <c r="N149" s="54" t="str">
        <f>IF(I149&gt;=CO_ATT_INPUTS!$C$327,CHAR(252),CHAR(251))</f>
        <v>û</v>
      </c>
    </row>
    <row r="150" spans="1:14" s="51" customFormat="1" ht="37.5" hidden="1" customHeight="1" x14ac:dyDescent="0.25">
      <c r="A150" s="52">
        <f>CO_ATT_INPUTS!A150</f>
        <v>132</v>
      </c>
      <c r="B150" s="18">
        <f>CO_ATT_INPUTS!B150</f>
        <v>0</v>
      </c>
      <c r="C150" s="19">
        <f>CO_ATT_INPUTS!C150</f>
        <v>0</v>
      </c>
      <c r="D150" s="91">
        <f>CO_ATT_INPUTS!D150</f>
        <v>0</v>
      </c>
      <c r="E150" s="19">
        <f>CO_ATT_INPUTS!AF150</f>
        <v>0</v>
      </c>
      <c r="F150" s="19">
        <f>CO_ATT_INPUTS!AG150</f>
        <v>0</v>
      </c>
      <c r="G150" s="19">
        <f>CO_ATT_INPUTS!AH150</f>
        <v>0</v>
      </c>
      <c r="H150" s="19">
        <f>CO_ATT_INPUTS!AI150</f>
        <v>0</v>
      </c>
      <c r="I150" s="19">
        <f>CO_ATT_INPUTS!AJ150</f>
        <v>0</v>
      </c>
      <c r="J150" s="53" t="str">
        <f>IF(E150&gt;=CO_ATT_INPUTS!$C$327,CHAR(252),CHAR(251))</f>
        <v>û</v>
      </c>
      <c r="K150" s="53" t="str">
        <f>IF(F150&gt;=CO_ATT_INPUTS!$C$327,CHAR(252),CHAR(251))</f>
        <v>û</v>
      </c>
      <c r="L150" s="53" t="str">
        <f>IF(G150&gt;=CO_ATT_INPUTS!$C$327,CHAR(252),CHAR(251))</f>
        <v>û</v>
      </c>
      <c r="M150" s="53" t="str">
        <f>IF(H150&gt;=CO_ATT_INPUTS!$C$327,CHAR(252),CHAR(251))</f>
        <v>û</v>
      </c>
      <c r="N150" s="54" t="str">
        <f>IF(I150&gt;=CO_ATT_INPUTS!$C$327,CHAR(252),CHAR(251))</f>
        <v>û</v>
      </c>
    </row>
    <row r="151" spans="1:14" s="51" customFormat="1" ht="37.5" hidden="1" customHeight="1" x14ac:dyDescent="0.25">
      <c r="A151" s="52">
        <f>CO_ATT_INPUTS!A151</f>
        <v>133</v>
      </c>
      <c r="B151" s="18">
        <f>CO_ATT_INPUTS!B151</f>
        <v>0</v>
      </c>
      <c r="C151" s="19">
        <f>CO_ATT_INPUTS!C151</f>
        <v>0</v>
      </c>
      <c r="D151" s="91">
        <f>CO_ATT_INPUTS!D151</f>
        <v>0</v>
      </c>
      <c r="E151" s="19">
        <f>CO_ATT_INPUTS!AF151</f>
        <v>0</v>
      </c>
      <c r="F151" s="19">
        <f>CO_ATT_INPUTS!AG151</f>
        <v>0</v>
      </c>
      <c r="G151" s="19">
        <f>CO_ATT_INPUTS!AH151</f>
        <v>0</v>
      </c>
      <c r="H151" s="19">
        <f>CO_ATT_INPUTS!AI151</f>
        <v>0</v>
      </c>
      <c r="I151" s="19">
        <f>CO_ATT_INPUTS!AJ151</f>
        <v>0</v>
      </c>
      <c r="J151" s="53" t="str">
        <f>IF(E151&gt;=CO_ATT_INPUTS!$C$327,CHAR(252),CHAR(251))</f>
        <v>û</v>
      </c>
      <c r="K151" s="53" t="str">
        <f>IF(F151&gt;=CO_ATT_INPUTS!$C$327,CHAR(252),CHAR(251))</f>
        <v>û</v>
      </c>
      <c r="L151" s="53" t="str">
        <f>IF(G151&gt;=CO_ATT_INPUTS!$C$327,CHAR(252),CHAR(251))</f>
        <v>û</v>
      </c>
      <c r="M151" s="53" t="str">
        <f>IF(H151&gt;=CO_ATT_INPUTS!$C$327,CHAR(252),CHAR(251))</f>
        <v>û</v>
      </c>
      <c r="N151" s="54" t="str">
        <f>IF(I151&gt;=CO_ATT_INPUTS!$C$327,CHAR(252),CHAR(251))</f>
        <v>û</v>
      </c>
    </row>
    <row r="152" spans="1:14" s="51" customFormat="1" ht="37.5" hidden="1" customHeight="1" x14ac:dyDescent="0.25">
      <c r="A152" s="52">
        <f>CO_ATT_INPUTS!A152</f>
        <v>134</v>
      </c>
      <c r="B152" s="18">
        <f>CO_ATT_INPUTS!B152</f>
        <v>0</v>
      </c>
      <c r="C152" s="19">
        <f>CO_ATT_INPUTS!C152</f>
        <v>0</v>
      </c>
      <c r="D152" s="91">
        <f>CO_ATT_INPUTS!D152</f>
        <v>0</v>
      </c>
      <c r="E152" s="19">
        <f>CO_ATT_INPUTS!AF152</f>
        <v>0</v>
      </c>
      <c r="F152" s="19">
        <f>CO_ATT_INPUTS!AG152</f>
        <v>0</v>
      </c>
      <c r="G152" s="19">
        <f>CO_ATT_INPUTS!AH152</f>
        <v>0</v>
      </c>
      <c r="H152" s="19">
        <f>CO_ATT_INPUTS!AI152</f>
        <v>0</v>
      </c>
      <c r="I152" s="19">
        <f>CO_ATT_INPUTS!AJ152</f>
        <v>0</v>
      </c>
      <c r="J152" s="53" t="str">
        <f>IF(E152&gt;=CO_ATT_INPUTS!$C$327,CHAR(252),CHAR(251))</f>
        <v>û</v>
      </c>
      <c r="K152" s="53" t="str">
        <f>IF(F152&gt;=CO_ATT_INPUTS!$C$327,CHAR(252),CHAR(251))</f>
        <v>û</v>
      </c>
      <c r="L152" s="53" t="str">
        <f>IF(G152&gt;=CO_ATT_INPUTS!$C$327,CHAR(252),CHAR(251))</f>
        <v>û</v>
      </c>
      <c r="M152" s="53" t="str">
        <f>IF(H152&gt;=CO_ATT_INPUTS!$C$327,CHAR(252),CHAR(251))</f>
        <v>û</v>
      </c>
      <c r="N152" s="54" t="str">
        <f>IF(I152&gt;=CO_ATT_INPUTS!$C$327,CHAR(252),CHAR(251))</f>
        <v>û</v>
      </c>
    </row>
    <row r="153" spans="1:14" s="51" customFormat="1" ht="37.5" hidden="1" customHeight="1" x14ac:dyDescent="0.25">
      <c r="A153" s="52">
        <f>CO_ATT_INPUTS!A153</f>
        <v>135</v>
      </c>
      <c r="B153" s="18">
        <f>CO_ATT_INPUTS!B153</f>
        <v>0</v>
      </c>
      <c r="C153" s="19">
        <f>CO_ATT_INPUTS!C153</f>
        <v>0</v>
      </c>
      <c r="D153" s="91">
        <f>CO_ATT_INPUTS!D153</f>
        <v>0</v>
      </c>
      <c r="E153" s="19">
        <f>CO_ATT_INPUTS!AF153</f>
        <v>0</v>
      </c>
      <c r="F153" s="19">
        <f>CO_ATT_INPUTS!AG153</f>
        <v>0</v>
      </c>
      <c r="G153" s="19">
        <f>CO_ATT_INPUTS!AH153</f>
        <v>0</v>
      </c>
      <c r="H153" s="19">
        <f>CO_ATT_INPUTS!AI153</f>
        <v>0</v>
      </c>
      <c r="I153" s="19">
        <f>CO_ATT_INPUTS!AJ153</f>
        <v>0</v>
      </c>
      <c r="J153" s="53" t="str">
        <f>IF(E153&gt;=CO_ATT_INPUTS!$C$327,CHAR(252),CHAR(251))</f>
        <v>û</v>
      </c>
      <c r="K153" s="53" t="str">
        <f>IF(F153&gt;=CO_ATT_INPUTS!$C$327,CHAR(252),CHAR(251))</f>
        <v>û</v>
      </c>
      <c r="L153" s="53" t="str">
        <f>IF(G153&gt;=CO_ATT_INPUTS!$C$327,CHAR(252),CHAR(251))</f>
        <v>û</v>
      </c>
      <c r="M153" s="53" t="str">
        <f>IF(H153&gt;=CO_ATT_INPUTS!$C$327,CHAR(252),CHAR(251))</f>
        <v>û</v>
      </c>
      <c r="N153" s="54" t="str">
        <f>IF(I153&gt;=CO_ATT_INPUTS!$C$327,CHAR(252),CHAR(251))</f>
        <v>û</v>
      </c>
    </row>
    <row r="154" spans="1:14" s="51" customFormat="1" ht="37.5" hidden="1" customHeight="1" x14ac:dyDescent="0.25">
      <c r="A154" s="52">
        <f>CO_ATT_INPUTS!A154</f>
        <v>136</v>
      </c>
      <c r="B154" s="18">
        <f>CO_ATT_INPUTS!B154</f>
        <v>0</v>
      </c>
      <c r="C154" s="19">
        <f>CO_ATT_INPUTS!C154</f>
        <v>0</v>
      </c>
      <c r="D154" s="91">
        <f>CO_ATT_INPUTS!D154</f>
        <v>0</v>
      </c>
      <c r="E154" s="19">
        <f>CO_ATT_INPUTS!AF154</f>
        <v>0</v>
      </c>
      <c r="F154" s="19">
        <f>CO_ATT_INPUTS!AG154</f>
        <v>0</v>
      </c>
      <c r="G154" s="19">
        <f>CO_ATT_INPUTS!AH154</f>
        <v>0</v>
      </c>
      <c r="H154" s="19">
        <f>CO_ATT_INPUTS!AI154</f>
        <v>0</v>
      </c>
      <c r="I154" s="19">
        <f>CO_ATT_INPUTS!AJ154</f>
        <v>0</v>
      </c>
      <c r="J154" s="53" t="str">
        <f>IF(E154&gt;=CO_ATT_INPUTS!$C$327,CHAR(252),CHAR(251))</f>
        <v>û</v>
      </c>
      <c r="K154" s="53" t="str">
        <f>IF(F154&gt;=CO_ATT_INPUTS!$C$327,CHAR(252),CHAR(251))</f>
        <v>û</v>
      </c>
      <c r="L154" s="53" t="str">
        <f>IF(G154&gt;=CO_ATT_INPUTS!$C$327,CHAR(252),CHAR(251))</f>
        <v>û</v>
      </c>
      <c r="M154" s="53" t="str">
        <f>IF(H154&gt;=CO_ATT_INPUTS!$C$327,CHAR(252),CHAR(251))</f>
        <v>û</v>
      </c>
      <c r="N154" s="54" t="str">
        <f>IF(I154&gt;=CO_ATT_INPUTS!$C$327,CHAR(252),CHAR(251))</f>
        <v>û</v>
      </c>
    </row>
    <row r="155" spans="1:14" s="51" customFormat="1" ht="37.5" hidden="1" customHeight="1" x14ac:dyDescent="0.25">
      <c r="A155" s="52">
        <f>CO_ATT_INPUTS!A155</f>
        <v>137</v>
      </c>
      <c r="B155" s="18">
        <f>CO_ATT_INPUTS!B155</f>
        <v>0</v>
      </c>
      <c r="C155" s="19">
        <f>CO_ATT_INPUTS!C155</f>
        <v>0</v>
      </c>
      <c r="D155" s="91">
        <f>CO_ATT_INPUTS!D155</f>
        <v>0</v>
      </c>
      <c r="E155" s="19">
        <f>CO_ATT_INPUTS!AF155</f>
        <v>0</v>
      </c>
      <c r="F155" s="19">
        <f>CO_ATT_INPUTS!AG155</f>
        <v>0</v>
      </c>
      <c r="G155" s="19">
        <f>CO_ATT_INPUTS!AH155</f>
        <v>0</v>
      </c>
      <c r="H155" s="19">
        <f>CO_ATT_INPUTS!AI155</f>
        <v>0</v>
      </c>
      <c r="I155" s="19">
        <f>CO_ATT_INPUTS!AJ155</f>
        <v>0</v>
      </c>
      <c r="J155" s="53" t="str">
        <f>IF(E155&gt;=CO_ATT_INPUTS!$C$327,CHAR(252),CHAR(251))</f>
        <v>û</v>
      </c>
      <c r="K155" s="53" t="str">
        <f>IF(F155&gt;=CO_ATT_INPUTS!$C$327,CHAR(252),CHAR(251))</f>
        <v>û</v>
      </c>
      <c r="L155" s="53" t="str">
        <f>IF(G155&gt;=CO_ATT_INPUTS!$C$327,CHAR(252),CHAR(251))</f>
        <v>û</v>
      </c>
      <c r="M155" s="53" t="str">
        <f>IF(H155&gt;=CO_ATT_INPUTS!$C$327,CHAR(252),CHAR(251))</f>
        <v>û</v>
      </c>
      <c r="N155" s="54" t="str">
        <f>IF(I155&gt;=CO_ATT_INPUTS!$C$327,CHAR(252),CHAR(251))</f>
        <v>û</v>
      </c>
    </row>
    <row r="156" spans="1:14" s="51" customFormat="1" ht="37.5" hidden="1" customHeight="1" x14ac:dyDescent="0.25">
      <c r="A156" s="52">
        <f>CO_ATT_INPUTS!A156</f>
        <v>138</v>
      </c>
      <c r="B156" s="18">
        <f>CO_ATT_INPUTS!B156</f>
        <v>0</v>
      </c>
      <c r="C156" s="19">
        <f>CO_ATT_INPUTS!C156</f>
        <v>0</v>
      </c>
      <c r="D156" s="91">
        <f>CO_ATT_INPUTS!D156</f>
        <v>0</v>
      </c>
      <c r="E156" s="19">
        <f>CO_ATT_INPUTS!AF156</f>
        <v>0</v>
      </c>
      <c r="F156" s="19">
        <f>CO_ATT_INPUTS!AG156</f>
        <v>0</v>
      </c>
      <c r="G156" s="19">
        <f>CO_ATT_INPUTS!AH156</f>
        <v>0</v>
      </c>
      <c r="H156" s="19">
        <f>CO_ATT_INPUTS!AI156</f>
        <v>0</v>
      </c>
      <c r="I156" s="19">
        <f>CO_ATT_INPUTS!AJ156</f>
        <v>0</v>
      </c>
      <c r="J156" s="53" t="str">
        <f>IF(E156&gt;=CO_ATT_INPUTS!$C$327,CHAR(252),CHAR(251))</f>
        <v>û</v>
      </c>
      <c r="K156" s="53" t="str">
        <f>IF(F156&gt;=CO_ATT_INPUTS!$C$327,CHAR(252),CHAR(251))</f>
        <v>û</v>
      </c>
      <c r="L156" s="53" t="str">
        <f>IF(G156&gt;=CO_ATT_INPUTS!$C$327,CHAR(252),CHAR(251))</f>
        <v>û</v>
      </c>
      <c r="M156" s="53" t="str">
        <f>IF(H156&gt;=CO_ATT_INPUTS!$C$327,CHAR(252),CHAR(251))</f>
        <v>û</v>
      </c>
      <c r="N156" s="54" t="str">
        <f>IF(I156&gt;=CO_ATT_INPUTS!$C$327,CHAR(252),CHAR(251))</f>
        <v>û</v>
      </c>
    </row>
    <row r="157" spans="1:14" s="51" customFormat="1" ht="37.5" hidden="1" customHeight="1" x14ac:dyDescent="0.25">
      <c r="A157" s="52">
        <f>CO_ATT_INPUTS!A157</f>
        <v>139</v>
      </c>
      <c r="B157" s="18">
        <f>CO_ATT_INPUTS!B157</f>
        <v>0</v>
      </c>
      <c r="C157" s="19">
        <f>CO_ATT_INPUTS!C157</f>
        <v>0</v>
      </c>
      <c r="D157" s="91">
        <f>CO_ATT_INPUTS!D157</f>
        <v>0</v>
      </c>
      <c r="E157" s="19">
        <f>CO_ATT_INPUTS!AF157</f>
        <v>0</v>
      </c>
      <c r="F157" s="19">
        <f>CO_ATT_INPUTS!AG157</f>
        <v>0</v>
      </c>
      <c r="G157" s="19">
        <f>CO_ATT_INPUTS!AH157</f>
        <v>0</v>
      </c>
      <c r="H157" s="19">
        <f>CO_ATT_INPUTS!AI157</f>
        <v>0</v>
      </c>
      <c r="I157" s="19">
        <f>CO_ATT_INPUTS!AJ157</f>
        <v>0</v>
      </c>
      <c r="J157" s="53" t="str">
        <f>IF(E157&gt;=CO_ATT_INPUTS!$C$327,CHAR(252),CHAR(251))</f>
        <v>û</v>
      </c>
      <c r="K157" s="53" t="str">
        <f>IF(F157&gt;=CO_ATT_INPUTS!$C$327,CHAR(252),CHAR(251))</f>
        <v>û</v>
      </c>
      <c r="L157" s="53" t="str">
        <f>IF(G157&gt;=CO_ATT_INPUTS!$C$327,CHAR(252),CHAR(251))</f>
        <v>û</v>
      </c>
      <c r="M157" s="53" t="str">
        <f>IF(H157&gt;=CO_ATT_INPUTS!$C$327,CHAR(252),CHAR(251))</f>
        <v>û</v>
      </c>
      <c r="N157" s="54" t="str">
        <f>IF(I157&gt;=CO_ATT_INPUTS!$C$327,CHAR(252),CHAR(251))</f>
        <v>û</v>
      </c>
    </row>
    <row r="158" spans="1:14" s="51" customFormat="1" ht="37.5" hidden="1" customHeight="1" x14ac:dyDescent="0.25">
      <c r="A158" s="52">
        <f>CO_ATT_INPUTS!A158</f>
        <v>140</v>
      </c>
      <c r="B158" s="18">
        <f>CO_ATT_INPUTS!B158</f>
        <v>0</v>
      </c>
      <c r="C158" s="19">
        <f>CO_ATT_INPUTS!C158</f>
        <v>0</v>
      </c>
      <c r="D158" s="91">
        <f>CO_ATT_INPUTS!D158</f>
        <v>0</v>
      </c>
      <c r="E158" s="19">
        <f>CO_ATT_INPUTS!AF158</f>
        <v>0</v>
      </c>
      <c r="F158" s="19">
        <f>CO_ATT_INPUTS!AG158</f>
        <v>0</v>
      </c>
      <c r="G158" s="19">
        <f>CO_ATT_INPUTS!AH158</f>
        <v>0</v>
      </c>
      <c r="H158" s="19">
        <f>CO_ATT_INPUTS!AI158</f>
        <v>0</v>
      </c>
      <c r="I158" s="19">
        <f>CO_ATT_INPUTS!AJ158</f>
        <v>0</v>
      </c>
      <c r="J158" s="53" t="str">
        <f>IF(E158&gt;=CO_ATT_INPUTS!$C$327,CHAR(252),CHAR(251))</f>
        <v>û</v>
      </c>
      <c r="K158" s="53" t="str">
        <f>IF(F158&gt;=CO_ATT_INPUTS!$C$327,CHAR(252),CHAR(251))</f>
        <v>û</v>
      </c>
      <c r="L158" s="53" t="str">
        <f>IF(G158&gt;=CO_ATT_INPUTS!$C$327,CHAR(252),CHAR(251))</f>
        <v>û</v>
      </c>
      <c r="M158" s="53" t="str">
        <f>IF(H158&gt;=CO_ATT_INPUTS!$C$327,CHAR(252),CHAR(251))</f>
        <v>û</v>
      </c>
      <c r="N158" s="54" t="str">
        <f>IF(I158&gt;=CO_ATT_INPUTS!$C$327,CHAR(252),CHAR(251))</f>
        <v>û</v>
      </c>
    </row>
    <row r="159" spans="1:14" s="51" customFormat="1" ht="37.5" hidden="1" customHeight="1" x14ac:dyDescent="0.25">
      <c r="A159" s="52">
        <f>CO_ATT_INPUTS!A159</f>
        <v>141</v>
      </c>
      <c r="B159" s="18">
        <f>CO_ATT_INPUTS!B159</f>
        <v>0</v>
      </c>
      <c r="C159" s="19">
        <f>CO_ATT_INPUTS!C159</f>
        <v>0</v>
      </c>
      <c r="D159" s="91">
        <f>CO_ATT_INPUTS!D159</f>
        <v>0</v>
      </c>
      <c r="E159" s="19">
        <f>CO_ATT_INPUTS!AF159</f>
        <v>0</v>
      </c>
      <c r="F159" s="19">
        <f>CO_ATT_INPUTS!AG159</f>
        <v>0</v>
      </c>
      <c r="G159" s="19">
        <f>CO_ATT_INPUTS!AH159</f>
        <v>0</v>
      </c>
      <c r="H159" s="19">
        <f>CO_ATT_INPUTS!AI159</f>
        <v>0</v>
      </c>
      <c r="I159" s="19">
        <f>CO_ATT_INPUTS!AJ159</f>
        <v>0</v>
      </c>
      <c r="J159" s="53" t="str">
        <f>IF(E159&gt;=CO_ATT_INPUTS!$C$327,CHAR(252),CHAR(251))</f>
        <v>û</v>
      </c>
      <c r="K159" s="53" t="str">
        <f>IF(F159&gt;=CO_ATT_INPUTS!$C$327,CHAR(252),CHAR(251))</f>
        <v>û</v>
      </c>
      <c r="L159" s="53" t="str">
        <f>IF(G159&gt;=CO_ATT_INPUTS!$C$327,CHAR(252),CHAR(251))</f>
        <v>û</v>
      </c>
      <c r="M159" s="53" t="str">
        <f>IF(H159&gt;=CO_ATT_INPUTS!$C$327,CHAR(252),CHAR(251))</f>
        <v>û</v>
      </c>
      <c r="N159" s="54" t="str">
        <f>IF(I159&gt;=CO_ATT_INPUTS!$C$327,CHAR(252),CHAR(251))</f>
        <v>û</v>
      </c>
    </row>
    <row r="160" spans="1:14" s="51" customFormat="1" ht="37.5" hidden="1" customHeight="1" x14ac:dyDescent="0.25">
      <c r="A160" s="52">
        <f>CO_ATT_INPUTS!A160</f>
        <v>142</v>
      </c>
      <c r="B160" s="18">
        <f>CO_ATT_INPUTS!B160</f>
        <v>0</v>
      </c>
      <c r="C160" s="19">
        <f>CO_ATT_INPUTS!C160</f>
        <v>0</v>
      </c>
      <c r="D160" s="91">
        <f>CO_ATT_INPUTS!D160</f>
        <v>0</v>
      </c>
      <c r="E160" s="19">
        <f>CO_ATT_INPUTS!AF160</f>
        <v>0</v>
      </c>
      <c r="F160" s="19">
        <f>CO_ATT_INPUTS!AG160</f>
        <v>0</v>
      </c>
      <c r="G160" s="19">
        <f>CO_ATT_INPUTS!AH160</f>
        <v>0</v>
      </c>
      <c r="H160" s="19">
        <f>CO_ATT_INPUTS!AI160</f>
        <v>0</v>
      </c>
      <c r="I160" s="19">
        <f>CO_ATT_INPUTS!AJ160</f>
        <v>0</v>
      </c>
      <c r="J160" s="53" t="str">
        <f>IF(E160&gt;=CO_ATT_INPUTS!$C$327,CHAR(252),CHAR(251))</f>
        <v>û</v>
      </c>
      <c r="K160" s="53" t="str">
        <f>IF(F160&gt;=CO_ATT_INPUTS!$C$327,CHAR(252),CHAR(251))</f>
        <v>û</v>
      </c>
      <c r="L160" s="53" t="str">
        <f>IF(G160&gt;=CO_ATT_INPUTS!$C$327,CHAR(252),CHAR(251))</f>
        <v>û</v>
      </c>
      <c r="M160" s="53" t="str">
        <f>IF(H160&gt;=CO_ATT_INPUTS!$C$327,CHAR(252),CHAR(251))</f>
        <v>û</v>
      </c>
      <c r="N160" s="54" t="str">
        <f>IF(I160&gt;=CO_ATT_INPUTS!$C$327,CHAR(252),CHAR(251))</f>
        <v>û</v>
      </c>
    </row>
    <row r="161" spans="1:14" s="51" customFormat="1" ht="37.5" hidden="1" customHeight="1" x14ac:dyDescent="0.25">
      <c r="A161" s="52">
        <f>CO_ATT_INPUTS!A161</f>
        <v>143</v>
      </c>
      <c r="B161" s="18">
        <f>CO_ATT_INPUTS!B161</f>
        <v>0</v>
      </c>
      <c r="C161" s="19">
        <f>CO_ATT_INPUTS!C161</f>
        <v>0</v>
      </c>
      <c r="D161" s="91">
        <f>CO_ATT_INPUTS!D161</f>
        <v>0</v>
      </c>
      <c r="E161" s="19">
        <f>CO_ATT_INPUTS!AF161</f>
        <v>0</v>
      </c>
      <c r="F161" s="19">
        <f>CO_ATT_INPUTS!AG161</f>
        <v>0</v>
      </c>
      <c r="G161" s="19">
        <f>CO_ATT_INPUTS!AH161</f>
        <v>0</v>
      </c>
      <c r="H161" s="19">
        <f>CO_ATT_INPUTS!AI161</f>
        <v>0</v>
      </c>
      <c r="I161" s="19">
        <f>CO_ATT_INPUTS!AJ161</f>
        <v>0</v>
      </c>
      <c r="J161" s="53" t="str">
        <f>IF(E161&gt;=CO_ATT_INPUTS!$C$327,CHAR(252),CHAR(251))</f>
        <v>û</v>
      </c>
      <c r="K161" s="53" t="str">
        <f>IF(F161&gt;=CO_ATT_INPUTS!$C$327,CHAR(252),CHAR(251))</f>
        <v>û</v>
      </c>
      <c r="L161" s="53" t="str">
        <f>IF(G161&gt;=CO_ATT_INPUTS!$C$327,CHAR(252),CHAR(251))</f>
        <v>û</v>
      </c>
      <c r="M161" s="53" t="str">
        <f>IF(H161&gt;=CO_ATT_INPUTS!$C$327,CHAR(252),CHAR(251))</f>
        <v>û</v>
      </c>
      <c r="N161" s="54" t="str">
        <f>IF(I161&gt;=CO_ATT_INPUTS!$C$327,CHAR(252),CHAR(251))</f>
        <v>û</v>
      </c>
    </row>
    <row r="162" spans="1:14" s="51" customFormat="1" ht="37.5" hidden="1" customHeight="1" x14ac:dyDescent="0.25">
      <c r="A162" s="52">
        <f>CO_ATT_INPUTS!A162</f>
        <v>144</v>
      </c>
      <c r="B162" s="18">
        <f>CO_ATT_INPUTS!B162</f>
        <v>0</v>
      </c>
      <c r="C162" s="19">
        <f>CO_ATT_INPUTS!C162</f>
        <v>0</v>
      </c>
      <c r="D162" s="91">
        <f>CO_ATT_INPUTS!D162</f>
        <v>0</v>
      </c>
      <c r="E162" s="19">
        <f>CO_ATT_INPUTS!AF162</f>
        <v>0</v>
      </c>
      <c r="F162" s="19">
        <f>CO_ATT_INPUTS!AG162</f>
        <v>0</v>
      </c>
      <c r="G162" s="19">
        <f>CO_ATT_INPUTS!AH162</f>
        <v>0</v>
      </c>
      <c r="H162" s="19">
        <f>CO_ATT_INPUTS!AI162</f>
        <v>0</v>
      </c>
      <c r="I162" s="19">
        <f>CO_ATT_INPUTS!AJ162</f>
        <v>0</v>
      </c>
      <c r="J162" s="53" t="str">
        <f>IF(E162&gt;=CO_ATT_INPUTS!$C$327,CHAR(252),CHAR(251))</f>
        <v>û</v>
      </c>
      <c r="K162" s="53" t="str">
        <f>IF(F162&gt;=CO_ATT_INPUTS!$C$327,CHAR(252),CHAR(251))</f>
        <v>û</v>
      </c>
      <c r="L162" s="53" t="str">
        <f>IF(G162&gt;=CO_ATT_INPUTS!$C$327,CHAR(252),CHAR(251))</f>
        <v>û</v>
      </c>
      <c r="M162" s="53" t="str">
        <f>IF(H162&gt;=CO_ATT_INPUTS!$C$327,CHAR(252),CHAR(251))</f>
        <v>û</v>
      </c>
      <c r="N162" s="54" t="str">
        <f>IF(I162&gt;=CO_ATT_INPUTS!$C$327,CHAR(252),CHAR(251))</f>
        <v>û</v>
      </c>
    </row>
    <row r="163" spans="1:14" s="51" customFormat="1" ht="37.5" hidden="1" customHeight="1" x14ac:dyDescent="0.25">
      <c r="A163" s="52">
        <f>CO_ATT_INPUTS!A163</f>
        <v>145</v>
      </c>
      <c r="B163" s="18">
        <f>CO_ATT_INPUTS!B163</f>
        <v>0</v>
      </c>
      <c r="C163" s="19">
        <f>CO_ATT_INPUTS!C163</f>
        <v>0</v>
      </c>
      <c r="D163" s="91">
        <f>CO_ATT_INPUTS!D163</f>
        <v>0</v>
      </c>
      <c r="E163" s="19">
        <f>CO_ATT_INPUTS!AF163</f>
        <v>0</v>
      </c>
      <c r="F163" s="19">
        <f>CO_ATT_INPUTS!AG163</f>
        <v>0</v>
      </c>
      <c r="G163" s="19">
        <f>CO_ATT_INPUTS!AH163</f>
        <v>0</v>
      </c>
      <c r="H163" s="19">
        <f>CO_ATT_INPUTS!AI163</f>
        <v>0</v>
      </c>
      <c r="I163" s="19">
        <f>CO_ATT_INPUTS!AJ163</f>
        <v>0</v>
      </c>
      <c r="J163" s="53" t="str">
        <f>IF(E163&gt;=CO_ATT_INPUTS!$C$327,CHAR(252),CHAR(251))</f>
        <v>û</v>
      </c>
      <c r="K163" s="53" t="str">
        <f>IF(F163&gt;=CO_ATT_INPUTS!$C$327,CHAR(252),CHAR(251))</f>
        <v>û</v>
      </c>
      <c r="L163" s="53" t="str">
        <f>IF(G163&gt;=CO_ATT_INPUTS!$C$327,CHAR(252),CHAR(251))</f>
        <v>û</v>
      </c>
      <c r="M163" s="53" t="str">
        <f>IF(H163&gt;=CO_ATT_INPUTS!$C$327,CHAR(252),CHAR(251))</f>
        <v>û</v>
      </c>
      <c r="N163" s="54" t="str">
        <f>IF(I163&gt;=CO_ATT_INPUTS!$C$327,CHAR(252),CHAR(251))</f>
        <v>û</v>
      </c>
    </row>
    <row r="164" spans="1:14" s="51" customFormat="1" ht="37.5" hidden="1" customHeight="1" x14ac:dyDescent="0.25">
      <c r="A164" s="52">
        <f>CO_ATT_INPUTS!A164</f>
        <v>146</v>
      </c>
      <c r="B164" s="18">
        <f>CO_ATT_INPUTS!B164</f>
        <v>0</v>
      </c>
      <c r="C164" s="19">
        <f>CO_ATT_INPUTS!C164</f>
        <v>0</v>
      </c>
      <c r="D164" s="91">
        <f>CO_ATT_INPUTS!D164</f>
        <v>0</v>
      </c>
      <c r="E164" s="19">
        <f>CO_ATT_INPUTS!AF164</f>
        <v>0</v>
      </c>
      <c r="F164" s="19">
        <f>CO_ATT_INPUTS!AG164</f>
        <v>0</v>
      </c>
      <c r="G164" s="19">
        <f>CO_ATT_INPUTS!AH164</f>
        <v>0</v>
      </c>
      <c r="H164" s="19">
        <f>CO_ATT_INPUTS!AI164</f>
        <v>0</v>
      </c>
      <c r="I164" s="19">
        <f>CO_ATT_INPUTS!AJ164</f>
        <v>0</v>
      </c>
      <c r="J164" s="53" t="str">
        <f>IF(E164&gt;=CO_ATT_INPUTS!$C$327,CHAR(252),CHAR(251))</f>
        <v>û</v>
      </c>
      <c r="K164" s="53" t="str">
        <f>IF(F164&gt;=CO_ATT_INPUTS!$C$327,CHAR(252),CHAR(251))</f>
        <v>û</v>
      </c>
      <c r="L164" s="53" t="str">
        <f>IF(G164&gt;=CO_ATT_INPUTS!$C$327,CHAR(252),CHAR(251))</f>
        <v>û</v>
      </c>
      <c r="M164" s="53" t="str">
        <f>IF(H164&gt;=CO_ATT_INPUTS!$C$327,CHAR(252),CHAR(251))</f>
        <v>û</v>
      </c>
      <c r="N164" s="54" t="str">
        <f>IF(I164&gt;=CO_ATT_INPUTS!$C$327,CHAR(252),CHAR(251))</f>
        <v>û</v>
      </c>
    </row>
    <row r="165" spans="1:14" s="51" customFormat="1" ht="37.5" hidden="1" customHeight="1" x14ac:dyDescent="0.25">
      <c r="A165" s="52">
        <f>CO_ATT_INPUTS!A165</f>
        <v>147</v>
      </c>
      <c r="B165" s="18">
        <f>CO_ATT_INPUTS!B165</f>
        <v>0</v>
      </c>
      <c r="C165" s="19">
        <f>CO_ATT_INPUTS!C165</f>
        <v>0</v>
      </c>
      <c r="D165" s="91">
        <f>CO_ATT_INPUTS!D165</f>
        <v>0</v>
      </c>
      <c r="E165" s="19">
        <f>CO_ATT_INPUTS!AF165</f>
        <v>0</v>
      </c>
      <c r="F165" s="19">
        <f>CO_ATT_INPUTS!AG165</f>
        <v>0</v>
      </c>
      <c r="G165" s="19">
        <f>CO_ATT_INPUTS!AH165</f>
        <v>0</v>
      </c>
      <c r="H165" s="19">
        <f>CO_ATT_INPUTS!AI165</f>
        <v>0</v>
      </c>
      <c r="I165" s="19">
        <f>CO_ATT_INPUTS!AJ165</f>
        <v>0</v>
      </c>
      <c r="J165" s="53" t="str">
        <f>IF(E165&gt;=CO_ATT_INPUTS!$C$327,CHAR(252),CHAR(251))</f>
        <v>û</v>
      </c>
      <c r="K165" s="53" t="str">
        <f>IF(F165&gt;=CO_ATT_INPUTS!$C$327,CHAR(252),CHAR(251))</f>
        <v>û</v>
      </c>
      <c r="L165" s="53" t="str">
        <f>IF(G165&gt;=CO_ATT_INPUTS!$C$327,CHAR(252),CHAR(251))</f>
        <v>û</v>
      </c>
      <c r="M165" s="53" t="str">
        <f>IF(H165&gt;=CO_ATT_INPUTS!$C$327,CHAR(252),CHAR(251))</f>
        <v>û</v>
      </c>
      <c r="N165" s="54" t="str">
        <f>IF(I165&gt;=CO_ATT_INPUTS!$C$327,CHAR(252),CHAR(251))</f>
        <v>û</v>
      </c>
    </row>
    <row r="166" spans="1:14" s="51" customFormat="1" ht="37.5" hidden="1" customHeight="1" x14ac:dyDescent="0.25">
      <c r="A166" s="52">
        <f>CO_ATT_INPUTS!A166</f>
        <v>148</v>
      </c>
      <c r="B166" s="18">
        <f>CO_ATT_INPUTS!B166</f>
        <v>0</v>
      </c>
      <c r="C166" s="19">
        <f>CO_ATT_INPUTS!C166</f>
        <v>0</v>
      </c>
      <c r="D166" s="91">
        <f>CO_ATT_INPUTS!D166</f>
        <v>0</v>
      </c>
      <c r="E166" s="19">
        <f>CO_ATT_INPUTS!AF166</f>
        <v>0</v>
      </c>
      <c r="F166" s="19">
        <f>CO_ATT_INPUTS!AG166</f>
        <v>0</v>
      </c>
      <c r="G166" s="19">
        <f>CO_ATT_INPUTS!AH166</f>
        <v>0</v>
      </c>
      <c r="H166" s="19">
        <f>CO_ATT_INPUTS!AI166</f>
        <v>0</v>
      </c>
      <c r="I166" s="19">
        <f>CO_ATT_INPUTS!AJ166</f>
        <v>0</v>
      </c>
      <c r="J166" s="53" t="str">
        <f>IF(E166&gt;=CO_ATT_INPUTS!$C$327,CHAR(252),CHAR(251))</f>
        <v>û</v>
      </c>
      <c r="K166" s="53" t="str">
        <f>IF(F166&gt;=CO_ATT_INPUTS!$C$327,CHAR(252),CHAR(251))</f>
        <v>û</v>
      </c>
      <c r="L166" s="53" t="str">
        <f>IF(G166&gt;=CO_ATT_INPUTS!$C$327,CHAR(252),CHAR(251))</f>
        <v>û</v>
      </c>
      <c r="M166" s="53" t="str">
        <f>IF(H166&gt;=CO_ATT_INPUTS!$C$327,CHAR(252),CHAR(251))</f>
        <v>û</v>
      </c>
      <c r="N166" s="54" t="str">
        <f>IF(I166&gt;=CO_ATT_INPUTS!$C$327,CHAR(252),CHAR(251))</f>
        <v>û</v>
      </c>
    </row>
    <row r="167" spans="1:14" s="51" customFormat="1" ht="37.5" hidden="1" customHeight="1" x14ac:dyDescent="0.25">
      <c r="A167" s="52">
        <f>CO_ATT_INPUTS!A167</f>
        <v>149</v>
      </c>
      <c r="B167" s="18">
        <f>CO_ATT_INPUTS!B167</f>
        <v>0</v>
      </c>
      <c r="C167" s="19">
        <f>CO_ATT_INPUTS!C167</f>
        <v>0</v>
      </c>
      <c r="D167" s="91">
        <f>CO_ATT_INPUTS!D167</f>
        <v>0</v>
      </c>
      <c r="E167" s="19">
        <f>CO_ATT_INPUTS!AF167</f>
        <v>0</v>
      </c>
      <c r="F167" s="19">
        <f>CO_ATT_INPUTS!AG167</f>
        <v>0</v>
      </c>
      <c r="G167" s="19">
        <f>CO_ATT_INPUTS!AH167</f>
        <v>0</v>
      </c>
      <c r="H167" s="19">
        <f>CO_ATT_INPUTS!AI167</f>
        <v>0</v>
      </c>
      <c r="I167" s="19">
        <f>CO_ATT_INPUTS!AJ167</f>
        <v>0</v>
      </c>
      <c r="J167" s="53" t="str">
        <f>IF(E167&gt;=CO_ATT_INPUTS!$C$327,CHAR(252),CHAR(251))</f>
        <v>û</v>
      </c>
      <c r="K167" s="53" t="str">
        <f>IF(F167&gt;=CO_ATT_INPUTS!$C$327,CHAR(252),CHAR(251))</f>
        <v>û</v>
      </c>
      <c r="L167" s="53" t="str">
        <f>IF(G167&gt;=CO_ATT_INPUTS!$C$327,CHAR(252),CHAR(251))</f>
        <v>û</v>
      </c>
      <c r="M167" s="53" t="str">
        <f>IF(H167&gt;=CO_ATT_INPUTS!$C$327,CHAR(252),CHAR(251))</f>
        <v>û</v>
      </c>
      <c r="N167" s="54" t="str">
        <f>IF(I167&gt;=CO_ATT_INPUTS!$C$327,CHAR(252),CHAR(251))</f>
        <v>û</v>
      </c>
    </row>
    <row r="168" spans="1:14" s="51" customFormat="1" ht="37.5" hidden="1" customHeight="1" x14ac:dyDescent="0.25">
      <c r="A168" s="52">
        <f>CO_ATT_INPUTS!A168</f>
        <v>150</v>
      </c>
      <c r="B168" s="18">
        <f>CO_ATT_INPUTS!B168</f>
        <v>0</v>
      </c>
      <c r="C168" s="19">
        <f>CO_ATT_INPUTS!C168</f>
        <v>0</v>
      </c>
      <c r="D168" s="91">
        <f>CO_ATT_INPUTS!D168</f>
        <v>0</v>
      </c>
      <c r="E168" s="19">
        <f>CO_ATT_INPUTS!AF168</f>
        <v>0</v>
      </c>
      <c r="F168" s="19">
        <f>CO_ATT_INPUTS!AG168</f>
        <v>0</v>
      </c>
      <c r="G168" s="19">
        <f>CO_ATT_INPUTS!AH168</f>
        <v>0</v>
      </c>
      <c r="H168" s="19">
        <f>CO_ATT_INPUTS!AI168</f>
        <v>0</v>
      </c>
      <c r="I168" s="19">
        <f>CO_ATT_INPUTS!AJ168</f>
        <v>0</v>
      </c>
      <c r="J168" s="53" t="str">
        <f>IF(E168&gt;=CO_ATT_INPUTS!$C$327,CHAR(252),CHAR(251))</f>
        <v>û</v>
      </c>
      <c r="K168" s="53" t="str">
        <f>IF(F168&gt;=CO_ATT_INPUTS!$C$327,CHAR(252),CHAR(251))</f>
        <v>û</v>
      </c>
      <c r="L168" s="53" t="str">
        <f>IF(G168&gt;=CO_ATT_INPUTS!$C$327,CHAR(252),CHAR(251))</f>
        <v>û</v>
      </c>
      <c r="M168" s="53" t="str">
        <f>IF(H168&gt;=CO_ATT_INPUTS!$C$327,CHAR(252),CHAR(251))</f>
        <v>û</v>
      </c>
      <c r="N168" s="54" t="str">
        <f>IF(I168&gt;=CO_ATT_INPUTS!$C$327,CHAR(252),CHAR(251))</f>
        <v>û</v>
      </c>
    </row>
    <row r="169" spans="1:14" s="51" customFormat="1" ht="37.5" hidden="1" customHeight="1" x14ac:dyDescent="0.25">
      <c r="A169" s="52">
        <f>CO_ATT_INPUTS!A169</f>
        <v>151</v>
      </c>
      <c r="B169" s="18">
        <f>CO_ATT_INPUTS!B169</f>
        <v>0</v>
      </c>
      <c r="C169" s="19">
        <f>CO_ATT_INPUTS!C169</f>
        <v>0</v>
      </c>
      <c r="D169" s="91">
        <f>CO_ATT_INPUTS!D169</f>
        <v>0</v>
      </c>
      <c r="E169" s="19">
        <f>CO_ATT_INPUTS!AF169</f>
        <v>0</v>
      </c>
      <c r="F169" s="19">
        <f>CO_ATT_INPUTS!AG169</f>
        <v>0</v>
      </c>
      <c r="G169" s="19">
        <f>CO_ATT_INPUTS!AH169</f>
        <v>0</v>
      </c>
      <c r="H169" s="19">
        <f>CO_ATT_INPUTS!AI169</f>
        <v>0</v>
      </c>
      <c r="I169" s="19">
        <f>CO_ATT_INPUTS!AJ169</f>
        <v>0</v>
      </c>
      <c r="J169" s="53" t="str">
        <f>IF(E169&gt;=CO_ATT_INPUTS!$C$327,CHAR(252),CHAR(251))</f>
        <v>û</v>
      </c>
      <c r="K169" s="53" t="str">
        <f>IF(F169&gt;=CO_ATT_INPUTS!$C$327,CHAR(252),CHAR(251))</f>
        <v>û</v>
      </c>
      <c r="L169" s="53" t="str">
        <f>IF(G169&gt;=CO_ATT_INPUTS!$C$327,CHAR(252),CHAR(251))</f>
        <v>û</v>
      </c>
      <c r="M169" s="53" t="str">
        <f>IF(H169&gt;=CO_ATT_INPUTS!$C$327,CHAR(252),CHAR(251))</f>
        <v>û</v>
      </c>
      <c r="N169" s="54" t="str">
        <f>IF(I169&gt;=CO_ATT_INPUTS!$C$327,CHAR(252),CHAR(251))</f>
        <v>û</v>
      </c>
    </row>
    <row r="170" spans="1:14" s="51" customFormat="1" ht="37.5" hidden="1" customHeight="1" x14ac:dyDescent="0.25">
      <c r="A170" s="52">
        <f>CO_ATT_INPUTS!A170</f>
        <v>152</v>
      </c>
      <c r="B170" s="18">
        <f>CO_ATT_INPUTS!B170</f>
        <v>0</v>
      </c>
      <c r="C170" s="19">
        <f>CO_ATT_INPUTS!C170</f>
        <v>0</v>
      </c>
      <c r="D170" s="91">
        <f>CO_ATT_INPUTS!D170</f>
        <v>0</v>
      </c>
      <c r="E170" s="19">
        <f>CO_ATT_INPUTS!AF170</f>
        <v>0</v>
      </c>
      <c r="F170" s="19">
        <f>CO_ATT_INPUTS!AG170</f>
        <v>0</v>
      </c>
      <c r="G170" s="19">
        <f>CO_ATT_INPUTS!AH170</f>
        <v>0</v>
      </c>
      <c r="H170" s="19">
        <f>CO_ATT_INPUTS!AI170</f>
        <v>0</v>
      </c>
      <c r="I170" s="19">
        <f>CO_ATT_INPUTS!AJ170</f>
        <v>0</v>
      </c>
      <c r="J170" s="53" t="str">
        <f>IF(E170&gt;=CO_ATT_INPUTS!$C$327,CHAR(252),CHAR(251))</f>
        <v>û</v>
      </c>
      <c r="K170" s="53" t="str">
        <f>IF(F170&gt;=CO_ATT_INPUTS!$C$327,CHAR(252),CHAR(251))</f>
        <v>û</v>
      </c>
      <c r="L170" s="53" t="str">
        <f>IF(G170&gt;=CO_ATT_INPUTS!$C$327,CHAR(252),CHAR(251))</f>
        <v>û</v>
      </c>
      <c r="M170" s="53" t="str">
        <f>IF(H170&gt;=CO_ATT_INPUTS!$C$327,CHAR(252),CHAR(251))</f>
        <v>û</v>
      </c>
      <c r="N170" s="54" t="str">
        <f>IF(I170&gt;=CO_ATT_INPUTS!$C$327,CHAR(252),CHAR(251))</f>
        <v>û</v>
      </c>
    </row>
    <row r="171" spans="1:14" s="51" customFormat="1" ht="37.5" hidden="1" customHeight="1" x14ac:dyDescent="0.25">
      <c r="A171" s="52">
        <f>CO_ATT_INPUTS!A171</f>
        <v>153</v>
      </c>
      <c r="B171" s="18">
        <f>CO_ATT_INPUTS!B171</f>
        <v>0</v>
      </c>
      <c r="C171" s="19">
        <f>CO_ATT_INPUTS!C171</f>
        <v>0</v>
      </c>
      <c r="D171" s="91">
        <f>CO_ATT_INPUTS!D171</f>
        <v>0</v>
      </c>
      <c r="E171" s="19">
        <f>CO_ATT_INPUTS!AF171</f>
        <v>0</v>
      </c>
      <c r="F171" s="19">
        <f>CO_ATT_INPUTS!AG171</f>
        <v>0</v>
      </c>
      <c r="G171" s="19">
        <f>CO_ATT_INPUTS!AH171</f>
        <v>0</v>
      </c>
      <c r="H171" s="19">
        <f>CO_ATT_INPUTS!AI171</f>
        <v>0</v>
      </c>
      <c r="I171" s="19">
        <f>CO_ATT_INPUTS!AJ171</f>
        <v>0</v>
      </c>
      <c r="J171" s="53" t="str">
        <f>IF(E171&gt;=CO_ATT_INPUTS!$C$327,CHAR(252),CHAR(251))</f>
        <v>û</v>
      </c>
      <c r="K171" s="53" t="str">
        <f>IF(F171&gt;=CO_ATT_INPUTS!$C$327,CHAR(252),CHAR(251))</f>
        <v>û</v>
      </c>
      <c r="L171" s="53" t="str">
        <f>IF(G171&gt;=CO_ATT_INPUTS!$C$327,CHAR(252),CHAR(251))</f>
        <v>û</v>
      </c>
      <c r="M171" s="53" t="str">
        <f>IF(H171&gt;=CO_ATT_INPUTS!$C$327,CHAR(252),CHAR(251))</f>
        <v>û</v>
      </c>
      <c r="N171" s="54" t="str">
        <f>IF(I171&gt;=CO_ATT_INPUTS!$C$327,CHAR(252),CHAR(251))</f>
        <v>û</v>
      </c>
    </row>
    <row r="172" spans="1:14" s="51" customFormat="1" ht="37.5" hidden="1" customHeight="1" x14ac:dyDescent="0.25">
      <c r="A172" s="52">
        <f>CO_ATT_INPUTS!A172</f>
        <v>154</v>
      </c>
      <c r="B172" s="18">
        <f>CO_ATT_INPUTS!B172</f>
        <v>0</v>
      </c>
      <c r="C172" s="19">
        <f>CO_ATT_INPUTS!C172</f>
        <v>0</v>
      </c>
      <c r="D172" s="91">
        <f>CO_ATT_INPUTS!D172</f>
        <v>0</v>
      </c>
      <c r="E172" s="19">
        <f>CO_ATT_INPUTS!AF172</f>
        <v>0</v>
      </c>
      <c r="F172" s="19">
        <f>CO_ATT_INPUTS!AG172</f>
        <v>0</v>
      </c>
      <c r="G172" s="19">
        <f>CO_ATT_INPUTS!AH172</f>
        <v>0</v>
      </c>
      <c r="H172" s="19">
        <f>CO_ATT_INPUTS!AI172</f>
        <v>0</v>
      </c>
      <c r="I172" s="19">
        <f>CO_ATT_INPUTS!AJ172</f>
        <v>0</v>
      </c>
      <c r="J172" s="53" t="str">
        <f>IF(E172&gt;=CO_ATT_INPUTS!$C$327,CHAR(252),CHAR(251))</f>
        <v>û</v>
      </c>
      <c r="K172" s="53" t="str">
        <f>IF(F172&gt;=CO_ATT_INPUTS!$C$327,CHAR(252),CHAR(251))</f>
        <v>û</v>
      </c>
      <c r="L172" s="53" t="str">
        <f>IF(G172&gt;=CO_ATT_INPUTS!$C$327,CHAR(252),CHAR(251))</f>
        <v>û</v>
      </c>
      <c r="M172" s="53" t="str">
        <f>IF(H172&gt;=CO_ATT_INPUTS!$C$327,CHAR(252),CHAR(251))</f>
        <v>û</v>
      </c>
      <c r="N172" s="54" t="str">
        <f>IF(I172&gt;=CO_ATT_INPUTS!$C$327,CHAR(252),CHAR(251))</f>
        <v>û</v>
      </c>
    </row>
    <row r="173" spans="1:14" s="51" customFormat="1" ht="37.5" hidden="1" customHeight="1" x14ac:dyDescent="0.25">
      <c r="A173" s="52">
        <f>CO_ATT_INPUTS!A173</f>
        <v>155</v>
      </c>
      <c r="B173" s="18">
        <f>CO_ATT_INPUTS!B173</f>
        <v>0</v>
      </c>
      <c r="C173" s="19">
        <f>CO_ATT_INPUTS!C173</f>
        <v>0</v>
      </c>
      <c r="D173" s="91">
        <f>CO_ATT_INPUTS!D173</f>
        <v>0</v>
      </c>
      <c r="E173" s="19">
        <f>CO_ATT_INPUTS!AF173</f>
        <v>0</v>
      </c>
      <c r="F173" s="19">
        <f>CO_ATT_INPUTS!AG173</f>
        <v>0</v>
      </c>
      <c r="G173" s="19">
        <f>CO_ATT_INPUTS!AH173</f>
        <v>0</v>
      </c>
      <c r="H173" s="19">
        <f>CO_ATT_INPUTS!AI173</f>
        <v>0</v>
      </c>
      <c r="I173" s="19">
        <f>CO_ATT_INPUTS!AJ173</f>
        <v>0</v>
      </c>
      <c r="J173" s="53" t="str">
        <f>IF(E173&gt;=CO_ATT_INPUTS!$C$327,CHAR(252),CHAR(251))</f>
        <v>û</v>
      </c>
      <c r="K173" s="53" t="str">
        <f>IF(F173&gt;=CO_ATT_INPUTS!$C$327,CHAR(252),CHAR(251))</f>
        <v>û</v>
      </c>
      <c r="L173" s="53" t="str">
        <f>IF(G173&gt;=CO_ATT_INPUTS!$C$327,CHAR(252),CHAR(251))</f>
        <v>û</v>
      </c>
      <c r="M173" s="53" t="str">
        <f>IF(H173&gt;=CO_ATT_INPUTS!$C$327,CHAR(252),CHAR(251))</f>
        <v>û</v>
      </c>
      <c r="N173" s="54" t="str">
        <f>IF(I173&gt;=CO_ATT_INPUTS!$C$327,CHAR(252),CHAR(251))</f>
        <v>û</v>
      </c>
    </row>
    <row r="174" spans="1:14" s="51" customFormat="1" ht="37.5" hidden="1" customHeight="1" x14ac:dyDescent="0.25">
      <c r="A174" s="52">
        <f>CO_ATT_INPUTS!A174</f>
        <v>156</v>
      </c>
      <c r="B174" s="18">
        <f>CO_ATT_INPUTS!B174</f>
        <v>0</v>
      </c>
      <c r="C174" s="19">
        <f>CO_ATT_INPUTS!C174</f>
        <v>0</v>
      </c>
      <c r="D174" s="91">
        <f>CO_ATT_INPUTS!D174</f>
        <v>0</v>
      </c>
      <c r="E174" s="19">
        <f>CO_ATT_INPUTS!AF174</f>
        <v>0</v>
      </c>
      <c r="F174" s="19">
        <f>CO_ATT_INPUTS!AG174</f>
        <v>0</v>
      </c>
      <c r="G174" s="19">
        <f>CO_ATT_INPUTS!AH174</f>
        <v>0</v>
      </c>
      <c r="H174" s="19">
        <f>CO_ATT_INPUTS!AI174</f>
        <v>0</v>
      </c>
      <c r="I174" s="19">
        <f>CO_ATT_INPUTS!AJ174</f>
        <v>0</v>
      </c>
      <c r="J174" s="53" t="str">
        <f>IF(E174&gt;=CO_ATT_INPUTS!$C$327,CHAR(252),CHAR(251))</f>
        <v>û</v>
      </c>
      <c r="K174" s="53" t="str">
        <f>IF(F174&gt;=CO_ATT_INPUTS!$C$327,CHAR(252),CHAR(251))</f>
        <v>û</v>
      </c>
      <c r="L174" s="53" t="str">
        <f>IF(G174&gt;=CO_ATT_INPUTS!$C$327,CHAR(252),CHAR(251))</f>
        <v>û</v>
      </c>
      <c r="M174" s="53" t="str">
        <f>IF(H174&gt;=CO_ATT_INPUTS!$C$327,CHAR(252),CHAR(251))</f>
        <v>û</v>
      </c>
      <c r="N174" s="54" t="str">
        <f>IF(I174&gt;=CO_ATT_INPUTS!$C$327,CHAR(252),CHAR(251))</f>
        <v>û</v>
      </c>
    </row>
    <row r="175" spans="1:14" s="51" customFormat="1" ht="37.5" hidden="1" customHeight="1" x14ac:dyDescent="0.25">
      <c r="A175" s="52">
        <f>CO_ATT_INPUTS!A175</f>
        <v>157</v>
      </c>
      <c r="B175" s="18">
        <f>CO_ATT_INPUTS!B175</f>
        <v>0</v>
      </c>
      <c r="C175" s="19">
        <f>CO_ATT_INPUTS!C175</f>
        <v>0</v>
      </c>
      <c r="D175" s="91">
        <f>CO_ATT_INPUTS!D175</f>
        <v>0</v>
      </c>
      <c r="E175" s="19">
        <f>CO_ATT_INPUTS!AF175</f>
        <v>0</v>
      </c>
      <c r="F175" s="19">
        <f>CO_ATT_INPUTS!AG175</f>
        <v>0</v>
      </c>
      <c r="G175" s="19">
        <f>CO_ATT_INPUTS!AH175</f>
        <v>0</v>
      </c>
      <c r="H175" s="19">
        <f>CO_ATT_INPUTS!AI175</f>
        <v>0</v>
      </c>
      <c r="I175" s="19">
        <f>CO_ATT_INPUTS!AJ175</f>
        <v>0</v>
      </c>
      <c r="J175" s="53" t="str">
        <f>IF(E175&gt;=CO_ATT_INPUTS!$C$327,CHAR(252),CHAR(251))</f>
        <v>û</v>
      </c>
      <c r="K175" s="53" t="str">
        <f>IF(F175&gt;=CO_ATT_INPUTS!$C$327,CHAR(252),CHAR(251))</f>
        <v>û</v>
      </c>
      <c r="L175" s="53" t="str">
        <f>IF(G175&gt;=CO_ATT_INPUTS!$C$327,CHAR(252),CHAR(251))</f>
        <v>û</v>
      </c>
      <c r="M175" s="53" t="str">
        <f>IF(H175&gt;=CO_ATT_INPUTS!$C$327,CHAR(252),CHAR(251))</f>
        <v>û</v>
      </c>
      <c r="N175" s="54" t="str">
        <f>IF(I175&gt;=CO_ATT_INPUTS!$C$327,CHAR(252),CHAR(251))</f>
        <v>û</v>
      </c>
    </row>
    <row r="176" spans="1:14" s="51" customFormat="1" ht="37.5" hidden="1" customHeight="1" x14ac:dyDescent="0.25">
      <c r="A176" s="52">
        <f>CO_ATT_INPUTS!A176</f>
        <v>158</v>
      </c>
      <c r="B176" s="18">
        <f>CO_ATT_INPUTS!B176</f>
        <v>0</v>
      </c>
      <c r="C176" s="19">
        <f>CO_ATT_INPUTS!C176</f>
        <v>0</v>
      </c>
      <c r="D176" s="91">
        <f>CO_ATT_INPUTS!D176</f>
        <v>0</v>
      </c>
      <c r="E176" s="19">
        <f>CO_ATT_INPUTS!AF176</f>
        <v>0</v>
      </c>
      <c r="F176" s="19">
        <f>CO_ATT_INPUTS!AG176</f>
        <v>0</v>
      </c>
      <c r="G176" s="19">
        <f>CO_ATT_INPUTS!AH176</f>
        <v>0</v>
      </c>
      <c r="H176" s="19">
        <f>CO_ATT_INPUTS!AI176</f>
        <v>0</v>
      </c>
      <c r="I176" s="19">
        <f>CO_ATT_INPUTS!AJ176</f>
        <v>0</v>
      </c>
      <c r="J176" s="53" t="str">
        <f>IF(E176&gt;=CO_ATT_INPUTS!$C$327,CHAR(252),CHAR(251))</f>
        <v>û</v>
      </c>
      <c r="K176" s="53" t="str">
        <f>IF(F176&gt;=CO_ATT_INPUTS!$C$327,CHAR(252),CHAR(251))</f>
        <v>û</v>
      </c>
      <c r="L176" s="53" t="str">
        <f>IF(G176&gt;=CO_ATT_INPUTS!$C$327,CHAR(252),CHAR(251))</f>
        <v>û</v>
      </c>
      <c r="M176" s="53" t="str">
        <f>IF(H176&gt;=CO_ATT_INPUTS!$C$327,CHAR(252),CHAR(251))</f>
        <v>û</v>
      </c>
      <c r="N176" s="54" t="str">
        <f>IF(I176&gt;=CO_ATT_INPUTS!$C$327,CHAR(252),CHAR(251))</f>
        <v>û</v>
      </c>
    </row>
    <row r="177" spans="1:14" s="51" customFormat="1" ht="37.5" hidden="1" customHeight="1" x14ac:dyDescent="0.25">
      <c r="A177" s="52">
        <f>CO_ATT_INPUTS!A177</f>
        <v>159</v>
      </c>
      <c r="B177" s="18">
        <f>CO_ATT_INPUTS!B177</f>
        <v>0</v>
      </c>
      <c r="C177" s="19">
        <f>CO_ATT_INPUTS!C177</f>
        <v>0</v>
      </c>
      <c r="D177" s="91">
        <f>CO_ATT_INPUTS!D177</f>
        <v>0</v>
      </c>
      <c r="E177" s="19">
        <f>CO_ATT_INPUTS!AF177</f>
        <v>0</v>
      </c>
      <c r="F177" s="19">
        <f>CO_ATT_INPUTS!AG177</f>
        <v>0</v>
      </c>
      <c r="G177" s="19">
        <f>CO_ATT_INPUTS!AH177</f>
        <v>0</v>
      </c>
      <c r="H177" s="19">
        <f>CO_ATT_INPUTS!AI177</f>
        <v>0</v>
      </c>
      <c r="I177" s="19">
        <f>CO_ATT_INPUTS!AJ177</f>
        <v>0</v>
      </c>
      <c r="J177" s="53" t="str">
        <f>IF(E177&gt;=CO_ATT_INPUTS!$C$327,CHAR(252),CHAR(251))</f>
        <v>û</v>
      </c>
      <c r="K177" s="53" t="str">
        <f>IF(F177&gt;=CO_ATT_INPUTS!$C$327,CHAR(252),CHAR(251))</f>
        <v>û</v>
      </c>
      <c r="L177" s="53" t="str">
        <f>IF(G177&gt;=CO_ATT_INPUTS!$C$327,CHAR(252),CHAR(251))</f>
        <v>û</v>
      </c>
      <c r="M177" s="53" t="str">
        <f>IF(H177&gt;=CO_ATT_INPUTS!$C$327,CHAR(252),CHAR(251))</f>
        <v>û</v>
      </c>
      <c r="N177" s="54" t="str">
        <f>IF(I177&gt;=CO_ATT_INPUTS!$C$327,CHAR(252),CHAR(251))</f>
        <v>û</v>
      </c>
    </row>
    <row r="178" spans="1:14" s="51" customFormat="1" ht="37.5" hidden="1" customHeight="1" x14ac:dyDescent="0.25">
      <c r="A178" s="52">
        <f>CO_ATT_INPUTS!A178</f>
        <v>160</v>
      </c>
      <c r="B178" s="18">
        <f>CO_ATT_INPUTS!B178</f>
        <v>0</v>
      </c>
      <c r="C178" s="19">
        <f>CO_ATT_INPUTS!C178</f>
        <v>0</v>
      </c>
      <c r="D178" s="91">
        <f>CO_ATT_INPUTS!D178</f>
        <v>0</v>
      </c>
      <c r="E178" s="19">
        <f>CO_ATT_INPUTS!AF178</f>
        <v>0</v>
      </c>
      <c r="F178" s="19">
        <f>CO_ATT_INPUTS!AG178</f>
        <v>0</v>
      </c>
      <c r="G178" s="19">
        <f>CO_ATT_INPUTS!AH178</f>
        <v>0</v>
      </c>
      <c r="H178" s="19">
        <f>CO_ATT_INPUTS!AI178</f>
        <v>0</v>
      </c>
      <c r="I178" s="19">
        <f>CO_ATT_INPUTS!AJ178</f>
        <v>0</v>
      </c>
      <c r="J178" s="53" t="str">
        <f>IF(E178&gt;=CO_ATT_INPUTS!$C$327,CHAR(252),CHAR(251))</f>
        <v>û</v>
      </c>
      <c r="K178" s="53" t="str">
        <f>IF(F178&gt;=CO_ATT_INPUTS!$C$327,CHAR(252),CHAR(251))</f>
        <v>û</v>
      </c>
      <c r="L178" s="53" t="str">
        <f>IF(G178&gt;=CO_ATT_INPUTS!$C$327,CHAR(252),CHAR(251))</f>
        <v>û</v>
      </c>
      <c r="M178" s="53" t="str">
        <f>IF(H178&gt;=CO_ATT_INPUTS!$C$327,CHAR(252),CHAR(251))</f>
        <v>û</v>
      </c>
      <c r="N178" s="54" t="str">
        <f>IF(I178&gt;=CO_ATT_INPUTS!$C$327,CHAR(252),CHAR(251))</f>
        <v>û</v>
      </c>
    </row>
    <row r="179" spans="1:14" s="51" customFormat="1" ht="37.5" hidden="1" customHeight="1" x14ac:dyDescent="0.25">
      <c r="A179" s="52">
        <f>CO_ATT_INPUTS!A179</f>
        <v>161</v>
      </c>
      <c r="B179" s="18">
        <f>CO_ATT_INPUTS!B179</f>
        <v>0</v>
      </c>
      <c r="C179" s="19">
        <f>CO_ATT_INPUTS!C179</f>
        <v>0</v>
      </c>
      <c r="D179" s="91">
        <f>CO_ATT_INPUTS!D179</f>
        <v>0</v>
      </c>
      <c r="E179" s="19">
        <f>CO_ATT_INPUTS!AF179</f>
        <v>0</v>
      </c>
      <c r="F179" s="19">
        <f>CO_ATT_INPUTS!AG179</f>
        <v>0</v>
      </c>
      <c r="G179" s="19">
        <f>CO_ATT_INPUTS!AH179</f>
        <v>0</v>
      </c>
      <c r="H179" s="19">
        <f>CO_ATT_INPUTS!AI179</f>
        <v>0</v>
      </c>
      <c r="I179" s="19">
        <f>CO_ATT_INPUTS!AJ179</f>
        <v>0</v>
      </c>
      <c r="J179" s="53" t="str">
        <f>IF(E179&gt;=CO_ATT_INPUTS!$C$327,CHAR(252),CHAR(251))</f>
        <v>û</v>
      </c>
      <c r="K179" s="53" t="str">
        <f>IF(F179&gt;=CO_ATT_INPUTS!$C$327,CHAR(252),CHAR(251))</f>
        <v>û</v>
      </c>
      <c r="L179" s="53" t="str">
        <f>IF(G179&gt;=CO_ATT_INPUTS!$C$327,CHAR(252),CHAR(251))</f>
        <v>û</v>
      </c>
      <c r="M179" s="53" t="str">
        <f>IF(H179&gt;=CO_ATT_INPUTS!$C$327,CHAR(252),CHAR(251))</f>
        <v>û</v>
      </c>
      <c r="N179" s="54" t="str">
        <f>IF(I179&gt;=CO_ATT_INPUTS!$C$327,CHAR(252),CHAR(251))</f>
        <v>û</v>
      </c>
    </row>
    <row r="180" spans="1:14" s="51" customFormat="1" ht="37.5" hidden="1" customHeight="1" x14ac:dyDescent="0.25">
      <c r="A180" s="52">
        <f>CO_ATT_INPUTS!A180</f>
        <v>162</v>
      </c>
      <c r="B180" s="18">
        <f>CO_ATT_INPUTS!B180</f>
        <v>0</v>
      </c>
      <c r="C180" s="19">
        <f>CO_ATT_INPUTS!C180</f>
        <v>0</v>
      </c>
      <c r="D180" s="91">
        <f>CO_ATT_INPUTS!D180</f>
        <v>0</v>
      </c>
      <c r="E180" s="19">
        <f>CO_ATT_INPUTS!AF180</f>
        <v>0</v>
      </c>
      <c r="F180" s="19">
        <f>CO_ATT_INPUTS!AG180</f>
        <v>0</v>
      </c>
      <c r="G180" s="19">
        <f>CO_ATT_INPUTS!AH180</f>
        <v>0</v>
      </c>
      <c r="H180" s="19">
        <f>CO_ATT_INPUTS!AI180</f>
        <v>0</v>
      </c>
      <c r="I180" s="19">
        <f>CO_ATT_INPUTS!AJ180</f>
        <v>0</v>
      </c>
      <c r="J180" s="53" t="str">
        <f>IF(E180&gt;=CO_ATT_INPUTS!$C$327,CHAR(252),CHAR(251))</f>
        <v>û</v>
      </c>
      <c r="K180" s="53" t="str">
        <f>IF(F180&gt;=CO_ATT_INPUTS!$C$327,CHAR(252),CHAR(251))</f>
        <v>û</v>
      </c>
      <c r="L180" s="53" t="str">
        <f>IF(G180&gt;=CO_ATT_INPUTS!$C$327,CHAR(252),CHAR(251))</f>
        <v>û</v>
      </c>
      <c r="M180" s="53" t="str">
        <f>IF(H180&gt;=CO_ATT_INPUTS!$C$327,CHAR(252),CHAR(251))</f>
        <v>û</v>
      </c>
      <c r="N180" s="54" t="str">
        <f>IF(I180&gt;=CO_ATT_INPUTS!$C$327,CHAR(252),CHAR(251))</f>
        <v>û</v>
      </c>
    </row>
    <row r="181" spans="1:14" s="51" customFormat="1" ht="37.5" hidden="1" customHeight="1" x14ac:dyDescent="0.25">
      <c r="A181" s="52">
        <f>CO_ATT_INPUTS!A181</f>
        <v>163</v>
      </c>
      <c r="B181" s="18">
        <f>CO_ATT_INPUTS!B181</f>
        <v>0</v>
      </c>
      <c r="C181" s="19">
        <f>CO_ATT_INPUTS!C181</f>
        <v>0</v>
      </c>
      <c r="D181" s="91">
        <f>CO_ATT_INPUTS!D181</f>
        <v>0</v>
      </c>
      <c r="E181" s="19">
        <f>CO_ATT_INPUTS!AF181</f>
        <v>0</v>
      </c>
      <c r="F181" s="19">
        <f>CO_ATT_INPUTS!AG181</f>
        <v>0</v>
      </c>
      <c r="G181" s="19">
        <f>CO_ATT_INPUTS!AH181</f>
        <v>0</v>
      </c>
      <c r="H181" s="19">
        <f>CO_ATT_INPUTS!AI181</f>
        <v>0</v>
      </c>
      <c r="I181" s="19">
        <f>CO_ATT_INPUTS!AJ181</f>
        <v>0</v>
      </c>
      <c r="J181" s="53" t="str">
        <f>IF(E181&gt;=CO_ATT_INPUTS!$C$327,CHAR(252),CHAR(251))</f>
        <v>û</v>
      </c>
      <c r="K181" s="53" t="str">
        <f>IF(F181&gt;=CO_ATT_INPUTS!$C$327,CHAR(252),CHAR(251))</f>
        <v>û</v>
      </c>
      <c r="L181" s="53" t="str">
        <f>IF(G181&gt;=CO_ATT_INPUTS!$C$327,CHAR(252),CHAR(251))</f>
        <v>û</v>
      </c>
      <c r="M181" s="53" t="str">
        <f>IF(H181&gt;=CO_ATT_INPUTS!$C$327,CHAR(252),CHAR(251))</f>
        <v>û</v>
      </c>
      <c r="N181" s="54" t="str">
        <f>IF(I181&gt;=CO_ATT_INPUTS!$C$327,CHAR(252),CHAR(251))</f>
        <v>û</v>
      </c>
    </row>
    <row r="182" spans="1:14" s="51" customFormat="1" ht="37.5" hidden="1" customHeight="1" x14ac:dyDescent="0.25">
      <c r="A182" s="52">
        <f>CO_ATT_INPUTS!A182</f>
        <v>164</v>
      </c>
      <c r="B182" s="18">
        <f>CO_ATT_INPUTS!B182</f>
        <v>0</v>
      </c>
      <c r="C182" s="19">
        <f>CO_ATT_INPUTS!C182</f>
        <v>0</v>
      </c>
      <c r="D182" s="91">
        <f>CO_ATT_INPUTS!D182</f>
        <v>0</v>
      </c>
      <c r="E182" s="19">
        <f>CO_ATT_INPUTS!AF182</f>
        <v>0</v>
      </c>
      <c r="F182" s="19">
        <f>CO_ATT_INPUTS!AG182</f>
        <v>0</v>
      </c>
      <c r="G182" s="19">
        <f>CO_ATT_INPUTS!AH182</f>
        <v>0</v>
      </c>
      <c r="H182" s="19">
        <f>CO_ATT_INPUTS!AI182</f>
        <v>0</v>
      </c>
      <c r="I182" s="19">
        <f>CO_ATT_INPUTS!AJ182</f>
        <v>0</v>
      </c>
      <c r="J182" s="53" t="str">
        <f>IF(E182&gt;=CO_ATT_INPUTS!$C$327,CHAR(252),CHAR(251))</f>
        <v>û</v>
      </c>
      <c r="K182" s="53" t="str">
        <f>IF(F182&gt;=CO_ATT_INPUTS!$C$327,CHAR(252),CHAR(251))</f>
        <v>û</v>
      </c>
      <c r="L182" s="53" t="str">
        <f>IF(G182&gt;=CO_ATT_INPUTS!$C$327,CHAR(252),CHAR(251))</f>
        <v>û</v>
      </c>
      <c r="M182" s="53" t="str">
        <f>IF(H182&gt;=CO_ATT_INPUTS!$C$327,CHAR(252),CHAR(251))</f>
        <v>û</v>
      </c>
      <c r="N182" s="54" t="str">
        <f>IF(I182&gt;=CO_ATT_INPUTS!$C$327,CHAR(252),CHAR(251))</f>
        <v>û</v>
      </c>
    </row>
    <row r="183" spans="1:14" s="51" customFormat="1" ht="37.5" hidden="1" customHeight="1" x14ac:dyDescent="0.25">
      <c r="A183" s="52">
        <f>CO_ATT_INPUTS!A183</f>
        <v>165</v>
      </c>
      <c r="B183" s="18">
        <f>CO_ATT_INPUTS!B183</f>
        <v>0</v>
      </c>
      <c r="C183" s="19">
        <f>CO_ATT_INPUTS!C183</f>
        <v>0</v>
      </c>
      <c r="D183" s="91">
        <f>CO_ATT_INPUTS!D183</f>
        <v>0</v>
      </c>
      <c r="E183" s="19">
        <f>CO_ATT_INPUTS!AF183</f>
        <v>0</v>
      </c>
      <c r="F183" s="19">
        <f>CO_ATT_INPUTS!AG183</f>
        <v>0</v>
      </c>
      <c r="G183" s="19">
        <f>CO_ATT_INPUTS!AH183</f>
        <v>0</v>
      </c>
      <c r="H183" s="19">
        <f>CO_ATT_INPUTS!AI183</f>
        <v>0</v>
      </c>
      <c r="I183" s="19">
        <f>CO_ATT_INPUTS!AJ183</f>
        <v>0</v>
      </c>
      <c r="J183" s="53" t="str">
        <f>IF(E183&gt;=CO_ATT_INPUTS!$C$327,CHAR(252),CHAR(251))</f>
        <v>û</v>
      </c>
      <c r="K183" s="53" t="str">
        <f>IF(F183&gt;=CO_ATT_INPUTS!$C$327,CHAR(252),CHAR(251))</f>
        <v>û</v>
      </c>
      <c r="L183" s="53" t="str">
        <f>IF(G183&gt;=CO_ATT_INPUTS!$C$327,CHAR(252),CHAR(251))</f>
        <v>û</v>
      </c>
      <c r="M183" s="53" t="str">
        <f>IF(H183&gt;=CO_ATT_INPUTS!$C$327,CHAR(252),CHAR(251))</f>
        <v>û</v>
      </c>
      <c r="N183" s="54" t="str">
        <f>IF(I183&gt;=CO_ATT_INPUTS!$C$327,CHAR(252),CHAR(251))</f>
        <v>û</v>
      </c>
    </row>
    <row r="184" spans="1:14" s="51" customFormat="1" ht="37.5" hidden="1" customHeight="1" x14ac:dyDescent="0.25">
      <c r="A184" s="52">
        <f>CO_ATT_INPUTS!A184</f>
        <v>166</v>
      </c>
      <c r="B184" s="18">
        <f>CO_ATT_INPUTS!B184</f>
        <v>0</v>
      </c>
      <c r="C184" s="19">
        <f>CO_ATT_INPUTS!C184</f>
        <v>0</v>
      </c>
      <c r="D184" s="91">
        <f>CO_ATT_INPUTS!D184</f>
        <v>0</v>
      </c>
      <c r="E184" s="19">
        <f>CO_ATT_INPUTS!AF184</f>
        <v>0</v>
      </c>
      <c r="F184" s="19">
        <f>CO_ATT_INPUTS!AG184</f>
        <v>0</v>
      </c>
      <c r="G184" s="19">
        <f>CO_ATT_INPUTS!AH184</f>
        <v>0</v>
      </c>
      <c r="H184" s="19">
        <f>CO_ATT_INPUTS!AI184</f>
        <v>0</v>
      </c>
      <c r="I184" s="19">
        <f>CO_ATT_INPUTS!AJ184</f>
        <v>0</v>
      </c>
      <c r="J184" s="53" t="str">
        <f>IF(E184&gt;=CO_ATT_INPUTS!$C$327,CHAR(252),CHAR(251))</f>
        <v>û</v>
      </c>
      <c r="K184" s="53" t="str">
        <f>IF(F184&gt;=CO_ATT_INPUTS!$C$327,CHAR(252),CHAR(251))</f>
        <v>û</v>
      </c>
      <c r="L184" s="53" t="str">
        <f>IF(G184&gt;=CO_ATT_INPUTS!$C$327,CHAR(252),CHAR(251))</f>
        <v>û</v>
      </c>
      <c r="M184" s="53" t="str">
        <f>IF(H184&gt;=CO_ATT_INPUTS!$C$327,CHAR(252),CHAR(251))</f>
        <v>û</v>
      </c>
      <c r="N184" s="54" t="str">
        <f>IF(I184&gt;=CO_ATT_INPUTS!$C$327,CHAR(252),CHAR(251))</f>
        <v>û</v>
      </c>
    </row>
    <row r="185" spans="1:14" s="51" customFormat="1" ht="37.5" hidden="1" customHeight="1" x14ac:dyDescent="0.25">
      <c r="A185" s="52">
        <f>CO_ATT_INPUTS!A185</f>
        <v>167</v>
      </c>
      <c r="B185" s="18">
        <f>CO_ATT_INPUTS!B185</f>
        <v>0</v>
      </c>
      <c r="C185" s="19">
        <f>CO_ATT_INPUTS!C185</f>
        <v>0</v>
      </c>
      <c r="D185" s="91">
        <f>CO_ATT_INPUTS!D185</f>
        <v>0</v>
      </c>
      <c r="E185" s="19">
        <f>CO_ATT_INPUTS!AF185</f>
        <v>0</v>
      </c>
      <c r="F185" s="19">
        <f>CO_ATT_INPUTS!AG185</f>
        <v>0</v>
      </c>
      <c r="G185" s="19">
        <f>CO_ATT_INPUTS!AH185</f>
        <v>0</v>
      </c>
      <c r="H185" s="19">
        <f>CO_ATT_INPUTS!AI185</f>
        <v>0</v>
      </c>
      <c r="I185" s="19">
        <f>CO_ATT_INPUTS!AJ185</f>
        <v>0</v>
      </c>
      <c r="J185" s="53" t="str">
        <f>IF(E185&gt;=CO_ATT_INPUTS!$C$327,CHAR(252),CHAR(251))</f>
        <v>û</v>
      </c>
      <c r="K185" s="53" t="str">
        <f>IF(F185&gt;=CO_ATT_INPUTS!$C$327,CHAR(252),CHAR(251))</f>
        <v>û</v>
      </c>
      <c r="L185" s="53" t="str">
        <f>IF(G185&gt;=CO_ATT_INPUTS!$C$327,CHAR(252),CHAR(251))</f>
        <v>û</v>
      </c>
      <c r="M185" s="53" t="str">
        <f>IF(H185&gt;=CO_ATT_INPUTS!$C$327,CHAR(252),CHAR(251))</f>
        <v>û</v>
      </c>
      <c r="N185" s="54" t="str">
        <f>IF(I185&gt;=CO_ATT_INPUTS!$C$327,CHAR(252),CHAR(251))</f>
        <v>û</v>
      </c>
    </row>
    <row r="186" spans="1:14" s="51" customFormat="1" ht="37.5" hidden="1" customHeight="1" x14ac:dyDescent="0.25">
      <c r="A186" s="52">
        <f>CO_ATT_INPUTS!A186</f>
        <v>168</v>
      </c>
      <c r="B186" s="18">
        <f>CO_ATT_INPUTS!B186</f>
        <v>0</v>
      </c>
      <c r="C186" s="19">
        <f>CO_ATT_INPUTS!C186</f>
        <v>0</v>
      </c>
      <c r="D186" s="91">
        <f>CO_ATT_INPUTS!D186</f>
        <v>0</v>
      </c>
      <c r="E186" s="19">
        <f>CO_ATT_INPUTS!AF186</f>
        <v>0</v>
      </c>
      <c r="F186" s="19">
        <f>CO_ATT_INPUTS!AG186</f>
        <v>0</v>
      </c>
      <c r="G186" s="19">
        <f>CO_ATT_INPUTS!AH186</f>
        <v>0</v>
      </c>
      <c r="H186" s="19">
        <f>CO_ATT_INPUTS!AI186</f>
        <v>0</v>
      </c>
      <c r="I186" s="19">
        <f>CO_ATT_INPUTS!AJ186</f>
        <v>0</v>
      </c>
      <c r="J186" s="53" t="str">
        <f>IF(E186&gt;=CO_ATT_INPUTS!$C$327,CHAR(252),CHAR(251))</f>
        <v>û</v>
      </c>
      <c r="K186" s="53" t="str">
        <f>IF(F186&gt;=CO_ATT_INPUTS!$C$327,CHAR(252),CHAR(251))</f>
        <v>û</v>
      </c>
      <c r="L186" s="53" t="str">
        <f>IF(G186&gt;=CO_ATT_INPUTS!$C$327,CHAR(252),CHAR(251))</f>
        <v>û</v>
      </c>
      <c r="M186" s="53" t="str">
        <f>IF(H186&gt;=CO_ATT_INPUTS!$C$327,CHAR(252),CHAR(251))</f>
        <v>û</v>
      </c>
      <c r="N186" s="54" t="str">
        <f>IF(I186&gt;=CO_ATT_INPUTS!$C$327,CHAR(252),CHAR(251))</f>
        <v>û</v>
      </c>
    </row>
    <row r="187" spans="1:14" s="51" customFormat="1" ht="37.5" hidden="1" customHeight="1" x14ac:dyDescent="0.25">
      <c r="A187" s="52">
        <f>CO_ATT_INPUTS!A187</f>
        <v>169</v>
      </c>
      <c r="B187" s="18">
        <f>CO_ATT_INPUTS!B187</f>
        <v>0</v>
      </c>
      <c r="C187" s="19">
        <f>CO_ATT_INPUTS!C187</f>
        <v>0</v>
      </c>
      <c r="D187" s="91">
        <f>CO_ATT_INPUTS!D187</f>
        <v>0</v>
      </c>
      <c r="E187" s="19">
        <f>CO_ATT_INPUTS!AF187</f>
        <v>0</v>
      </c>
      <c r="F187" s="19">
        <f>CO_ATT_INPUTS!AG187</f>
        <v>0</v>
      </c>
      <c r="G187" s="19">
        <f>CO_ATT_INPUTS!AH187</f>
        <v>0</v>
      </c>
      <c r="H187" s="19">
        <f>CO_ATT_INPUTS!AI187</f>
        <v>0</v>
      </c>
      <c r="I187" s="19">
        <f>CO_ATT_INPUTS!AJ187</f>
        <v>0</v>
      </c>
      <c r="J187" s="53" t="str">
        <f>IF(E187&gt;=CO_ATT_INPUTS!$C$327,CHAR(252),CHAR(251))</f>
        <v>û</v>
      </c>
      <c r="K187" s="53" t="str">
        <f>IF(F187&gt;=CO_ATT_INPUTS!$C$327,CHAR(252),CHAR(251))</f>
        <v>û</v>
      </c>
      <c r="L187" s="53" t="str">
        <f>IF(G187&gt;=CO_ATT_INPUTS!$C$327,CHAR(252),CHAR(251))</f>
        <v>û</v>
      </c>
      <c r="M187" s="53" t="str">
        <f>IF(H187&gt;=CO_ATT_INPUTS!$C$327,CHAR(252),CHAR(251))</f>
        <v>û</v>
      </c>
      <c r="N187" s="54" t="str">
        <f>IF(I187&gt;=CO_ATT_INPUTS!$C$327,CHAR(252),CHAR(251))</f>
        <v>û</v>
      </c>
    </row>
    <row r="188" spans="1:14" s="51" customFormat="1" ht="37.5" hidden="1" customHeight="1" x14ac:dyDescent="0.25">
      <c r="A188" s="52">
        <f>CO_ATT_INPUTS!A188</f>
        <v>170</v>
      </c>
      <c r="B188" s="18">
        <f>CO_ATT_INPUTS!B188</f>
        <v>0</v>
      </c>
      <c r="C188" s="19">
        <f>CO_ATT_INPUTS!C188</f>
        <v>0</v>
      </c>
      <c r="D188" s="91">
        <f>CO_ATT_INPUTS!D188</f>
        <v>0</v>
      </c>
      <c r="E188" s="19">
        <f>CO_ATT_INPUTS!AF188</f>
        <v>0</v>
      </c>
      <c r="F188" s="19">
        <f>CO_ATT_INPUTS!AG188</f>
        <v>0</v>
      </c>
      <c r="G188" s="19">
        <f>CO_ATT_INPUTS!AH188</f>
        <v>0</v>
      </c>
      <c r="H188" s="19">
        <f>CO_ATT_INPUTS!AI188</f>
        <v>0</v>
      </c>
      <c r="I188" s="19">
        <f>CO_ATT_INPUTS!AJ188</f>
        <v>0</v>
      </c>
      <c r="J188" s="53" t="str">
        <f>IF(E188&gt;=CO_ATT_INPUTS!$C$327,CHAR(252),CHAR(251))</f>
        <v>û</v>
      </c>
      <c r="K188" s="53" t="str">
        <f>IF(F188&gt;=CO_ATT_INPUTS!$C$327,CHAR(252),CHAR(251))</f>
        <v>û</v>
      </c>
      <c r="L188" s="53" t="str">
        <f>IF(G188&gt;=CO_ATT_INPUTS!$C$327,CHAR(252),CHAR(251))</f>
        <v>û</v>
      </c>
      <c r="M188" s="53" t="str">
        <f>IF(H188&gt;=CO_ATT_INPUTS!$C$327,CHAR(252),CHAR(251))</f>
        <v>û</v>
      </c>
      <c r="N188" s="54" t="str">
        <f>IF(I188&gt;=CO_ATT_INPUTS!$C$327,CHAR(252),CHAR(251))</f>
        <v>û</v>
      </c>
    </row>
    <row r="189" spans="1:14" s="51" customFormat="1" ht="37.5" hidden="1" customHeight="1" x14ac:dyDescent="0.25">
      <c r="A189" s="52">
        <f>CO_ATT_INPUTS!A189</f>
        <v>171</v>
      </c>
      <c r="B189" s="18">
        <f>CO_ATT_INPUTS!B189</f>
        <v>0</v>
      </c>
      <c r="C189" s="19">
        <f>CO_ATT_INPUTS!C189</f>
        <v>0</v>
      </c>
      <c r="D189" s="91">
        <f>CO_ATT_INPUTS!D189</f>
        <v>0</v>
      </c>
      <c r="E189" s="19">
        <f>CO_ATT_INPUTS!AF189</f>
        <v>0</v>
      </c>
      <c r="F189" s="19">
        <f>CO_ATT_INPUTS!AG189</f>
        <v>0</v>
      </c>
      <c r="G189" s="19">
        <f>CO_ATT_INPUTS!AH189</f>
        <v>0</v>
      </c>
      <c r="H189" s="19">
        <f>CO_ATT_INPUTS!AI189</f>
        <v>0</v>
      </c>
      <c r="I189" s="19">
        <f>CO_ATT_INPUTS!AJ189</f>
        <v>0</v>
      </c>
      <c r="J189" s="53" t="str">
        <f>IF(E189&gt;=CO_ATT_INPUTS!$C$327,CHAR(252),CHAR(251))</f>
        <v>û</v>
      </c>
      <c r="K189" s="53" t="str">
        <f>IF(F189&gt;=CO_ATT_INPUTS!$C$327,CHAR(252),CHAR(251))</f>
        <v>û</v>
      </c>
      <c r="L189" s="53" t="str">
        <f>IF(G189&gt;=CO_ATT_INPUTS!$C$327,CHAR(252),CHAR(251))</f>
        <v>û</v>
      </c>
      <c r="M189" s="53" t="str">
        <f>IF(H189&gt;=CO_ATT_INPUTS!$C$327,CHAR(252),CHAR(251))</f>
        <v>û</v>
      </c>
      <c r="N189" s="54" t="str">
        <f>IF(I189&gt;=CO_ATT_INPUTS!$C$327,CHAR(252),CHAR(251))</f>
        <v>û</v>
      </c>
    </row>
    <row r="190" spans="1:14" s="51" customFormat="1" ht="37.5" hidden="1" customHeight="1" x14ac:dyDescent="0.25">
      <c r="A190" s="52">
        <f>CO_ATT_INPUTS!A190</f>
        <v>172</v>
      </c>
      <c r="B190" s="18">
        <f>CO_ATT_INPUTS!B190</f>
        <v>0</v>
      </c>
      <c r="C190" s="19">
        <f>CO_ATT_INPUTS!C190</f>
        <v>0</v>
      </c>
      <c r="D190" s="91">
        <f>CO_ATT_INPUTS!D190</f>
        <v>0</v>
      </c>
      <c r="E190" s="19">
        <f>CO_ATT_INPUTS!AF190</f>
        <v>0</v>
      </c>
      <c r="F190" s="19">
        <f>CO_ATT_INPUTS!AG190</f>
        <v>0</v>
      </c>
      <c r="G190" s="19">
        <f>CO_ATT_INPUTS!AH190</f>
        <v>0</v>
      </c>
      <c r="H190" s="19">
        <f>CO_ATT_INPUTS!AI190</f>
        <v>0</v>
      </c>
      <c r="I190" s="19">
        <f>CO_ATT_INPUTS!AJ190</f>
        <v>0</v>
      </c>
      <c r="J190" s="53" t="str">
        <f>IF(E190&gt;=CO_ATT_INPUTS!$C$327,CHAR(252),CHAR(251))</f>
        <v>û</v>
      </c>
      <c r="K190" s="53" t="str">
        <f>IF(F190&gt;=CO_ATT_INPUTS!$C$327,CHAR(252),CHAR(251))</f>
        <v>û</v>
      </c>
      <c r="L190" s="53" t="str">
        <f>IF(G190&gt;=CO_ATT_INPUTS!$C$327,CHAR(252),CHAR(251))</f>
        <v>û</v>
      </c>
      <c r="M190" s="53" t="str">
        <f>IF(H190&gt;=CO_ATT_INPUTS!$C$327,CHAR(252),CHAR(251))</f>
        <v>û</v>
      </c>
      <c r="N190" s="54" t="str">
        <f>IF(I190&gt;=CO_ATT_INPUTS!$C$327,CHAR(252),CHAR(251))</f>
        <v>û</v>
      </c>
    </row>
    <row r="191" spans="1:14" s="51" customFormat="1" ht="37.5" hidden="1" customHeight="1" x14ac:dyDescent="0.25">
      <c r="A191" s="52">
        <f>CO_ATT_INPUTS!A191</f>
        <v>173</v>
      </c>
      <c r="B191" s="18">
        <f>CO_ATT_INPUTS!B191</f>
        <v>0</v>
      </c>
      <c r="C191" s="19">
        <f>CO_ATT_INPUTS!C191</f>
        <v>0</v>
      </c>
      <c r="D191" s="91">
        <f>CO_ATT_INPUTS!D191</f>
        <v>0</v>
      </c>
      <c r="E191" s="19">
        <f>CO_ATT_INPUTS!AF191</f>
        <v>0</v>
      </c>
      <c r="F191" s="19">
        <f>CO_ATT_INPUTS!AG191</f>
        <v>0</v>
      </c>
      <c r="G191" s="19">
        <f>CO_ATT_INPUTS!AH191</f>
        <v>0</v>
      </c>
      <c r="H191" s="19">
        <f>CO_ATT_INPUTS!AI191</f>
        <v>0</v>
      </c>
      <c r="I191" s="19">
        <f>CO_ATT_INPUTS!AJ191</f>
        <v>0</v>
      </c>
      <c r="J191" s="53" t="str">
        <f>IF(E191&gt;=CO_ATT_INPUTS!$C$327,CHAR(252),CHAR(251))</f>
        <v>û</v>
      </c>
      <c r="K191" s="53" t="str">
        <f>IF(F191&gt;=CO_ATT_INPUTS!$C$327,CHAR(252),CHAR(251))</f>
        <v>û</v>
      </c>
      <c r="L191" s="53" t="str">
        <f>IF(G191&gt;=CO_ATT_INPUTS!$C$327,CHAR(252),CHAR(251))</f>
        <v>û</v>
      </c>
      <c r="M191" s="53" t="str">
        <f>IF(H191&gt;=CO_ATT_INPUTS!$C$327,CHAR(252),CHAR(251))</f>
        <v>û</v>
      </c>
      <c r="N191" s="54" t="str">
        <f>IF(I191&gt;=CO_ATT_INPUTS!$C$327,CHAR(252),CHAR(251))</f>
        <v>û</v>
      </c>
    </row>
    <row r="192" spans="1:14" s="51" customFormat="1" ht="37.5" hidden="1" customHeight="1" x14ac:dyDescent="0.25">
      <c r="A192" s="52">
        <f>CO_ATT_INPUTS!A192</f>
        <v>174</v>
      </c>
      <c r="B192" s="18">
        <f>CO_ATT_INPUTS!B192</f>
        <v>0</v>
      </c>
      <c r="C192" s="19">
        <f>CO_ATT_INPUTS!C192</f>
        <v>0</v>
      </c>
      <c r="D192" s="91">
        <f>CO_ATT_INPUTS!D192</f>
        <v>0</v>
      </c>
      <c r="E192" s="19">
        <f>CO_ATT_INPUTS!AF192</f>
        <v>0</v>
      </c>
      <c r="F192" s="19">
        <f>CO_ATT_INPUTS!AG192</f>
        <v>0</v>
      </c>
      <c r="G192" s="19">
        <f>CO_ATT_INPUTS!AH192</f>
        <v>0</v>
      </c>
      <c r="H192" s="19">
        <f>CO_ATT_INPUTS!AI192</f>
        <v>0</v>
      </c>
      <c r="I192" s="19">
        <f>CO_ATT_INPUTS!AJ192</f>
        <v>0</v>
      </c>
      <c r="J192" s="53" t="str">
        <f>IF(E192&gt;=CO_ATT_INPUTS!$C$327,CHAR(252),CHAR(251))</f>
        <v>û</v>
      </c>
      <c r="K192" s="53" t="str">
        <f>IF(F192&gt;=CO_ATT_INPUTS!$C$327,CHAR(252),CHAR(251))</f>
        <v>û</v>
      </c>
      <c r="L192" s="53" t="str">
        <f>IF(G192&gt;=CO_ATT_INPUTS!$C$327,CHAR(252),CHAR(251))</f>
        <v>û</v>
      </c>
      <c r="M192" s="53" t="str">
        <f>IF(H192&gt;=CO_ATT_INPUTS!$C$327,CHAR(252),CHAR(251))</f>
        <v>û</v>
      </c>
      <c r="N192" s="54" t="str">
        <f>IF(I192&gt;=CO_ATT_INPUTS!$C$327,CHAR(252),CHAR(251))</f>
        <v>û</v>
      </c>
    </row>
    <row r="193" spans="1:14" s="51" customFormat="1" ht="37.5" hidden="1" customHeight="1" x14ac:dyDescent="0.25">
      <c r="A193" s="52">
        <f>CO_ATT_INPUTS!A193</f>
        <v>175</v>
      </c>
      <c r="B193" s="18">
        <f>CO_ATT_INPUTS!B193</f>
        <v>0</v>
      </c>
      <c r="C193" s="19">
        <f>CO_ATT_INPUTS!C193</f>
        <v>0</v>
      </c>
      <c r="D193" s="91">
        <f>CO_ATT_INPUTS!D193</f>
        <v>0</v>
      </c>
      <c r="E193" s="19">
        <f>CO_ATT_INPUTS!AF193</f>
        <v>0</v>
      </c>
      <c r="F193" s="19">
        <f>CO_ATT_INPUTS!AG193</f>
        <v>0</v>
      </c>
      <c r="G193" s="19">
        <f>CO_ATT_INPUTS!AH193</f>
        <v>0</v>
      </c>
      <c r="H193" s="19">
        <f>CO_ATT_INPUTS!AI193</f>
        <v>0</v>
      </c>
      <c r="I193" s="19">
        <f>CO_ATT_INPUTS!AJ193</f>
        <v>0</v>
      </c>
      <c r="J193" s="53" t="str">
        <f>IF(E193&gt;=CO_ATT_INPUTS!$C$327,CHAR(252),CHAR(251))</f>
        <v>û</v>
      </c>
      <c r="K193" s="53" t="str">
        <f>IF(F193&gt;=CO_ATT_INPUTS!$C$327,CHAR(252),CHAR(251))</f>
        <v>û</v>
      </c>
      <c r="L193" s="53" t="str">
        <f>IF(G193&gt;=CO_ATT_INPUTS!$C$327,CHAR(252),CHAR(251))</f>
        <v>û</v>
      </c>
      <c r="M193" s="53" t="str">
        <f>IF(H193&gt;=CO_ATT_INPUTS!$C$327,CHAR(252),CHAR(251))</f>
        <v>û</v>
      </c>
      <c r="N193" s="54" t="str">
        <f>IF(I193&gt;=CO_ATT_INPUTS!$C$327,CHAR(252),CHAR(251))</f>
        <v>û</v>
      </c>
    </row>
    <row r="194" spans="1:14" s="51" customFormat="1" ht="37.5" hidden="1" customHeight="1" x14ac:dyDescent="0.25">
      <c r="A194" s="52">
        <f>CO_ATT_INPUTS!A194</f>
        <v>176</v>
      </c>
      <c r="B194" s="18">
        <f>CO_ATT_INPUTS!B194</f>
        <v>0</v>
      </c>
      <c r="C194" s="19">
        <f>CO_ATT_INPUTS!C194</f>
        <v>0</v>
      </c>
      <c r="D194" s="91">
        <f>CO_ATT_INPUTS!D194</f>
        <v>0</v>
      </c>
      <c r="E194" s="19">
        <f>CO_ATT_INPUTS!AF194</f>
        <v>0</v>
      </c>
      <c r="F194" s="19">
        <f>CO_ATT_INPUTS!AG194</f>
        <v>0</v>
      </c>
      <c r="G194" s="19">
        <f>CO_ATT_INPUTS!AH194</f>
        <v>0</v>
      </c>
      <c r="H194" s="19">
        <f>CO_ATT_INPUTS!AI194</f>
        <v>0</v>
      </c>
      <c r="I194" s="19">
        <f>CO_ATT_INPUTS!AJ194</f>
        <v>0</v>
      </c>
      <c r="J194" s="53" t="str">
        <f>IF(E194&gt;=CO_ATT_INPUTS!$C$327,CHAR(252),CHAR(251))</f>
        <v>û</v>
      </c>
      <c r="K194" s="53" t="str">
        <f>IF(F194&gt;=CO_ATT_INPUTS!$C$327,CHAR(252),CHAR(251))</f>
        <v>û</v>
      </c>
      <c r="L194" s="53" t="str">
        <f>IF(G194&gt;=CO_ATT_INPUTS!$C$327,CHAR(252),CHAR(251))</f>
        <v>û</v>
      </c>
      <c r="M194" s="53" t="str">
        <f>IF(H194&gt;=CO_ATT_INPUTS!$C$327,CHAR(252),CHAR(251))</f>
        <v>û</v>
      </c>
      <c r="N194" s="54" t="str">
        <f>IF(I194&gt;=CO_ATT_INPUTS!$C$327,CHAR(252),CHAR(251))</f>
        <v>û</v>
      </c>
    </row>
    <row r="195" spans="1:14" s="51" customFormat="1" ht="37.5" hidden="1" customHeight="1" x14ac:dyDescent="0.25">
      <c r="A195" s="52">
        <f>CO_ATT_INPUTS!A195</f>
        <v>177</v>
      </c>
      <c r="B195" s="18">
        <f>CO_ATT_INPUTS!B195</f>
        <v>0</v>
      </c>
      <c r="C195" s="19">
        <f>CO_ATT_INPUTS!C195</f>
        <v>0</v>
      </c>
      <c r="D195" s="91">
        <f>CO_ATT_INPUTS!D195</f>
        <v>0</v>
      </c>
      <c r="E195" s="19">
        <f>CO_ATT_INPUTS!AF195</f>
        <v>0</v>
      </c>
      <c r="F195" s="19">
        <f>CO_ATT_INPUTS!AG195</f>
        <v>0</v>
      </c>
      <c r="G195" s="19">
        <f>CO_ATT_INPUTS!AH195</f>
        <v>0</v>
      </c>
      <c r="H195" s="19">
        <f>CO_ATT_INPUTS!AI195</f>
        <v>0</v>
      </c>
      <c r="I195" s="19">
        <f>CO_ATT_INPUTS!AJ195</f>
        <v>0</v>
      </c>
      <c r="J195" s="53" t="str">
        <f>IF(E195&gt;=CO_ATT_INPUTS!$C$327,CHAR(252),CHAR(251))</f>
        <v>û</v>
      </c>
      <c r="K195" s="53" t="str">
        <f>IF(F195&gt;=CO_ATT_INPUTS!$C$327,CHAR(252),CHAR(251))</f>
        <v>û</v>
      </c>
      <c r="L195" s="53" t="str">
        <f>IF(G195&gt;=CO_ATT_INPUTS!$C$327,CHAR(252),CHAR(251))</f>
        <v>û</v>
      </c>
      <c r="M195" s="53" t="str">
        <f>IF(H195&gt;=CO_ATT_INPUTS!$C$327,CHAR(252),CHAR(251))</f>
        <v>û</v>
      </c>
      <c r="N195" s="54" t="str">
        <f>IF(I195&gt;=CO_ATT_INPUTS!$C$327,CHAR(252),CHAR(251))</f>
        <v>û</v>
      </c>
    </row>
    <row r="196" spans="1:14" s="51" customFormat="1" ht="37.5" hidden="1" customHeight="1" x14ac:dyDescent="0.25">
      <c r="A196" s="52">
        <f>CO_ATT_INPUTS!A196</f>
        <v>178</v>
      </c>
      <c r="B196" s="18">
        <f>CO_ATT_INPUTS!B196</f>
        <v>0</v>
      </c>
      <c r="C196" s="19">
        <f>CO_ATT_INPUTS!C196</f>
        <v>0</v>
      </c>
      <c r="D196" s="91">
        <f>CO_ATT_INPUTS!D196</f>
        <v>0</v>
      </c>
      <c r="E196" s="19">
        <f>CO_ATT_INPUTS!AF196</f>
        <v>0</v>
      </c>
      <c r="F196" s="19">
        <f>CO_ATT_INPUTS!AG196</f>
        <v>0</v>
      </c>
      <c r="G196" s="19">
        <f>CO_ATT_INPUTS!AH196</f>
        <v>0</v>
      </c>
      <c r="H196" s="19">
        <f>CO_ATT_INPUTS!AI196</f>
        <v>0</v>
      </c>
      <c r="I196" s="19">
        <f>CO_ATT_INPUTS!AJ196</f>
        <v>0</v>
      </c>
      <c r="J196" s="53" t="str">
        <f>IF(E196&gt;=CO_ATT_INPUTS!$C$327,CHAR(252),CHAR(251))</f>
        <v>û</v>
      </c>
      <c r="K196" s="53" t="str">
        <f>IF(F196&gt;=CO_ATT_INPUTS!$C$327,CHAR(252),CHAR(251))</f>
        <v>û</v>
      </c>
      <c r="L196" s="53" t="str">
        <f>IF(G196&gt;=CO_ATT_INPUTS!$C$327,CHAR(252),CHAR(251))</f>
        <v>û</v>
      </c>
      <c r="M196" s="53" t="str">
        <f>IF(H196&gt;=CO_ATT_INPUTS!$C$327,CHAR(252),CHAR(251))</f>
        <v>û</v>
      </c>
      <c r="N196" s="54" t="str">
        <f>IF(I196&gt;=CO_ATT_INPUTS!$C$327,CHAR(252),CHAR(251))</f>
        <v>û</v>
      </c>
    </row>
    <row r="197" spans="1:14" s="51" customFormat="1" ht="37.5" hidden="1" customHeight="1" x14ac:dyDescent="0.25">
      <c r="A197" s="52">
        <f>CO_ATT_INPUTS!A197</f>
        <v>179</v>
      </c>
      <c r="B197" s="18">
        <f>CO_ATT_INPUTS!B197</f>
        <v>0</v>
      </c>
      <c r="C197" s="19">
        <f>CO_ATT_INPUTS!C197</f>
        <v>0</v>
      </c>
      <c r="D197" s="91">
        <f>CO_ATT_INPUTS!D197</f>
        <v>0</v>
      </c>
      <c r="E197" s="19">
        <f>CO_ATT_INPUTS!AF197</f>
        <v>0</v>
      </c>
      <c r="F197" s="19">
        <f>CO_ATT_INPUTS!AG197</f>
        <v>0</v>
      </c>
      <c r="G197" s="19">
        <f>CO_ATT_INPUTS!AH197</f>
        <v>0</v>
      </c>
      <c r="H197" s="19">
        <f>CO_ATT_INPUTS!AI197</f>
        <v>0</v>
      </c>
      <c r="I197" s="19">
        <f>CO_ATT_INPUTS!AJ197</f>
        <v>0</v>
      </c>
      <c r="J197" s="53" t="str">
        <f>IF(E197&gt;=CO_ATT_INPUTS!$C$327,CHAR(252),CHAR(251))</f>
        <v>û</v>
      </c>
      <c r="K197" s="53" t="str">
        <f>IF(F197&gt;=CO_ATT_INPUTS!$C$327,CHAR(252),CHAR(251))</f>
        <v>û</v>
      </c>
      <c r="L197" s="53" t="str">
        <f>IF(G197&gt;=CO_ATT_INPUTS!$C$327,CHAR(252),CHAR(251))</f>
        <v>û</v>
      </c>
      <c r="M197" s="53" t="str">
        <f>IF(H197&gt;=CO_ATT_INPUTS!$C$327,CHAR(252),CHAR(251))</f>
        <v>û</v>
      </c>
      <c r="N197" s="54" t="str">
        <f>IF(I197&gt;=CO_ATT_INPUTS!$C$327,CHAR(252),CHAR(251))</f>
        <v>û</v>
      </c>
    </row>
    <row r="198" spans="1:14" s="51" customFormat="1" ht="37.5" hidden="1" customHeight="1" x14ac:dyDescent="0.25">
      <c r="A198" s="52">
        <f>CO_ATT_INPUTS!A198</f>
        <v>180</v>
      </c>
      <c r="B198" s="18">
        <f>CO_ATT_INPUTS!B198</f>
        <v>0</v>
      </c>
      <c r="C198" s="19">
        <f>CO_ATT_INPUTS!C198</f>
        <v>0</v>
      </c>
      <c r="D198" s="91">
        <f>CO_ATT_INPUTS!D198</f>
        <v>0</v>
      </c>
      <c r="E198" s="19">
        <f>CO_ATT_INPUTS!AF198</f>
        <v>0</v>
      </c>
      <c r="F198" s="19">
        <f>CO_ATT_INPUTS!AG198</f>
        <v>0</v>
      </c>
      <c r="G198" s="19">
        <f>CO_ATT_INPUTS!AH198</f>
        <v>0</v>
      </c>
      <c r="H198" s="19">
        <f>CO_ATT_INPUTS!AI198</f>
        <v>0</v>
      </c>
      <c r="I198" s="19">
        <f>CO_ATT_INPUTS!AJ198</f>
        <v>0</v>
      </c>
      <c r="J198" s="53" t="str">
        <f>IF(E198&gt;=CO_ATT_INPUTS!$C$327,CHAR(252),CHAR(251))</f>
        <v>û</v>
      </c>
      <c r="K198" s="53" t="str">
        <f>IF(F198&gt;=CO_ATT_INPUTS!$C$327,CHAR(252),CHAR(251))</f>
        <v>û</v>
      </c>
      <c r="L198" s="53" t="str">
        <f>IF(G198&gt;=CO_ATT_INPUTS!$C$327,CHAR(252),CHAR(251))</f>
        <v>û</v>
      </c>
      <c r="M198" s="53" t="str">
        <f>IF(H198&gt;=CO_ATT_INPUTS!$C$327,CHAR(252),CHAR(251))</f>
        <v>û</v>
      </c>
      <c r="N198" s="54" t="str">
        <f>IF(I198&gt;=CO_ATT_INPUTS!$C$327,CHAR(252),CHAR(251))</f>
        <v>û</v>
      </c>
    </row>
    <row r="199" spans="1:14" s="51" customFormat="1" ht="37.5" hidden="1" customHeight="1" x14ac:dyDescent="0.25">
      <c r="A199" s="52">
        <f>CO_ATT_INPUTS!A199</f>
        <v>181</v>
      </c>
      <c r="B199" s="18">
        <f>CO_ATT_INPUTS!B199</f>
        <v>0</v>
      </c>
      <c r="C199" s="19">
        <f>CO_ATT_INPUTS!C199</f>
        <v>0</v>
      </c>
      <c r="D199" s="91">
        <f>CO_ATT_INPUTS!D199</f>
        <v>0</v>
      </c>
      <c r="E199" s="19">
        <f>CO_ATT_INPUTS!AF199</f>
        <v>0</v>
      </c>
      <c r="F199" s="19">
        <f>CO_ATT_INPUTS!AG199</f>
        <v>0</v>
      </c>
      <c r="G199" s="19">
        <f>CO_ATT_INPUTS!AH199</f>
        <v>0</v>
      </c>
      <c r="H199" s="19">
        <f>CO_ATT_INPUTS!AI199</f>
        <v>0</v>
      </c>
      <c r="I199" s="19">
        <f>CO_ATT_INPUTS!AJ199</f>
        <v>0</v>
      </c>
      <c r="J199" s="53" t="str">
        <f>IF(E199&gt;=CO_ATT_INPUTS!$C$327,CHAR(252),CHAR(251))</f>
        <v>û</v>
      </c>
      <c r="K199" s="53" t="str">
        <f>IF(F199&gt;=CO_ATT_INPUTS!$C$327,CHAR(252),CHAR(251))</f>
        <v>û</v>
      </c>
      <c r="L199" s="53" t="str">
        <f>IF(G199&gt;=CO_ATT_INPUTS!$C$327,CHAR(252),CHAR(251))</f>
        <v>û</v>
      </c>
      <c r="M199" s="53" t="str">
        <f>IF(H199&gt;=CO_ATT_INPUTS!$C$327,CHAR(252),CHAR(251))</f>
        <v>û</v>
      </c>
      <c r="N199" s="54" t="str">
        <f>IF(I199&gt;=CO_ATT_INPUTS!$C$327,CHAR(252),CHAR(251))</f>
        <v>û</v>
      </c>
    </row>
    <row r="200" spans="1:14" s="51" customFormat="1" ht="37.5" hidden="1" customHeight="1" x14ac:dyDescent="0.25">
      <c r="A200" s="52">
        <f>CO_ATT_INPUTS!A200</f>
        <v>182</v>
      </c>
      <c r="B200" s="18">
        <f>CO_ATT_INPUTS!B200</f>
        <v>0</v>
      </c>
      <c r="C200" s="19">
        <f>CO_ATT_INPUTS!C200</f>
        <v>0</v>
      </c>
      <c r="D200" s="91">
        <f>CO_ATT_INPUTS!D200</f>
        <v>0</v>
      </c>
      <c r="E200" s="19">
        <f>CO_ATT_INPUTS!AF200</f>
        <v>0</v>
      </c>
      <c r="F200" s="19">
        <f>CO_ATT_INPUTS!AG200</f>
        <v>0</v>
      </c>
      <c r="G200" s="19">
        <f>CO_ATT_INPUTS!AH200</f>
        <v>0</v>
      </c>
      <c r="H200" s="19">
        <f>CO_ATT_INPUTS!AI200</f>
        <v>0</v>
      </c>
      <c r="I200" s="19">
        <f>CO_ATT_INPUTS!AJ200</f>
        <v>0</v>
      </c>
      <c r="J200" s="53" t="str">
        <f>IF(E200&gt;=CO_ATT_INPUTS!$C$327,CHAR(252),CHAR(251))</f>
        <v>û</v>
      </c>
      <c r="K200" s="53" t="str">
        <f>IF(F200&gt;=CO_ATT_INPUTS!$C$327,CHAR(252),CHAR(251))</f>
        <v>û</v>
      </c>
      <c r="L200" s="53" t="str">
        <f>IF(G200&gt;=CO_ATT_INPUTS!$C$327,CHAR(252),CHAR(251))</f>
        <v>û</v>
      </c>
      <c r="M200" s="53" t="str">
        <f>IF(H200&gt;=CO_ATT_INPUTS!$C$327,CHAR(252),CHAR(251))</f>
        <v>û</v>
      </c>
      <c r="N200" s="54" t="str">
        <f>IF(I200&gt;=CO_ATT_INPUTS!$C$327,CHAR(252),CHAR(251))</f>
        <v>û</v>
      </c>
    </row>
    <row r="201" spans="1:14" s="51" customFormat="1" ht="37.5" hidden="1" customHeight="1" x14ac:dyDescent="0.25">
      <c r="A201" s="52">
        <f>CO_ATT_INPUTS!A201</f>
        <v>183</v>
      </c>
      <c r="B201" s="18">
        <f>CO_ATT_INPUTS!B201</f>
        <v>0</v>
      </c>
      <c r="C201" s="19">
        <f>CO_ATT_INPUTS!C201</f>
        <v>0</v>
      </c>
      <c r="D201" s="91">
        <f>CO_ATT_INPUTS!D201</f>
        <v>0</v>
      </c>
      <c r="E201" s="19">
        <f>CO_ATT_INPUTS!AF201</f>
        <v>0</v>
      </c>
      <c r="F201" s="19">
        <f>CO_ATT_INPUTS!AG201</f>
        <v>0</v>
      </c>
      <c r="G201" s="19">
        <f>CO_ATT_INPUTS!AH201</f>
        <v>0</v>
      </c>
      <c r="H201" s="19">
        <f>CO_ATT_INPUTS!AI201</f>
        <v>0</v>
      </c>
      <c r="I201" s="19">
        <f>CO_ATT_INPUTS!AJ201</f>
        <v>0</v>
      </c>
      <c r="J201" s="53" t="str">
        <f>IF(E201&gt;=CO_ATT_INPUTS!$C$327,CHAR(252),CHAR(251))</f>
        <v>û</v>
      </c>
      <c r="K201" s="53" t="str">
        <f>IF(F201&gt;=CO_ATT_INPUTS!$C$327,CHAR(252),CHAR(251))</f>
        <v>û</v>
      </c>
      <c r="L201" s="53" t="str">
        <f>IF(G201&gt;=CO_ATT_INPUTS!$C$327,CHAR(252),CHAR(251))</f>
        <v>û</v>
      </c>
      <c r="M201" s="53" t="str">
        <f>IF(H201&gt;=CO_ATT_INPUTS!$C$327,CHAR(252),CHAR(251))</f>
        <v>û</v>
      </c>
      <c r="N201" s="54" t="str">
        <f>IF(I201&gt;=CO_ATT_INPUTS!$C$327,CHAR(252),CHAR(251))</f>
        <v>û</v>
      </c>
    </row>
    <row r="202" spans="1:14" s="51" customFormat="1" ht="37.5" hidden="1" customHeight="1" x14ac:dyDescent="0.25">
      <c r="A202" s="52">
        <f>CO_ATT_INPUTS!A202</f>
        <v>184</v>
      </c>
      <c r="B202" s="18">
        <f>CO_ATT_INPUTS!B202</f>
        <v>0</v>
      </c>
      <c r="C202" s="19">
        <f>CO_ATT_INPUTS!C202</f>
        <v>0</v>
      </c>
      <c r="D202" s="91">
        <f>CO_ATT_INPUTS!D202</f>
        <v>0</v>
      </c>
      <c r="E202" s="19">
        <f>CO_ATT_INPUTS!AF202</f>
        <v>0</v>
      </c>
      <c r="F202" s="19">
        <f>CO_ATT_INPUTS!AG202</f>
        <v>0</v>
      </c>
      <c r="G202" s="19">
        <f>CO_ATT_INPUTS!AH202</f>
        <v>0</v>
      </c>
      <c r="H202" s="19">
        <f>CO_ATT_INPUTS!AI202</f>
        <v>0</v>
      </c>
      <c r="I202" s="19">
        <f>CO_ATT_INPUTS!AJ202</f>
        <v>0</v>
      </c>
      <c r="J202" s="53" t="str">
        <f>IF(E202&gt;=CO_ATT_INPUTS!$C$327,CHAR(252),CHAR(251))</f>
        <v>û</v>
      </c>
      <c r="K202" s="53" t="str">
        <f>IF(F202&gt;=CO_ATT_INPUTS!$C$327,CHAR(252),CHAR(251))</f>
        <v>û</v>
      </c>
      <c r="L202" s="53" t="str">
        <f>IF(G202&gt;=CO_ATT_INPUTS!$C$327,CHAR(252),CHAR(251))</f>
        <v>û</v>
      </c>
      <c r="M202" s="53" t="str">
        <f>IF(H202&gt;=CO_ATT_INPUTS!$C$327,CHAR(252),CHAR(251))</f>
        <v>û</v>
      </c>
      <c r="N202" s="54" t="str">
        <f>IF(I202&gt;=CO_ATT_INPUTS!$C$327,CHAR(252),CHAR(251))</f>
        <v>û</v>
      </c>
    </row>
    <row r="203" spans="1:14" s="51" customFormat="1" ht="37.5" hidden="1" customHeight="1" x14ac:dyDescent="0.25">
      <c r="A203" s="52">
        <f>CO_ATT_INPUTS!A203</f>
        <v>185</v>
      </c>
      <c r="B203" s="18">
        <f>CO_ATT_INPUTS!B203</f>
        <v>0</v>
      </c>
      <c r="C203" s="19">
        <f>CO_ATT_INPUTS!C203</f>
        <v>0</v>
      </c>
      <c r="D203" s="91">
        <f>CO_ATT_INPUTS!D203</f>
        <v>0</v>
      </c>
      <c r="E203" s="19">
        <f>CO_ATT_INPUTS!AF203</f>
        <v>0</v>
      </c>
      <c r="F203" s="19">
        <f>CO_ATT_INPUTS!AG203</f>
        <v>0</v>
      </c>
      <c r="G203" s="19">
        <f>CO_ATT_INPUTS!AH203</f>
        <v>0</v>
      </c>
      <c r="H203" s="19">
        <f>CO_ATT_INPUTS!AI203</f>
        <v>0</v>
      </c>
      <c r="I203" s="19">
        <f>CO_ATT_INPUTS!AJ203</f>
        <v>0</v>
      </c>
      <c r="J203" s="53" t="str">
        <f>IF(E203&gt;=CO_ATT_INPUTS!$C$327,CHAR(252),CHAR(251))</f>
        <v>û</v>
      </c>
      <c r="K203" s="53" t="str">
        <f>IF(F203&gt;=CO_ATT_INPUTS!$C$327,CHAR(252),CHAR(251))</f>
        <v>û</v>
      </c>
      <c r="L203" s="53" t="str">
        <f>IF(G203&gt;=CO_ATT_INPUTS!$C$327,CHAR(252),CHAR(251))</f>
        <v>û</v>
      </c>
      <c r="M203" s="53" t="str">
        <f>IF(H203&gt;=CO_ATT_INPUTS!$C$327,CHAR(252),CHAR(251))</f>
        <v>û</v>
      </c>
      <c r="N203" s="54" t="str">
        <f>IF(I203&gt;=CO_ATT_INPUTS!$C$327,CHAR(252),CHAR(251))</f>
        <v>û</v>
      </c>
    </row>
    <row r="204" spans="1:14" s="51" customFormat="1" ht="37.5" hidden="1" customHeight="1" x14ac:dyDescent="0.25">
      <c r="A204" s="52">
        <f>CO_ATT_INPUTS!A204</f>
        <v>186</v>
      </c>
      <c r="B204" s="18">
        <f>CO_ATT_INPUTS!B204</f>
        <v>0</v>
      </c>
      <c r="C204" s="19">
        <f>CO_ATT_INPUTS!C204</f>
        <v>0</v>
      </c>
      <c r="D204" s="91">
        <f>CO_ATT_INPUTS!D204</f>
        <v>0</v>
      </c>
      <c r="E204" s="19">
        <f>CO_ATT_INPUTS!AF204</f>
        <v>0</v>
      </c>
      <c r="F204" s="19">
        <f>CO_ATT_INPUTS!AG204</f>
        <v>0</v>
      </c>
      <c r="G204" s="19">
        <f>CO_ATT_INPUTS!AH204</f>
        <v>0</v>
      </c>
      <c r="H204" s="19">
        <f>CO_ATT_INPUTS!AI204</f>
        <v>0</v>
      </c>
      <c r="I204" s="19">
        <f>CO_ATT_INPUTS!AJ204</f>
        <v>0</v>
      </c>
      <c r="J204" s="53" t="str">
        <f>IF(E204&gt;=CO_ATT_INPUTS!$C$327,CHAR(252),CHAR(251))</f>
        <v>û</v>
      </c>
      <c r="K204" s="53" t="str">
        <f>IF(F204&gt;=CO_ATT_INPUTS!$C$327,CHAR(252),CHAR(251))</f>
        <v>û</v>
      </c>
      <c r="L204" s="53" t="str">
        <f>IF(G204&gt;=CO_ATT_INPUTS!$C$327,CHAR(252),CHAR(251))</f>
        <v>û</v>
      </c>
      <c r="M204" s="53" t="str">
        <f>IF(H204&gt;=CO_ATT_INPUTS!$C$327,CHAR(252),CHAR(251))</f>
        <v>û</v>
      </c>
      <c r="N204" s="54" t="str">
        <f>IF(I204&gt;=CO_ATT_INPUTS!$C$327,CHAR(252),CHAR(251))</f>
        <v>û</v>
      </c>
    </row>
    <row r="205" spans="1:14" s="51" customFormat="1" ht="37.5" hidden="1" customHeight="1" x14ac:dyDescent="0.25">
      <c r="A205" s="52">
        <f>CO_ATT_INPUTS!A205</f>
        <v>187</v>
      </c>
      <c r="B205" s="18">
        <f>CO_ATT_INPUTS!B205</f>
        <v>0</v>
      </c>
      <c r="C205" s="19">
        <f>CO_ATT_INPUTS!C205</f>
        <v>0</v>
      </c>
      <c r="D205" s="91">
        <f>CO_ATT_INPUTS!D205</f>
        <v>0</v>
      </c>
      <c r="E205" s="19">
        <f>CO_ATT_INPUTS!AF205</f>
        <v>0</v>
      </c>
      <c r="F205" s="19">
        <f>CO_ATT_INPUTS!AG205</f>
        <v>0</v>
      </c>
      <c r="G205" s="19">
        <f>CO_ATT_INPUTS!AH205</f>
        <v>0</v>
      </c>
      <c r="H205" s="19">
        <f>CO_ATT_INPUTS!AI205</f>
        <v>0</v>
      </c>
      <c r="I205" s="19">
        <f>CO_ATT_INPUTS!AJ205</f>
        <v>0</v>
      </c>
      <c r="J205" s="53" t="str">
        <f>IF(E205&gt;=CO_ATT_INPUTS!$C$327,CHAR(252),CHAR(251))</f>
        <v>û</v>
      </c>
      <c r="K205" s="53" t="str">
        <f>IF(F205&gt;=CO_ATT_INPUTS!$C$327,CHAR(252),CHAR(251))</f>
        <v>û</v>
      </c>
      <c r="L205" s="53" t="str">
        <f>IF(G205&gt;=CO_ATT_INPUTS!$C$327,CHAR(252),CHAR(251))</f>
        <v>û</v>
      </c>
      <c r="M205" s="53" t="str">
        <f>IF(H205&gt;=CO_ATT_INPUTS!$C$327,CHAR(252),CHAR(251))</f>
        <v>û</v>
      </c>
      <c r="N205" s="54" t="str">
        <f>IF(I205&gt;=CO_ATT_INPUTS!$C$327,CHAR(252),CHAR(251))</f>
        <v>û</v>
      </c>
    </row>
    <row r="206" spans="1:14" s="51" customFormat="1" ht="37.5" hidden="1" customHeight="1" x14ac:dyDescent="0.25">
      <c r="A206" s="52">
        <f>CO_ATT_INPUTS!A206</f>
        <v>188</v>
      </c>
      <c r="B206" s="18">
        <f>CO_ATT_INPUTS!B206</f>
        <v>0</v>
      </c>
      <c r="C206" s="19">
        <f>CO_ATT_INPUTS!C206</f>
        <v>0</v>
      </c>
      <c r="D206" s="91">
        <f>CO_ATT_INPUTS!D206</f>
        <v>0</v>
      </c>
      <c r="E206" s="19">
        <f>CO_ATT_INPUTS!AF206</f>
        <v>0</v>
      </c>
      <c r="F206" s="19">
        <f>CO_ATT_INPUTS!AG206</f>
        <v>0</v>
      </c>
      <c r="G206" s="19">
        <f>CO_ATT_INPUTS!AH206</f>
        <v>0</v>
      </c>
      <c r="H206" s="19">
        <f>CO_ATT_INPUTS!AI206</f>
        <v>0</v>
      </c>
      <c r="I206" s="19">
        <f>CO_ATT_INPUTS!AJ206</f>
        <v>0</v>
      </c>
      <c r="J206" s="53" t="str">
        <f>IF(E206&gt;=CO_ATT_INPUTS!$C$327,CHAR(252),CHAR(251))</f>
        <v>û</v>
      </c>
      <c r="K206" s="53" t="str">
        <f>IF(F206&gt;=CO_ATT_INPUTS!$C$327,CHAR(252),CHAR(251))</f>
        <v>û</v>
      </c>
      <c r="L206" s="53" t="str">
        <f>IF(G206&gt;=CO_ATT_INPUTS!$C$327,CHAR(252),CHAR(251))</f>
        <v>û</v>
      </c>
      <c r="M206" s="53" t="str">
        <f>IF(H206&gt;=CO_ATT_INPUTS!$C$327,CHAR(252),CHAR(251))</f>
        <v>û</v>
      </c>
      <c r="N206" s="54" t="str">
        <f>IF(I206&gt;=CO_ATT_INPUTS!$C$327,CHAR(252),CHAR(251))</f>
        <v>û</v>
      </c>
    </row>
    <row r="207" spans="1:14" s="51" customFormat="1" ht="37.5" hidden="1" customHeight="1" x14ac:dyDescent="0.25">
      <c r="A207" s="52">
        <f>CO_ATT_INPUTS!A207</f>
        <v>189</v>
      </c>
      <c r="B207" s="18">
        <f>CO_ATT_INPUTS!B207</f>
        <v>0</v>
      </c>
      <c r="C207" s="19">
        <f>CO_ATT_INPUTS!C207</f>
        <v>0</v>
      </c>
      <c r="D207" s="91">
        <f>CO_ATT_INPUTS!D207</f>
        <v>0</v>
      </c>
      <c r="E207" s="19">
        <f>CO_ATT_INPUTS!AF207</f>
        <v>0</v>
      </c>
      <c r="F207" s="19">
        <f>CO_ATT_INPUTS!AG207</f>
        <v>0</v>
      </c>
      <c r="G207" s="19">
        <f>CO_ATT_INPUTS!AH207</f>
        <v>0</v>
      </c>
      <c r="H207" s="19">
        <f>CO_ATT_INPUTS!AI207</f>
        <v>0</v>
      </c>
      <c r="I207" s="19">
        <f>CO_ATT_INPUTS!AJ207</f>
        <v>0</v>
      </c>
      <c r="J207" s="53" t="str">
        <f>IF(E207&gt;=CO_ATT_INPUTS!$C$327,CHAR(252),CHAR(251))</f>
        <v>û</v>
      </c>
      <c r="K207" s="53" t="str">
        <f>IF(F207&gt;=CO_ATT_INPUTS!$C$327,CHAR(252),CHAR(251))</f>
        <v>û</v>
      </c>
      <c r="L207" s="53" t="str">
        <f>IF(G207&gt;=CO_ATT_INPUTS!$C$327,CHAR(252),CHAR(251))</f>
        <v>û</v>
      </c>
      <c r="M207" s="53" t="str">
        <f>IF(H207&gt;=CO_ATT_INPUTS!$C$327,CHAR(252),CHAR(251))</f>
        <v>û</v>
      </c>
      <c r="N207" s="54" t="str">
        <f>IF(I207&gt;=CO_ATT_INPUTS!$C$327,CHAR(252),CHAR(251))</f>
        <v>û</v>
      </c>
    </row>
    <row r="208" spans="1:14" s="51" customFormat="1" ht="37.5" hidden="1" customHeight="1" x14ac:dyDescent="0.25">
      <c r="A208" s="52">
        <f>CO_ATT_INPUTS!A208</f>
        <v>190</v>
      </c>
      <c r="B208" s="18">
        <f>CO_ATT_INPUTS!B208</f>
        <v>0</v>
      </c>
      <c r="C208" s="19">
        <f>CO_ATT_INPUTS!C208</f>
        <v>0</v>
      </c>
      <c r="D208" s="91">
        <f>CO_ATT_INPUTS!D208</f>
        <v>0</v>
      </c>
      <c r="E208" s="19">
        <f>CO_ATT_INPUTS!AF208</f>
        <v>0</v>
      </c>
      <c r="F208" s="19">
        <f>CO_ATT_INPUTS!AG208</f>
        <v>0</v>
      </c>
      <c r="G208" s="19">
        <f>CO_ATT_INPUTS!AH208</f>
        <v>0</v>
      </c>
      <c r="H208" s="19">
        <f>CO_ATT_INPUTS!AI208</f>
        <v>0</v>
      </c>
      <c r="I208" s="19">
        <f>CO_ATT_INPUTS!AJ208</f>
        <v>0</v>
      </c>
      <c r="J208" s="53" t="str">
        <f>IF(E208&gt;=CO_ATT_INPUTS!$C$327,CHAR(252),CHAR(251))</f>
        <v>û</v>
      </c>
      <c r="K208" s="53" t="str">
        <f>IF(F208&gt;=CO_ATT_INPUTS!$C$327,CHAR(252),CHAR(251))</f>
        <v>û</v>
      </c>
      <c r="L208" s="53" t="str">
        <f>IF(G208&gt;=CO_ATT_INPUTS!$C$327,CHAR(252),CHAR(251))</f>
        <v>û</v>
      </c>
      <c r="M208" s="53" t="str">
        <f>IF(H208&gt;=CO_ATT_INPUTS!$C$327,CHAR(252),CHAR(251))</f>
        <v>û</v>
      </c>
      <c r="N208" s="54" t="str">
        <f>IF(I208&gt;=CO_ATT_INPUTS!$C$327,CHAR(252),CHAR(251))</f>
        <v>û</v>
      </c>
    </row>
    <row r="209" spans="1:14" s="51" customFormat="1" ht="37.5" hidden="1" customHeight="1" x14ac:dyDescent="0.25">
      <c r="A209" s="52">
        <f>CO_ATT_INPUTS!A209</f>
        <v>191</v>
      </c>
      <c r="B209" s="18">
        <f>CO_ATT_INPUTS!B209</f>
        <v>0</v>
      </c>
      <c r="C209" s="19">
        <f>CO_ATT_INPUTS!C209</f>
        <v>0</v>
      </c>
      <c r="D209" s="91">
        <f>CO_ATT_INPUTS!D209</f>
        <v>0</v>
      </c>
      <c r="E209" s="19">
        <f>CO_ATT_INPUTS!AF209</f>
        <v>0</v>
      </c>
      <c r="F209" s="19">
        <f>CO_ATT_INPUTS!AG209</f>
        <v>0</v>
      </c>
      <c r="G209" s="19">
        <f>CO_ATT_INPUTS!AH209</f>
        <v>0</v>
      </c>
      <c r="H209" s="19">
        <f>CO_ATT_INPUTS!AI209</f>
        <v>0</v>
      </c>
      <c r="I209" s="19">
        <f>CO_ATT_INPUTS!AJ209</f>
        <v>0</v>
      </c>
      <c r="J209" s="53" t="str">
        <f>IF(E209&gt;=CO_ATT_INPUTS!$C$327,CHAR(252),CHAR(251))</f>
        <v>û</v>
      </c>
      <c r="K209" s="53" t="str">
        <f>IF(F209&gt;=CO_ATT_INPUTS!$C$327,CHAR(252),CHAR(251))</f>
        <v>û</v>
      </c>
      <c r="L209" s="53" t="str">
        <f>IF(G209&gt;=CO_ATT_INPUTS!$C$327,CHAR(252),CHAR(251))</f>
        <v>û</v>
      </c>
      <c r="M209" s="53" t="str">
        <f>IF(H209&gt;=CO_ATT_INPUTS!$C$327,CHAR(252),CHAR(251))</f>
        <v>û</v>
      </c>
      <c r="N209" s="54" t="str">
        <f>IF(I209&gt;=CO_ATT_INPUTS!$C$327,CHAR(252),CHAR(251))</f>
        <v>û</v>
      </c>
    </row>
    <row r="210" spans="1:14" s="51" customFormat="1" ht="37.5" hidden="1" customHeight="1" x14ac:dyDescent="0.25">
      <c r="A210" s="52">
        <f>CO_ATT_INPUTS!A210</f>
        <v>192</v>
      </c>
      <c r="B210" s="18">
        <f>CO_ATT_INPUTS!B210</f>
        <v>0</v>
      </c>
      <c r="C210" s="19">
        <f>CO_ATT_INPUTS!C210</f>
        <v>0</v>
      </c>
      <c r="D210" s="91">
        <f>CO_ATT_INPUTS!D210</f>
        <v>0</v>
      </c>
      <c r="E210" s="19">
        <f>CO_ATT_INPUTS!AF210</f>
        <v>0</v>
      </c>
      <c r="F210" s="19">
        <f>CO_ATT_INPUTS!AG210</f>
        <v>0</v>
      </c>
      <c r="G210" s="19">
        <f>CO_ATT_INPUTS!AH210</f>
        <v>0</v>
      </c>
      <c r="H210" s="19">
        <f>CO_ATT_INPUTS!AI210</f>
        <v>0</v>
      </c>
      <c r="I210" s="19">
        <f>CO_ATT_INPUTS!AJ210</f>
        <v>0</v>
      </c>
      <c r="J210" s="53" t="str">
        <f>IF(E210&gt;=CO_ATT_INPUTS!$C$327,CHAR(252),CHAR(251))</f>
        <v>û</v>
      </c>
      <c r="K210" s="53" t="str">
        <f>IF(F210&gt;=CO_ATT_INPUTS!$C$327,CHAR(252),CHAR(251))</f>
        <v>û</v>
      </c>
      <c r="L210" s="53" t="str">
        <f>IF(G210&gt;=CO_ATT_INPUTS!$C$327,CHAR(252),CHAR(251))</f>
        <v>û</v>
      </c>
      <c r="M210" s="53" t="str">
        <f>IF(H210&gt;=CO_ATT_INPUTS!$C$327,CHAR(252),CHAR(251))</f>
        <v>û</v>
      </c>
      <c r="N210" s="54" t="str">
        <f>IF(I210&gt;=CO_ATT_INPUTS!$C$327,CHAR(252),CHAR(251))</f>
        <v>û</v>
      </c>
    </row>
    <row r="211" spans="1:14" s="51" customFormat="1" ht="37.5" hidden="1" customHeight="1" x14ac:dyDescent="0.25">
      <c r="A211" s="52">
        <f>CO_ATT_INPUTS!A211</f>
        <v>193</v>
      </c>
      <c r="B211" s="18">
        <f>CO_ATT_INPUTS!B211</f>
        <v>0</v>
      </c>
      <c r="C211" s="19">
        <f>CO_ATT_INPUTS!C211</f>
        <v>0</v>
      </c>
      <c r="D211" s="91">
        <f>CO_ATT_INPUTS!D211</f>
        <v>0</v>
      </c>
      <c r="E211" s="19">
        <f>CO_ATT_INPUTS!AF211</f>
        <v>0</v>
      </c>
      <c r="F211" s="19">
        <f>CO_ATT_INPUTS!AG211</f>
        <v>0</v>
      </c>
      <c r="G211" s="19">
        <f>CO_ATT_INPUTS!AH211</f>
        <v>0</v>
      </c>
      <c r="H211" s="19">
        <f>CO_ATT_INPUTS!AI211</f>
        <v>0</v>
      </c>
      <c r="I211" s="19">
        <f>CO_ATT_INPUTS!AJ211</f>
        <v>0</v>
      </c>
      <c r="J211" s="53" t="str">
        <f>IF(E211&gt;=CO_ATT_INPUTS!$C$327,CHAR(252),CHAR(251))</f>
        <v>û</v>
      </c>
      <c r="K211" s="53" t="str">
        <f>IF(F211&gt;=CO_ATT_INPUTS!$C$327,CHAR(252),CHAR(251))</f>
        <v>û</v>
      </c>
      <c r="L211" s="53" t="str">
        <f>IF(G211&gt;=CO_ATT_INPUTS!$C$327,CHAR(252),CHAR(251))</f>
        <v>û</v>
      </c>
      <c r="M211" s="53" t="str">
        <f>IF(H211&gt;=CO_ATT_INPUTS!$C$327,CHAR(252),CHAR(251))</f>
        <v>û</v>
      </c>
      <c r="N211" s="54" t="str">
        <f>IF(I211&gt;=CO_ATT_INPUTS!$C$327,CHAR(252),CHAR(251))</f>
        <v>û</v>
      </c>
    </row>
    <row r="212" spans="1:14" s="51" customFormat="1" ht="37.5" hidden="1" customHeight="1" x14ac:dyDescent="0.25">
      <c r="A212" s="52">
        <f>CO_ATT_INPUTS!A212</f>
        <v>194</v>
      </c>
      <c r="B212" s="18">
        <f>CO_ATT_INPUTS!B212</f>
        <v>0</v>
      </c>
      <c r="C212" s="19">
        <f>CO_ATT_INPUTS!C212</f>
        <v>0</v>
      </c>
      <c r="D212" s="91">
        <f>CO_ATT_INPUTS!D212</f>
        <v>0</v>
      </c>
      <c r="E212" s="19">
        <f>CO_ATT_INPUTS!AF212</f>
        <v>0</v>
      </c>
      <c r="F212" s="19">
        <f>CO_ATT_INPUTS!AG212</f>
        <v>0</v>
      </c>
      <c r="G212" s="19">
        <f>CO_ATT_INPUTS!AH212</f>
        <v>0</v>
      </c>
      <c r="H212" s="19">
        <f>CO_ATT_INPUTS!AI212</f>
        <v>0</v>
      </c>
      <c r="I212" s="19">
        <f>CO_ATT_INPUTS!AJ212</f>
        <v>0</v>
      </c>
      <c r="J212" s="53" t="str">
        <f>IF(E212&gt;=CO_ATT_INPUTS!$C$327,CHAR(252),CHAR(251))</f>
        <v>û</v>
      </c>
      <c r="K212" s="53" t="str">
        <f>IF(F212&gt;=CO_ATT_INPUTS!$C$327,CHAR(252),CHAR(251))</f>
        <v>û</v>
      </c>
      <c r="L212" s="53" t="str">
        <f>IF(G212&gt;=CO_ATT_INPUTS!$C$327,CHAR(252),CHAR(251))</f>
        <v>û</v>
      </c>
      <c r="M212" s="53" t="str">
        <f>IF(H212&gt;=CO_ATT_INPUTS!$C$327,CHAR(252),CHAR(251))</f>
        <v>û</v>
      </c>
      <c r="N212" s="54" t="str">
        <f>IF(I212&gt;=CO_ATT_INPUTS!$C$327,CHAR(252),CHAR(251))</f>
        <v>û</v>
      </c>
    </row>
    <row r="213" spans="1:14" s="51" customFormat="1" ht="37.5" hidden="1" customHeight="1" x14ac:dyDescent="0.25">
      <c r="A213" s="52">
        <f>CO_ATT_INPUTS!A213</f>
        <v>195</v>
      </c>
      <c r="B213" s="18">
        <f>CO_ATT_INPUTS!B213</f>
        <v>0</v>
      </c>
      <c r="C213" s="19">
        <f>CO_ATT_INPUTS!C213</f>
        <v>0</v>
      </c>
      <c r="D213" s="91">
        <f>CO_ATT_INPUTS!D213</f>
        <v>0</v>
      </c>
      <c r="E213" s="19">
        <f>CO_ATT_INPUTS!AF213</f>
        <v>0</v>
      </c>
      <c r="F213" s="19">
        <f>CO_ATT_INPUTS!AG213</f>
        <v>0</v>
      </c>
      <c r="G213" s="19">
        <f>CO_ATT_INPUTS!AH213</f>
        <v>0</v>
      </c>
      <c r="H213" s="19">
        <f>CO_ATT_INPUTS!AI213</f>
        <v>0</v>
      </c>
      <c r="I213" s="19">
        <f>CO_ATT_INPUTS!AJ213</f>
        <v>0</v>
      </c>
      <c r="J213" s="53" t="str">
        <f>IF(E213&gt;=CO_ATT_INPUTS!$C$327,CHAR(252),CHAR(251))</f>
        <v>û</v>
      </c>
      <c r="K213" s="53" t="str">
        <f>IF(F213&gt;=CO_ATT_INPUTS!$C$327,CHAR(252),CHAR(251))</f>
        <v>û</v>
      </c>
      <c r="L213" s="53" t="str">
        <f>IF(G213&gt;=CO_ATT_INPUTS!$C$327,CHAR(252),CHAR(251))</f>
        <v>û</v>
      </c>
      <c r="M213" s="53" t="str">
        <f>IF(H213&gt;=CO_ATT_INPUTS!$C$327,CHAR(252),CHAR(251))</f>
        <v>û</v>
      </c>
      <c r="N213" s="54" t="str">
        <f>IF(I213&gt;=CO_ATT_INPUTS!$C$327,CHAR(252),CHAR(251))</f>
        <v>û</v>
      </c>
    </row>
    <row r="214" spans="1:14" s="51" customFormat="1" ht="37.5" hidden="1" customHeight="1" x14ac:dyDescent="0.25">
      <c r="A214" s="52">
        <f>CO_ATT_INPUTS!A214</f>
        <v>196</v>
      </c>
      <c r="B214" s="18">
        <f>CO_ATT_INPUTS!B214</f>
        <v>0</v>
      </c>
      <c r="C214" s="19">
        <f>CO_ATT_INPUTS!C214</f>
        <v>0</v>
      </c>
      <c r="D214" s="91">
        <f>CO_ATT_INPUTS!D214</f>
        <v>0</v>
      </c>
      <c r="E214" s="19">
        <f>CO_ATT_INPUTS!AF214</f>
        <v>0</v>
      </c>
      <c r="F214" s="19">
        <f>CO_ATT_INPUTS!AG214</f>
        <v>0</v>
      </c>
      <c r="G214" s="19">
        <f>CO_ATT_INPUTS!AH214</f>
        <v>0</v>
      </c>
      <c r="H214" s="19">
        <f>CO_ATT_INPUTS!AI214</f>
        <v>0</v>
      </c>
      <c r="I214" s="19">
        <f>CO_ATT_INPUTS!AJ214</f>
        <v>0</v>
      </c>
      <c r="J214" s="53" t="str">
        <f>IF(E214&gt;=CO_ATT_INPUTS!$C$327,CHAR(252),CHAR(251))</f>
        <v>û</v>
      </c>
      <c r="K214" s="53" t="str">
        <f>IF(F214&gt;=CO_ATT_INPUTS!$C$327,CHAR(252),CHAR(251))</f>
        <v>û</v>
      </c>
      <c r="L214" s="53" t="str">
        <f>IF(G214&gt;=CO_ATT_INPUTS!$C$327,CHAR(252),CHAR(251))</f>
        <v>û</v>
      </c>
      <c r="M214" s="53" t="str">
        <f>IF(H214&gt;=CO_ATT_INPUTS!$C$327,CHAR(252),CHAR(251))</f>
        <v>û</v>
      </c>
      <c r="N214" s="54" t="str">
        <f>IF(I214&gt;=CO_ATT_INPUTS!$C$327,CHAR(252),CHAR(251))</f>
        <v>û</v>
      </c>
    </row>
    <row r="215" spans="1:14" s="51" customFormat="1" ht="37.5" hidden="1" customHeight="1" x14ac:dyDescent="0.25">
      <c r="A215" s="52">
        <f>CO_ATT_INPUTS!A215</f>
        <v>197</v>
      </c>
      <c r="B215" s="18">
        <f>CO_ATT_INPUTS!B215</f>
        <v>0</v>
      </c>
      <c r="C215" s="19">
        <f>CO_ATT_INPUTS!C215</f>
        <v>0</v>
      </c>
      <c r="D215" s="91">
        <f>CO_ATT_INPUTS!D215</f>
        <v>0</v>
      </c>
      <c r="E215" s="19">
        <f>CO_ATT_INPUTS!AF215</f>
        <v>0</v>
      </c>
      <c r="F215" s="19">
        <f>CO_ATT_INPUTS!AG215</f>
        <v>0</v>
      </c>
      <c r="G215" s="19">
        <f>CO_ATT_INPUTS!AH215</f>
        <v>0</v>
      </c>
      <c r="H215" s="19">
        <f>CO_ATT_INPUTS!AI215</f>
        <v>0</v>
      </c>
      <c r="I215" s="19">
        <f>CO_ATT_INPUTS!AJ215</f>
        <v>0</v>
      </c>
      <c r="J215" s="53" t="str">
        <f>IF(E215&gt;=CO_ATT_INPUTS!$C$327,CHAR(252),CHAR(251))</f>
        <v>û</v>
      </c>
      <c r="K215" s="53" t="str">
        <f>IF(F215&gt;=CO_ATT_INPUTS!$C$327,CHAR(252),CHAR(251))</f>
        <v>û</v>
      </c>
      <c r="L215" s="53" t="str">
        <f>IF(G215&gt;=CO_ATT_INPUTS!$C$327,CHAR(252),CHAR(251))</f>
        <v>û</v>
      </c>
      <c r="M215" s="53" t="str">
        <f>IF(H215&gt;=CO_ATT_INPUTS!$C$327,CHAR(252),CHAR(251))</f>
        <v>û</v>
      </c>
      <c r="N215" s="54" t="str">
        <f>IF(I215&gt;=CO_ATT_INPUTS!$C$327,CHAR(252),CHAR(251))</f>
        <v>û</v>
      </c>
    </row>
    <row r="216" spans="1:14" s="51" customFormat="1" ht="37.5" hidden="1" customHeight="1" x14ac:dyDescent="0.25">
      <c r="A216" s="52">
        <f>CO_ATT_INPUTS!A216</f>
        <v>198</v>
      </c>
      <c r="B216" s="18">
        <f>CO_ATT_INPUTS!B216</f>
        <v>0</v>
      </c>
      <c r="C216" s="19">
        <f>CO_ATT_INPUTS!C216</f>
        <v>0</v>
      </c>
      <c r="D216" s="91">
        <f>CO_ATT_INPUTS!D216</f>
        <v>0</v>
      </c>
      <c r="E216" s="19">
        <f>CO_ATT_INPUTS!AF216</f>
        <v>0</v>
      </c>
      <c r="F216" s="19">
        <f>CO_ATT_INPUTS!AG216</f>
        <v>0</v>
      </c>
      <c r="G216" s="19">
        <f>CO_ATT_INPUTS!AH216</f>
        <v>0</v>
      </c>
      <c r="H216" s="19">
        <f>CO_ATT_INPUTS!AI216</f>
        <v>0</v>
      </c>
      <c r="I216" s="19">
        <f>CO_ATT_INPUTS!AJ216</f>
        <v>0</v>
      </c>
      <c r="J216" s="53" t="str">
        <f>IF(E216&gt;=CO_ATT_INPUTS!$C$327,CHAR(252),CHAR(251))</f>
        <v>û</v>
      </c>
      <c r="K216" s="53" t="str">
        <f>IF(F216&gt;=CO_ATT_INPUTS!$C$327,CHAR(252),CHAR(251))</f>
        <v>û</v>
      </c>
      <c r="L216" s="53" t="str">
        <f>IF(G216&gt;=CO_ATT_INPUTS!$C$327,CHAR(252),CHAR(251))</f>
        <v>û</v>
      </c>
      <c r="M216" s="53" t="str">
        <f>IF(H216&gt;=CO_ATT_INPUTS!$C$327,CHAR(252),CHAR(251))</f>
        <v>û</v>
      </c>
      <c r="N216" s="54" t="str">
        <f>IF(I216&gt;=CO_ATT_INPUTS!$C$327,CHAR(252),CHAR(251))</f>
        <v>û</v>
      </c>
    </row>
    <row r="217" spans="1:14" s="51" customFormat="1" ht="37.5" hidden="1" customHeight="1" x14ac:dyDescent="0.25">
      <c r="A217" s="52">
        <f>CO_ATT_INPUTS!A217</f>
        <v>199</v>
      </c>
      <c r="B217" s="18">
        <f>CO_ATT_INPUTS!B217</f>
        <v>0</v>
      </c>
      <c r="C217" s="19">
        <f>CO_ATT_INPUTS!C217</f>
        <v>0</v>
      </c>
      <c r="D217" s="91">
        <f>CO_ATT_INPUTS!D217</f>
        <v>0</v>
      </c>
      <c r="E217" s="19">
        <f>CO_ATT_INPUTS!AF217</f>
        <v>0</v>
      </c>
      <c r="F217" s="19">
        <f>CO_ATT_INPUTS!AG217</f>
        <v>0</v>
      </c>
      <c r="G217" s="19">
        <f>CO_ATT_INPUTS!AH217</f>
        <v>0</v>
      </c>
      <c r="H217" s="19">
        <f>CO_ATT_INPUTS!AI217</f>
        <v>0</v>
      </c>
      <c r="I217" s="19">
        <f>CO_ATT_INPUTS!AJ217</f>
        <v>0</v>
      </c>
      <c r="J217" s="53" t="str">
        <f>IF(E217&gt;=CO_ATT_INPUTS!$C$327,CHAR(252),CHAR(251))</f>
        <v>û</v>
      </c>
      <c r="K217" s="53" t="str">
        <f>IF(F217&gt;=CO_ATT_INPUTS!$C$327,CHAR(252),CHAR(251))</f>
        <v>û</v>
      </c>
      <c r="L217" s="53" t="str">
        <f>IF(G217&gt;=CO_ATT_INPUTS!$C$327,CHAR(252),CHAR(251))</f>
        <v>û</v>
      </c>
      <c r="M217" s="53" t="str">
        <f>IF(H217&gt;=CO_ATT_INPUTS!$C$327,CHAR(252),CHAR(251))</f>
        <v>û</v>
      </c>
      <c r="N217" s="54" t="str">
        <f>IF(I217&gt;=CO_ATT_INPUTS!$C$327,CHAR(252),CHAR(251))</f>
        <v>û</v>
      </c>
    </row>
    <row r="218" spans="1:14" s="51" customFormat="1" ht="37.5" hidden="1" customHeight="1" x14ac:dyDescent="0.25">
      <c r="A218" s="52">
        <f>CO_ATT_INPUTS!A218</f>
        <v>200</v>
      </c>
      <c r="B218" s="18">
        <f>CO_ATT_INPUTS!B218</f>
        <v>0</v>
      </c>
      <c r="C218" s="19">
        <f>CO_ATT_INPUTS!C218</f>
        <v>0</v>
      </c>
      <c r="D218" s="91">
        <f>CO_ATT_INPUTS!D218</f>
        <v>0</v>
      </c>
      <c r="E218" s="19">
        <f>CO_ATT_INPUTS!AF218</f>
        <v>0</v>
      </c>
      <c r="F218" s="19">
        <f>CO_ATT_INPUTS!AG218</f>
        <v>0</v>
      </c>
      <c r="G218" s="19">
        <f>CO_ATT_INPUTS!AH218</f>
        <v>0</v>
      </c>
      <c r="H218" s="19">
        <f>CO_ATT_INPUTS!AI218</f>
        <v>0</v>
      </c>
      <c r="I218" s="19">
        <f>CO_ATT_INPUTS!AJ218</f>
        <v>0</v>
      </c>
      <c r="J218" s="53" t="str">
        <f>IF(E218&gt;=CO_ATT_INPUTS!$C$327,CHAR(252),CHAR(251))</f>
        <v>û</v>
      </c>
      <c r="K218" s="53" t="str">
        <f>IF(F218&gt;=CO_ATT_INPUTS!$C$327,CHAR(252),CHAR(251))</f>
        <v>û</v>
      </c>
      <c r="L218" s="53" t="str">
        <f>IF(G218&gt;=CO_ATT_INPUTS!$C$327,CHAR(252),CHAR(251))</f>
        <v>û</v>
      </c>
      <c r="M218" s="53" t="str">
        <f>IF(H218&gt;=CO_ATT_INPUTS!$C$327,CHAR(252),CHAR(251))</f>
        <v>û</v>
      </c>
      <c r="N218" s="54" t="str">
        <f>IF(I218&gt;=CO_ATT_INPUTS!$C$327,CHAR(252),CHAR(251))</f>
        <v>û</v>
      </c>
    </row>
    <row r="219" spans="1:14" s="51" customFormat="1" ht="37.5" hidden="1" customHeight="1" x14ac:dyDescent="0.25">
      <c r="A219" s="52">
        <f>CO_ATT_INPUTS!A219</f>
        <v>201</v>
      </c>
      <c r="B219" s="18">
        <f>CO_ATT_INPUTS!B219</f>
        <v>0</v>
      </c>
      <c r="C219" s="19">
        <f>CO_ATT_INPUTS!C219</f>
        <v>0</v>
      </c>
      <c r="D219" s="91">
        <f>CO_ATT_INPUTS!D219</f>
        <v>0</v>
      </c>
      <c r="E219" s="19">
        <f>CO_ATT_INPUTS!AF219</f>
        <v>0</v>
      </c>
      <c r="F219" s="19">
        <f>CO_ATT_INPUTS!AG219</f>
        <v>0</v>
      </c>
      <c r="G219" s="19">
        <f>CO_ATT_INPUTS!AH219</f>
        <v>0</v>
      </c>
      <c r="H219" s="19">
        <f>CO_ATT_INPUTS!AI219</f>
        <v>0</v>
      </c>
      <c r="I219" s="19">
        <f>CO_ATT_INPUTS!AJ219</f>
        <v>0</v>
      </c>
      <c r="J219" s="53" t="str">
        <f>IF(E219&gt;=CO_ATT_INPUTS!$C$327,CHAR(252),CHAR(251))</f>
        <v>û</v>
      </c>
      <c r="K219" s="53" t="str">
        <f>IF(F219&gt;=CO_ATT_INPUTS!$C$327,CHAR(252),CHAR(251))</f>
        <v>û</v>
      </c>
      <c r="L219" s="53" t="str">
        <f>IF(G219&gt;=CO_ATT_INPUTS!$C$327,CHAR(252),CHAR(251))</f>
        <v>û</v>
      </c>
      <c r="M219" s="53" t="str">
        <f>IF(H219&gt;=CO_ATT_INPUTS!$C$327,CHAR(252),CHAR(251))</f>
        <v>û</v>
      </c>
      <c r="N219" s="54" t="str">
        <f>IF(I219&gt;=CO_ATT_INPUTS!$C$327,CHAR(252),CHAR(251))</f>
        <v>û</v>
      </c>
    </row>
    <row r="220" spans="1:14" s="51" customFormat="1" ht="37.5" hidden="1" customHeight="1" x14ac:dyDescent="0.25">
      <c r="A220" s="52">
        <f>CO_ATT_INPUTS!A220</f>
        <v>202</v>
      </c>
      <c r="B220" s="18">
        <f>CO_ATT_INPUTS!B220</f>
        <v>0</v>
      </c>
      <c r="C220" s="19">
        <f>CO_ATT_INPUTS!C220</f>
        <v>0</v>
      </c>
      <c r="D220" s="91">
        <f>CO_ATT_INPUTS!D220</f>
        <v>0</v>
      </c>
      <c r="E220" s="19">
        <f>CO_ATT_INPUTS!AF220</f>
        <v>0</v>
      </c>
      <c r="F220" s="19">
        <f>CO_ATT_INPUTS!AG220</f>
        <v>0</v>
      </c>
      <c r="G220" s="19">
        <f>CO_ATT_INPUTS!AH220</f>
        <v>0</v>
      </c>
      <c r="H220" s="19">
        <f>CO_ATT_INPUTS!AI220</f>
        <v>0</v>
      </c>
      <c r="I220" s="19">
        <f>CO_ATT_INPUTS!AJ220</f>
        <v>0</v>
      </c>
      <c r="J220" s="53" t="str">
        <f>IF(E220&gt;=CO_ATT_INPUTS!$C$327,CHAR(252),CHAR(251))</f>
        <v>û</v>
      </c>
      <c r="K220" s="53" t="str">
        <f>IF(F220&gt;=CO_ATT_INPUTS!$C$327,CHAR(252),CHAR(251))</f>
        <v>û</v>
      </c>
      <c r="L220" s="53" t="str">
        <f>IF(G220&gt;=CO_ATT_INPUTS!$C$327,CHAR(252),CHAR(251))</f>
        <v>û</v>
      </c>
      <c r="M220" s="53" t="str">
        <f>IF(H220&gt;=CO_ATT_INPUTS!$C$327,CHAR(252),CHAR(251))</f>
        <v>û</v>
      </c>
      <c r="N220" s="54" t="str">
        <f>IF(I220&gt;=CO_ATT_INPUTS!$C$327,CHAR(252),CHAR(251))</f>
        <v>û</v>
      </c>
    </row>
    <row r="221" spans="1:14" s="51" customFormat="1" ht="37.5" hidden="1" customHeight="1" x14ac:dyDescent="0.25">
      <c r="A221" s="52">
        <f>CO_ATT_INPUTS!A221</f>
        <v>203</v>
      </c>
      <c r="B221" s="18">
        <f>CO_ATT_INPUTS!B221</f>
        <v>0</v>
      </c>
      <c r="C221" s="19">
        <f>CO_ATT_INPUTS!C221</f>
        <v>0</v>
      </c>
      <c r="D221" s="91">
        <f>CO_ATT_INPUTS!D221</f>
        <v>0</v>
      </c>
      <c r="E221" s="19">
        <f>CO_ATT_INPUTS!AF221</f>
        <v>0</v>
      </c>
      <c r="F221" s="19">
        <f>CO_ATT_INPUTS!AG221</f>
        <v>0</v>
      </c>
      <c r="G221" s="19">
        <f>CO_ATT_INPUTS!AH221</f>
        <v>0</v>
      </c>
      <c r="H221" s="19">
        <f>CO_ATT_INPUTS!AI221</f>
        <v>0</v>
      </c>
      <c r="I221" s="19">
        <f>CO_ATT_INPUTS!AJ221</f>
        <v>0</v>
      </c>
      <c r="J221" s="53" t="str">
        <f>IF(E221&gt;=CO_ATT_INPUTS!$C$327,CHAR(252),CHAR(251))</f>
        <v>û</v>
      </c>
      <c r="K221" s="53" t="str">
        <f>IF(F221&gt;=CO_ATT_INPUTS!$C$327,CHAR(252),CHAR(251))</f>
        <v>û</v>
      </c>
      <c r="L221" s="53" t="str">
        <f>IF(G221&gt;=CO_ATT_INPUTS!$C$327,CHAR(252),CHAR(251))</f>
        <v>û</v>
      </c>
      <c r="M221" s="53" t="str">
        <f>IF(H221&gt;=CO_ATT_INPUTS!$C$327,CHAR(252),CHAR(251))</f>
        <v>û</v>
      </c>
      <c r="N221" s="54" t="str">
        <f>IF(I221&gt;=CO_ATT_INPUTS!$C$327,CHAR(252),CHAR(251))</f>
        <v>û</v>
      </c>
    </row>
    <row r="222" spans="1:14" s="51" customFormat="1" ht="37.5" hidden="1" customHeight="1" x14ac:dyDescent="0.25">
      <c r="A222" s="52">
        <f>CO_ATT_INPUTS!A222</f>
        <v>204</v>
      </c>
      <c r="B222" s="18">
        <f>CO_ATT_INPUTS!B222</f>
        <v>0</v>
      </c>
      <c r="C222" s="19">
        <f>CO_ATT_INPUTS!C222</f>
        <v>0</v>
      </c>
      <c r="D222" s="91">
        <f>CO_ATT_INPUTS!D222</f>
        <v>0</v>
      </c>
      <c r="E222" s="19">
        <f>CO_ATT_INPUTS!AF222</f>
        <v>0</v>
      </c>
      <c r="F222" s="19">
        <f>CO_ATT_INPUTS!AG222</f>
        <v>0</v>
      </c>
      <c r="G222" s="19">
        <f>CO_ATT_INPUTS!AH222</f>
        <v>0</v>
      </c>
      <c r="H222" s="19">
        <f>CO_ATT_INPUTS!AI222</f>
        <v>0</v>
      </c>
      <c r="I222" s="19">
        <f>CO_ATT_INPUTS!AJ222</f>
        <v>0</v>
      </c>
      <c r="J222" s="53" t="str">
        <f>IF(E222&gt;=CO_ATT_INPUTS!$C$327,CHAR(252),CHAR(251))</f>
        <v>û</v>
      </c>
      <c r="K222" s="53" t="str">
        <f>IF(F222&gt;=CO_ATT_INPUTS!$C$327,CHAR(252),CHAR(251))</f>
        <v>û</v>
      </c>
      <c r="L222" s="53" t="str">
        <f>IF(G222&gt;=CO_ATT_INPUTS!$C$327,CHAR(252),CHAR(251))</f>
        <v>û</v>
      </c>
      <c r="M222" s="53" t="str">
        <f>IF(H222&gt;=CO_ATT_INPUTS!$C$327,CHAR(252),CHAR(251))</f>
        <v>û</v>
      </c>
      <c r="N222" s="54" t="str">
        <f>IF(I222&gt;=CO_ATT_INPUTS!$C$327,CHAR(252),CHAR(251))</f>
        <v>û</v>
      </c>
    </row>
    <row r="223" spans="1:14" s="51" customFormat="1" ht="37.5" hidden="1" customHeight="1" x14ac:dyDescent="0.25">
      <c r="A223" s="52">
        <f>CO_ATT_INPUTS!A223</f>
        <v>205</v>
      </c>
      <c r="B223" s="18">
        <f>CO_ATT_INPUTS!B223</f>
        <v>0</v>
      </c>
      <c r="C223" s="19">
        <f>CO_ATT_INPUTS!C223</f>
        <v>0</v>
      </c>
      <c r="D223" s="91">
        <f>CO_ATT_INPUTS!D223</f>
        <v>0</v>
      </c>
      <c r="E223" s="19">
        <f>CO_ATT_INPUTS!AF223</f>
        <v>0</v>
      </c>
      <c r="F223" s="19">
        <f>CO_ATT_INPUTS!AG223</f>
        <v>0</v>
      </c>
      <c r="G223" s="19">
        <f>CO_ATT_INPUTS!AH223</f>
        <v>0</v>
      </c>
      <c r="H223" s="19">
        <f>CO_ATT_INPUTS!AI223</f>
        <v>0</v>
      </c>
      <c r="I223" s="19">
        <f>CO_ATT_INPUTS!AJ223</f>
        <v>0</v>
      </c>
      <c r="J223" s="53" t="str">
        <f>IF(E223&gt;=CO_ATT_INPUTS!$C$327,CHAR(252),CHAR(251))</f>
        <v>û</v>
      </c>
      <c r="K223" s="53" t="str">
        <f>IF(F223&gt;=CO_ATT_INPUTS!$C$327,CHAR(252),CHAR(251))</f>
        <v>û</v>
      </c>
      <c r="L223" s="53" t="str">
        <f>IF(G223&gt;=CO_ATT_INPUTS!$C$327,CHAR(252),CHAR(251))</f>
        <v>û</v>
      </c>
      <c r="M223" s="53" t="str">
        <f>IF(H223&gt;=CO_ATT_INPUTS!$C$327,CHAR(252),CHAR(251))</f>
        <v>û</v>
      </c>
      <c r="N223" s="54" t="str">
        <f>IF(I223&gt;=CO_ATT_INPUTS!$C$327,CHAR(252),CHAR(251))</f>
        <v>û</v>
      </c>
    </row>
    <row r="224" spans="1:14" s="51" customFormat="1" ht="37.5" hidden="1" customHeight="1" x14ac:dyDescent="0.25">
      <c r="A224" s="52">
        <f>CO_ATT_INPUTS!A224</f>
        <v>206</v>
      </c>
      <c r="B224" s="18">
        <f>CO_ATT_INPUTS!B224</f>
        <v>0</v>
      </c>
      <c r="C224" s="19">
        <f>CO_ATT_INPUTS!C224</f>
        <v>0</v>
      </c>
      <c r="D224" s="91">
        <f>CO_ATT_INPUTS!D224</f>
        <v>0</v>
      </c>
      <c r="E224" s="19">
        <f>CO_ATT_INPUTS!AF224</f>
        <v>0</v>
      </c>
      <c r="F224" s="19">
        <f>CO_ATT_INPUTS!AG224</f>
        <v>0</v>
      </c>
      <c r="G224" s="19">
        <f>CO_ATT_INPUTS!AH224</f>
        <v>0</v>
      </c>
      <c r="H224" s="19">
        <f>CO_ATT_INPUTS!AI224</f>
        <v>0</v>
      </c>
      <c r="I224" s="19">
        <f>CO_ATT_INPUTS!AJ224</f>
        <v>0</v>
      </c>
      <c r="J224" s="53" t="str">
        <f>IF(E224&gt;=CO_ATT_INPUTS!$C$327,CHAR(252),CHAR(251))</f>
        <v>û</v>
      </c>
      <c r="K224" s="53" t="str">
        <f>IF(F224&gt;=CO_ATT_INPUTS!$C$327,CHAR(252),CHAR(251))</f>
        <v>û</v>
      </c>
      <c r="L224" s="53" t="str">
        <f>IF(G224&gt;=CO_ATT_INPUTS!$C$327,CHAR(252),CHAR(251))</f>
        <v>û</v>
      </c>
      <c r="M224" s="53" t="str">
        <f>IF(H224&gt;=CO_ATT_INPUTS!$C$327,CHAR(252),CHAR(251))</f>
        <v>û</v>
      </c>
      <c r="N224" s="54" t="str">
        <f>IF(I224&gt;=CO_ATT_INPUTS!$C$327,CHAR(252),CHAR(251))</f>
        <v>û</v>
      </c>
    </row>
    <row r="225" spans="1:14" s="51" customFormat="1" ht="37.5" hidden="1" customHeight="1" x14ac:dyDescent="0.25">
      <c r="A225" s="52">
        <f>CO_ATT_INPUTS!A225</f>
        <v>207</v>
      </c>
      <c r="B225" s="18">
        <f>CO_ATT_INPUTS!B225</f>
        <v>0</v>
      </c>
      <c r="C225" s="19">
        <f>CO_ATT_INPUTS!C225</f>
        <v>0</v>
      </c>
      <c r="D225" s="91">
        <f>CO_ATT_INPUTS!D225</f>
        <v>0</v>
      </c>
      <c r="E225" s="19">
        <f>CO_ATT_INPUTS!AF225</f>
        <v>0</v>
      </c>
      <c r="F225" s="19">
        <f>CO_ATT_INPUTS!AG225</f>
        <v>0</v>
      </c>
      <c r="G225" s="19">
        <f>CO_ATT_INPUTS!AH225</f>
        <v>0</v>
      </c>
      <c r="H225" s="19">
        <f>CO_ATT_INPUTS!AI225</f>
        <v>0</v>
      </c>
      <c r="I225" s="19">
        <f>CO_ATT_INPUTS!AJ225</f>
        <v>0</v>
      </c>
      <c r="J225" s="53" t="str">
        <f>IF(E225&gt;=CO_ATT_INPUTS!$C$327,CHAR(252),CHAR(251))</f>
        <v>û</v>
      </c>
      <c r="K225" s="53" t="str">
        <f>IF(F225&gt;=CO_ATT_INPUTS!$C$327,CHAR(252),CHAR(251))</f>
        <v>û</v>
      </c>
      <c r="L225" s="53" t="str">
        <f>IF(G225&gt;=CO_ATT_INPUTS!$C$327,CHAR(252),CHAR(251))</f>
        <v>û</v>
      </c>
      <c r="M225" s="53" t="str">
        <f>IF(H225&gt;=CO_ATT_INPUTS!$C$327,CHAR(252),CHAR(251))</f>
        <v>û</v>
      </c>
      <c r="N225" s="54" t="str">
        <f>IF(I225&gt;=CO_ATT_INPUTS!$C$327,CHAR(252),CHAR(251))</f>
        <v>û</v>
      </c>
    </row>
    <row r="226" spans="1:14" s="51" customFormat="1" ht="37.5" hidden="1" customHeight="1" x14ac:dyDescent="0.25">
      <c r="A226" s="52">
        <f>CO_ATT_INPUTS!A226</f>
        <v>208</v>
      </c>
      <c r="B226" s="18">
        <f>CO_ATT_INPUTS!B226</f>
        <v>0</v>
      </c>
      <c r="C226" s="19">
        <f>CO_ATT_INPUTS!C226</f>
        <v>0</v>
      </c>
      <c r="D226" s="91">
        <f>CO_ATT_INPUTS!D226</f>
        <v>0</v>
      </c>
      <c r="E226" s="19">
        <f>CO_ATT_INPUTS!AF226</f>
        <v>0</v>
      </c>
      <c r="F226" s="19">
        <f>CO_ATT_INPUTS!AG226</f>
        <v>0</v>
      </c>
      <c r="G226" s="19">
        <f>CO_ATT_INPUTS!AH226</f>
        <v>0</v>
      </c>
      <c r="H226" s="19">
        <f>CO_ATT_INPUTS!AI226</f>
        <v>0</v>
      </c>
      <c r="I226" s="19">
        <f>CO_ATT_INPUTS!AJ226</f>
        <v>0</v>
      </c>
      <c r="J226" s="53" t="str">
        <f>IF(E226&gt;=CO_ATT_INPUTS!$C$327,CHAR(252),CHAR(251))</f>
        <v>û</v>
      </c>
      <c r="K226" s="53" t="str">
        <f>IF(F226&gt;=CO_ATT_INPUTS!$C$327,CHAR(252),CHAR(251))</f>
        <v>û</v>
      </c>
      <c r="L226" s="53" t="str">
        <f>IF(G226&gt;=CO_ATT_INPUTS!$C$327,CHAR(252),CHAR(251))</f>
        <v>û</v>
      </c>
      <c r="M226" s="53" t="str">
        <f>IF(H226&gt;=CO_ATT_INPUTS!$C$327,CHAR(252),CHAR(251))</f>
        <v>û</v>
      </c>
      <c r="N226" s="54" t="str">
        <f>IF(I226&gt;=CO_ATT_INPUTS!$C$327,CHAR(252),CHAR(251))</f>
        <v>û</v>
      </c>
    </row>
    <row r="227" spans="1:14" s="51" customFormat="1" ht="37.5" hidden="1" customHeight="1" x14ac:dyDescent="0.25">
      <c r="A227" s="52">
        <f>CO_ATT_INPUTS!A227</f>
        <v>209</v>
      </c>
      <c r="B227" s="18">
        <f>CO_ATT_INPUTS!B227</f>
        <v>0</v>
      </c>
      <c r="C227" s="19">
        <f>CO_ATT_INPUTS!C227</f>
        <v>0</v>
      </c>
      <c r="D227" s="91">
        <f>CO_ATT_INPUTS!D227</f>
        <v>0</v>
      </c>
      <c r="E227" s="19">
        <f>CO_ATT_INPUTS!AF227</f>
        <v>0</v>
      </c>
      <c r="F227" s="19">
        <f>CO_ATT_INPUTS!AG227</f>
        <v>0</v>
      </c>
      <c r="G227" s="19">
        <f>CO_ATT_INPUTS!AH227</f>
        <v>0</v>
      </c>
      <c r="H227" s="19">
        <f>CO_ATT_INPUTS!AI227</f>
        <v>0</v>
      </c>
      <c r="I227" s="19">
        <f>CO_ATT_INPUTS!AJ227</f>
        <v>0</v>
      </c>
      <c r="J227" s="53" t="str">
        <f>IF(E227&gt;=CO_ATT_INPUTS!$C$327,CHAR(252),CHAR(251))</f>
        <v>û</v>
      </c>
      <c r="K227" s="53" t="str">
        <f>IF(F227&gt;=CO_ATT_INPUTS!$C$327,CHAR(252),CHAR(251))</f>
        <v>û</v>
      </c>
      <c r="L227" s="53" t="str">
        <f>IF(G227&gt;=CO_ATT_INPUTS!$C$327,CHAR(252),CHAR(251))</f>
        <v>û</v>
      </c>
      <c r="M227" s="53" t="str">
        <f>IF(H227&gt;=CO_ATT_INPUTS!$C$327,CHAR(252),CHAR(251))</f>
        <v>û</v>
      </c>
      <c r="N227" s="54" t="str">
        <f>IF(I227&gt;=CO_ATT_INPUTS!$C$327,CHAR(252),CHAR(251))</f>
        <v>û</v>
      </c>
    </row>
    <row r="228" spans="1:14" s="51" customFormat="1" ht="37.5" hidden="1" customHeight="1" x14ac:dyDescent="0.25">
      <c r="A228" s="52">
        <f>CO_ATT_INPUTS!A228</f>
        <v>210</v>
      </c>
      <c r="B228" s="18">
        <f>CO_ATT_INPUTS!B228</f>
        <v>0</v>
      </c>
      <c r="C228" s="19">
        <f>CO_ATT_INPUTS!C228</f>
        <v>0</v>
      </c>
      <c r="D228" s="91">
        <f>CO_ATT_INPUTS!D228</f>
        <v>0</v>
      </c>
      <c r="E228" s="19">
        <f>CO_ATT_INPUTS!AF228</f>
        <v>0</v>
      </c>
      <c r="F228" s="19">
        <f>CO_ATT_INPUTS!AG228</f>
        <v>0</v>
      </c>
      <c r="G228" s="19">
        <f>CO_ATT_INPUTS!AH228</f>
        <v>0</v>
      </c>
      <c r="H228" s="19">
        <f>CO_ATT_INPUTS!AI228</f>
        <v>0</v>
      </c>
      <c r="I228" s="19">
        <f>CO_ATT_INPUTS!AJ228</f>
        <v>0</v>
      </c>
      <c r="J228" s="53" t="str">
        <f>IF(E228&gt;=CO_ATT_INPUTS!$C$327,CHAR(252),CHAR(251))</f>
        <v>û</v>
      </c>
      <c r="K228" s="53" t="str">
        <f>IF(F228&gt;=CO_ATT_INPUTS!$C$327,CHAR(252),CHAR(251))</f>
        <v>û</v>
      </c>
      <c r="L228" s="53" t="str">
        <f>IF(G228&gt;=CO_ATT_INPUTS!$C$327,CHAR(252),CHAR(251))</f>
        <v>û</v>
      </c>
      <c r="M228" s="53" t="str">
        <f>IF(H228&gt;=CO_ATT_INPUTS!$C$327,CHAR(252),CHAR(251))</f>
        <v>û</v>
      </c>
      <c r="N228" s="54" t="str">
        <f>IF(I228&gt;=CO_ATT_INPUTS!$C$327,CHAR(252),CHAR(251))</f>
        <v>û</v>
      </c>
    </row>
    <row r="229" spans="1:14" s="51" customFormat="1" ht="37.5" hidden="1" customHeight="1" x14ac:dyDescent="0.25">
      <c r="A229" s="52">
        <f>CO_ATT_INPUTS!A229</f>
        <v>211</v>
      </c>
      <c r="B229" s="18">
        <f>CO_ATT_INPUTS!B229</f>
        <v>0</v>
      </c>
      <c r="C229" s="19">
        <f>CO_ATT_INPUTS!C229</f>
        <v>0</v>
      </c>
      <c r="D229" s="91">
        <f>CO_ATT_INPUTS!D229</f>
        <v>0</v>
      </c>
      <c r="E229" s="19">
        <f>CO_ATT_INPUTS!AF229</f>
        <v>0</v>
      </c>
      <c r="F229" s="19">
        <f>CO_ATT_INPUTS!AG229</f>
        <v>0</v>
      </c>
      <c r="G229" s="19">
        <f>CO_ATT_INPUTS!AH229</f>
        <v>0</v>
      </c>
      <c r="H229" s="19">
        <f>CO_ATT_INPUTS!AI229</f>
        <v>0</v>
      </c>
      <c r="I229" s="19">
        <f>CO_ATT_INPUTS!AJ229</f>
        <v>0</v>
      </c>
      <c r="J229" s="53" t="str">
        <f>IF(E229&gt;=CO_ATT_INPUTS!$C$327,CHAR(252),CHAR(251))</f>
        <v>û</v>
      </c>
      <c r="K229" s="53" t="str">
        <f>IF(F229&gt;=CO_ATT_INPUTS!$C$327,CHAR(252),CHAR(251))</f>
        <v>û</v>
      </c>
      <c r="L229" s="53" t="str">
        <f>IF(G229&gt;=CO_ATT_INPUTS!$C$327,CHAR(252),CHAR(251))</f>
        <v>û</v>
      </c>
      <c r="M229" s="53" t="str">
        <f>IF(H229&gt;=CO_ATT_INPUTS!$C$327,CHAR(252),CHAR(251))</f>
        <v>û</v>
      </c>
      <c r="N229" s="54" t="str">
        <f>IF(I229&gt;=CO_ATT_INPUTS!$C$327,CHAR(252),CHAR(251))</f>
        <v>û</v>
      </c>
    </row>
    <row r="230" spans="1:14" s="51" customFormat="1" ht="37.5" hidden="1" customHeight="1" x14ac:dyDescent="0.25">
      <c r="A230" s="52">
        <f>CO_ATT_INPUTS!A230</f>
        <v>212</v>
      </c>
      <c r="B230" s="18">
        <f>CO_ATT_INPUTS!B230</f>
        <v>0</v>
      </c>
      <c r="C230" s="19">
        <f>CO_ATT_INPUTS!C230</f>
        <v>0</v>
      </c>
      <c r="D230" s="91">
        <f>CO_ATT_INPUTS!D230</f>
        <v>0</v>
      </c>
      <c r="E230" s="19">
        <f>CO_ATT_INPUTS!AF230</f>
        <v>0</v>
      </c>
      <c r="F230" s="19">
        <f>CO_ATT_INPUTS!AG230</f>
        <v>0</v>
      </c>
      <c r="G230" s="19">
        <f>CO_ATT_INPUTS!AH230</f>
        <v>0</v>
      </c>
      <c r="H230" s="19">
        <f>CO_ATT_INPUTS!AI230</f>
        <v>0</v>
      </c>
      <c r="I230" s="19">
        <f>CO_ATT_INPUTS!AJ230</f>
        <v>0</v>
      </c>
      <c r="J230" s="53" t="str">
        <f>IF(E230&gt;=CO_ATT_INPUTS!$C$327,CHAR(252),CHAR(251))</f>
        <v>û</v>
      </c>
      <c r="K230" s="53" t="str">
        <f>IF(F230&gt;=CO_ATT_INPUTS!$C$327,CHAR(252),CHAR(251))</f>
        <v>û</v>
      </c>
      <c r="L230" s="53" t="str">
        <f>IF(G230&gt;=CO_ATT_INPUTS!$C$327,CHAR(252),CHAR(251))</f>
        <v>û</v>
      </c>
      <c r="M230" s="53" t="str">
        <f>IF(H230&gt;=CO_ATT_INPUTS!$C$327,CHAR(252),CHAR(251))</f>
        <v>û</v>
      </c>
      <c r="N230" s="54" t="str">
        <f>IF(I230&gt;=CO_ATT_INPUTS!$C$327,CHAR(252),CHAR(251))</f>
        <v>û</v>
      </c>
    </row>
    <row r="231" spans="1:14" s="51" customFormat="1" ht="37.5" hidden="1" customHeight="1" x14ac:dyDescent="0.25">
      <c r="A231" s="52">
        <f>CO_ATT_INPUTS!A231</f>
        <v>213</v>
      </c>
      <c r="B231" s="18">
        <f>CO_ATT_INPUTS!B231</f>
        <v>0</v>
      </c>
      <c r="C231" s="19">
        <f>CO_ATT_INPUTS!C231</f>
        <v>0</v>
      </c>
      <c r="D231" s="91">
        <f>CO_ATT_INPUTS!D231</f>
        <v>0</v>
      </c>
      <c r="E231" s="19">
        <f>CO_ATT_INPUTS!AF231</f>
        <v>0</v>
      </c>
      <c r="F231" s="19">
        <f>CO_ATT_INPUTS!AG231</f>
        <v>0</v>
      </c>
      <c r="G231" s="19">
        <f>CO_ATT_INPUTS!AH231</f>
        <v>0</v>
      </c>
      <c r="H231" s="19">
        <f>CO_ATT_INPUTS!AI231</f>
        <v>0</v>
      </c>
      <c r="I231" s="19">
        <f>CO_ATT_INPUTS!AJ231</f>
        <v>0</v>
      </c>
      <c r="J231" s="53" t="str">
        <f>IF(E231&gt;=CO_ATT_INPUTS!$C$327,CHAR(252),CHAR(251))</f>
        <v>û</v>
      </c>
      <c r="K231" s="53" t="str">
        <f>IF(F231&gt;=CO_ATT_INPUTS!$C$327,CHAR(252),CHAR(251))</f>
        <v>û</v>
      </c>
      <c r="L231" s="53" t="str">
        <f>IF(G231&gt;=CO_ATT_INPUTS!$C$327,CHAR(252),CHAR(251))</f>
        <v>û</v>
      </c>
      <c r="M231" s="53" t="str">
        <f>IF(H231&gt;=CO_ATT_INPUTS!$C$327,CHAR(252),CHAR(251))</f>
        <v>û</v>
      </c>
      <c r="N231" s="54" t="str">
        <f>IF(I231&gt;=CO_ATT_INPUTS!$C$327,CHAR(252),CHAR(251))</f>
        <v>û</v>
      </c>
    </row>
    <row r="232" spans="1:14" s="51" customFormat="1" ht="37.5" hidden="1" customHeight="1" x14ac:dyDescent="0.25">
      <c r="A232" s="52">
        <f>CO_ATT_INPUTS!A232</f>
        <v>214</v>
      </c>
      <c r="B232" s="18">
        <f>CO_ATT_INPUTS!B232</f>
        <v>0</v>
      </c>
      <c r="C232" s="19">
        <f>CO_ATT_INPUTS!C232</f>
        <v>0</v>
      </c>
      <c r="D232" s="91">
        <f>CO_ATT_INPUTS!D232</f>
        <v>0</v>
      </c>
      <c r="E232" s="19">
        <f>CO_ATT_INPUTS!AF232</f>
        <v>0</v>
      </c>
      <c r="F232" s="19">
        <f>CO_ATT_INPUTS!AG232</f>
        <v>0</v>
      </c>
      <c r="G232" s="19">
        <f>CO_ATT_INPUTS!AH232</f>
        <v>0</v>
      </c>
      <c r="H232" s="19">
        <f>CO_ATT_INPUTS!AI232</f>
        <v>0</v>
      </c>
      <c r="I232" s="19">
        <f>CO_ATT_INPUTS!AJ232</f>
        <v>0</v>
      </c>
      <c r="J232" s="53" t="str">
        <f>IF(E232&gt;=CO_ATT_INPUTS!$C$327,CHAR(252),CHAR(251))</f>
        <v>û</v>
      </c>
      <c r="K232" s="53" t="str">
        <f>IF(F232&gt;=CO_ATT_INPUTS!$C$327,CHAR(252),CHAR(251))</f>
        <v>û</v>
      </c>
      <c r="L232" s="53" t="str">
        <f>IF(G232&gt;=CO_ATT_INPUTS!$C$327,CHAR(252),CHAR(251))</f>
        <v>û</v>
      </c>
      <c r="M232" s="53" t="str">
        <f>IF(H232&gt;=CO_ATT_INPUTS!$C$327,CHAR(252),CHAR(251))</f>
        <v>û</v>
      </c>
      <c r="N232" s="54" t="str">
        <f>IF(I232&gt;=CO_ATT_INPUTS!$C$327,CHAR(252),CHAR(251))</f>
        <v>û</v>
      </c>
    </row>
    <row r="233" spans="1:14" s="51" customFormat="1" ht="37.5" hidden="1" customHeight="1" x14ac:dyDescent="0.25">
      <c r="A233" s="52">
        <f>CO_ATT_INPUTS!A233</f>
        <v>215</v>
      </c>
      <c r="B233" s="18">
        <f>CO_ATT_INPUTS!B233</f>
        <v>0</v>
      </c>
      <c r="C233" s="19">
        <f>CO_ATT_INPUTS!C233</f>
        <v>0</v>
      </c>
      <c r="D233" s="91">
        <f>CO_ATT_INPUTS!D233</f>
        <v>0</v>
      </c>
      <c r="E233" s="19">
        <f>CO_ATT_INPUTS!AF233</f>
        <v>0</v>
      </c>
      <c r="F233" s="19">
        <f>CO_ATT_INPUTS!AG233</f>
        <v>0</v>
      </c>
      <c r="G233" s="19">
        <f>CO_ATT_INPUTS!AH233</f>
        <v>0</v>
      </c>
      <c r="H233" s="19">
        <f>CO_ATT_INPUTS!AI233</f>
        <v>0</v>
      </c>
      <c r="I233" s="19">
        <f>CO_ATT_INPUTS!AJ233</f>
        <v>0</v>
      </c>
      <c r="J233" s="53" t="str">
        <f>IF(E233&gt;=CO_ATT_INPUTS!$C$327,CHAR(252),CHAR(251))</f>
        <v>û</v>
      </c>
      <c r="K233" s="53" t="str">
        <f>IF(F233&gt;=CO_ATT_INPUTS!$C$327,CHAR(252),CHAR(251))</f>
        <v>û</v>
      </c>
      <c r="L233" s="53" t="str">
        <f>IF(G233&gt;=CO_ATT_INPUTS!$C$327,CHAR(252),CHAR(251))</f>
        <v>û</v>
      </c>
      <c r="M233" s="53" t="str">
        <f>IF(H233&gt;=CO_ATT_INPUTS!$C$327,CHAR(252),CHAR(251))</f>
        <v>û</v>
      </c>
      <c r="N233" s="54" t="str">
        <f>IF(I233&gt;=CO_ATT_INPUTS!$C$327,CHAR(252),CHAR(251))</f>
        <v>û</v>
      </c>
    </row>
    <row r="234" spans="1:14" s="51" customFormat="1" ht="37.5" hidden="1" customHeight="1" x14ac:dyDescent="0.25">
      <c r="A234" s="52">
        <f>CO_ATT_INPUTS!A234</f>
        <v>216</v>
      </c>
      <c r="B234" s="18">
        <f>CO_ATT_INPUTS!B234</f>
        <v>0</v>
      </c>
      <c r="C234" s="19">
        <f>CO_ATT_INPUTS!C234</f>
        <v>0</v>
      </c>
      <c r="D234" s="91">
        <f>CO_ATT_INPUTS!D234</f>
        <v>0</v>
      </c>
      <c r="E234" s="19">
        <f>CO_ATT_INPUTS!AF234</f>
        <v>0</v>
      </c>
      <c r="F234" s="19">
        <f>CO_ATT_INPUTS!AG234</f>
        <v>0</v>
      </c>
      <c r="G234" s="19">
        <f>CO_ATT_INPUTS!AH234</f>
        <v>0</v>
      </c>
      <c r="H234" s="19">
        <f>CO_ATT_INPUTS!AI234</f>
        <v>0</v>
      </c>
      <c r="I234" s="19">
        <f>CO_ATT_INPUTS!AJ234</f>
        <v>0</v>
      </c>
      <c r="J234" s="53" t="str">
        <f>IF(E234&gt;=CO_ATT_INPUTS!$C$327,CHAR(252),CHAR(251))</f>
        <v>û</v>
      </c>
      <c r="K234" s="53" t="str">
        <f>IF(F234&gt;=CO_ATT_INPUTS!$C$327,CHAR(252),CHAR(251))</f>
        <v>û</v>
      </c>
      <c r="L234" s="53" t="str">
        <f>IF(G234&gt;=CO_ATT_INPUTS!$C$327,CHAR(252),CHAR(251))</f>
        <v>û</v>
      </c>
      <c r="M234" s="53" t="str">
        <f>IF(H234&gt;=CO_ATT_INPUTS!$C$327,CHAR(252),CHAR(251))</f>
        <v>û</v>
      </c>
      <c r="N234" s="54" t="str">
        <f>IF(I234&gt;=CO_ATT_INPUTS!$C$327,CHAR(252),CHAR(251))</f>
        <v>û</v>
      </c>
    </row>
    <row r="235" spans="1:14" s="51" customFormat="1" ht="37.5" hidden="1" customHeight="1" x14ac:dyDescent="0.25">
      <c r="A235" s="52">
        <f>CO_ATT_INPUTS!A235</f>
        <v>217</v>
      </c>
      <c r="B235" s="18">
        <f>CO_ATT_INPUTS!B235</f>
        <v>0</v>
      </c>
      <c r="C235" s="19">
        <f>CO_ATT_INPUTS!C235</f>
        <v>0</v>
      </c>
      <c r="D235" s="91">
        <f>CO_ATT_INPUTS!D235</f>
        <v>0</v>
      </c>
      <c r="E235" s="19">
        <f>CO_ATT_INPUTS!AF235</f>
        <v>0</v>
      </c>
      <c r="F235" s="19">
        <f>CO_ATT_INPUTS!AG235</f>
        <v>0</v>
      </c>
      <c r="G235" s="19">
        <f>CO_ATT_INPUTS!AH235</f>
        <v>0</v>
      </c>
      <c r="H235" s="19">
        <f>CO_ATT_INPUTS!AI235</f>
        <v>0</v>
      </c>
      <c r="I235" s="19">
        <f>CO_ATT_INPUTS!AJ235</f>
        <v>0</v>
      </c>
      <c r="J235" s="53" t="str">
        <f>IF(E235&gt;=CO_ATT_INPUTS!$C$327,CHAR(252),CHAR(251))</f>
        <v>û</v>
      </c>
      <c r="K235" s="53" t="str">
        <f>IF(F235&gt;=CO_ATT_INPUTS!$C$327,CHAR(252),CHAR(251))</f>
        <v>û</v>
      </c>
      <c r="L235" s="53" t="str">
        <f>IF(G235&gt;=CO_ATT_INPUTS!$C$327,CHAR(252),CHAR(251))</f>
        <v>û</v>
      </c>
      <c r="M235" s="53" t="str">
        <f>IF(H235&gt;=CO_ATT_INPUTS!$C$327,CHAR(252),CHAR(251))</f>
        <v>û</v>
      </c>
      <c r="N235" s="54" t="str">
        <f>IF(I235&gt;=CO_ATT_INPUTS!$C$327,CHAR(252),CHAR(251))</f>
        <v>û</v>
      </c>
    </row>
    <row r="236" spans="1:14" s="51" customFormat="1" ht="37.5" hidden="1" customHeight="1" x14ac:dyDescent="0.25">
      <c r="A236" s="52">
        <f>CO_ATT_INPUTS!A236</f>
        <v>218</v>
      </c>
      <c r="B236" s="18">
        <f>CO_ATT_INPUTS!B236</f>
        <v>0</v>
      </c>
      <c r="C236" s="19">
        <f>CO_ATT_INPUTS!C236</f>
        <v>0</v>
      </c>
      <c r="D236" s="91">
        <f>CO_ATT_INPUTS!D236</f>
        <v>0</v>
      </c>
      <c r="E236" s="19">
        <f>CO_ATT_INPUTS!AF236</f>
        <v>0</v>
      </c>
      <c r="F236" s="19">
        <f>CO_ATT_INPUTS!AG236</f>
        <v>0</v>
      </c>
      <c r="G236" s="19">
        <f>CO_ATT_INPUTS!AH236</f>
        <v>0</v>
      </c>
      <c r="H236" s="19">
        <f>CO_ATT_INPUTS!AI236</f>
        <v>0</v>
      </c>
      <c r="I236" s="19">
        <f>CO_ATT_INPUTS!AJ236</f>
        <v>0</v>
      </c>
      <c r="J236" s="53" t="str">
        <f>IF(E236&gt;=CO_ATT_INPUTS!$C$327,CHAR(252),CHAR(251))</f>
        <v>û</v>
      </c>
      <c r="K236" s="53" t="str">
        <f>IF(F236&gt;=CO_ATT_INPUTS!$C$327,CHAR(252),CHAR(251))</f>
        <v>û</v>
      </c>
      <c r="L236" s="53" t="str">
        <f>IF(G236&gt;=CO_ATT_INPUTS!$C$327,CHAR(252),CHAR(251))</f>
        <v>û</v>
      </c>
      <c r="M236" s="53" t="str">
        <f>IF(H236&gt;=CO_ATT_INPUTS!$C$327,CHAR(252),CHAR(251))</f>
        <v>û</v>
      </c>
      <c r="N236" s="54" t="str">
        <f>IF(I236&gt;=CO_ATT_INPUTS!$C$327,CHAR(252),CHAR(251))</f>
        <v>û</v>
      </c>
    </row>
    <row r="237" spans="1:14" s="51" customFormat="1" ht="37.5" hidden="1" customHeight="1" x14ac:dyDescent="0.25">
      <c r="A237" s="52">
        <f>CO_ATT_INPUTS!A237</f>
        <v>219</v>
      </c>
      <c r="B237" s="18">
        <f>CO_ATT_INPUTS!B237</f>
        <v>0</v>
      </c>
      <c r="C237" s="19">
        <f>CO_ATT_INPUTS!C237</f>
        <v>0</v>
      </c>
      <c r="D237" s="91">
        <f>CO_ATT_INPUTS!D237</f>
        <v>0</v>
      </c>
      <c r="E237" s="19">
        <f>CO_ATT_INPUTS!AF237</f>
        <v>0</v>
      </c>
      <c r="F237" s="19">
        <f>CO_ATT_INPUTS!AG237</f>
        <v>0</v>
      </c>
      <c r="G237" s="19">
        <f>CO_ATT_INPUTS!AH237</f>
        <v>0</v>
      </c>
      <c r="H237" s="19">
        <f>CO_ATT_INPUTS!AI237</f>
        <v>0</v>
      </c>
      <c r="I237" s="19">
        <f>CO_ATT_INPUTS!AJ237</f>
        <v>0</v>
      </c>
      <c r="J237" s="53" t="str">
        <f>IF(E237&gt;=CO_ATT_INPUTS!$C$327,CHAR(252),CHAR(251))</f>
        <v>û</v>
      </c>
      <c r="K237" s="53" t="str">
        <f>IF(F237&gt;=CO_ATT_INPUTS!$C$327,CHAR(252),CHAR(251))</f>
        <v>û</v>
      </c>
      <c r="L237" s="53" t="str">
        <f>IF(G237&gt;=CO_ATT_INPUTS!$C$327,CHAR(252),CHAR(251))</f>
        <v>û</v>
      </c>
      <c r="M237" s="53" t="str">
        <f>IF(H237&gt;=CO_ATT_INPUTS!$C$327,CHAR(252),CHAR(251))</f>
        <v>û</v>
      </c>
      <c r="N237" s="54" t="str">
        <f>IF(I237&gt;=CO_ATT_INPUTS!$C$327,CHAR(252),CHAR(251))</f>
        <v>û</v>
      </c>
    </row>
    <row r="238" spans="1:14" s="51" customFormat="1" ht="37.5" hidden="1" customHeight="1" x14ac:dyDescent="0.25">
      <c r="A238" s="52">
        <f>CO_ATT_INPUTS!A238</f>
        <v>220</v>
      </c>
      <c r="B238" s="18">
        <f>CO_ATT_INPUTS!B238</f>
        <v>0</v>
      </c>
      <c r="C238" s="19">
        <f>CO_ATT_INPUTS!C238</f>
        <v>0</v>
      </c>
      <c r="D238" s="91">
        <f>CO_ATT_INPUTS!D238</f>
        <v>0</v>
      </c>
      <c r="E238" s="19">
        <f>CO_ATT_INPUTS!AF238</f>
        <v>0</v>
      </c>
      <c r="F238" s="19">
        <f>CO_ATT_INPUTS!AG238</f>
        <v>0</v>
      </c>
      <c r="G238" s="19">
        <f>CO_ATT_INPUTS!AH238</f>
        <v>0</v>
      </c>
      <c r="H238" s="19">
        <f>CO_ATT_INPUTS!AI238</f>
        <v>0</v>
      </c>
      <c r="I238" s="19">
        <f>CO_ATT_INPUTS!AJ238</f>
        <v>0</v>
      </c>
      <c r="J238" s="53" t="str">
        <f>IF(E238&gt;=CO_ATT_INPUTS!$C$327,CHAR(252),CHAR(251))</f>
        <v>û</v>
      </c>
      <c r="K238" s="53" t="str">
        <f>IF(F238&gt;=CO_ATT_INPUTS!$C$327,CHAR(252),CHAR(251))</f>
        <v>û</v>
      </c>
      <c r="L238" s="53" t="str">
        <f>IF(G238&gt;=CO_ATT_INPUTS!$C$327,CHAR(252),CHAR(251))</f>
        <v>û</v>
      </c>
      <c r="M238" s="53" t="str">
        <f>IF(H238&gt;=CO_ATT_INPUTS!$C$327,CHAR(252),CHAR(251))</f>
        <v>û</v>
      </c>
      <c r="N238" s="54" t="str">
        <f>IF(I238&gt;=CO_ATT_INPUTS!$C$327,CHAR(252),CHAR(251))</f>
        <v>û</v>
      </c>
    </row>
    <row r="239" spans="1:14" s="51" customFormat="1" ht="37.5" hidden="1" customHeight="1" x14ac:dyDescent="0.25">
      <c r="A239" s="52">
        <f>CO_ATT_INPUTS!A239</f>
        <v>221</v>
      </c>
      <c r="B239" s="18">
        <f>CO_ATT_INPUTS!B239</f>
        <v>0</v>
      </c>
      <c r="C239" s="19">
        <f>CO_ATT_INPUTS!C239</f>
        <v>0</v>
      </c>
      <c r="D239" s="91">
        <f>CO_ATT_INPUTS!D239</f>
        <v>0</v>
      </c>
      <c r="E239" s="19">
        <f>CO_ATT_INPUTS!AF239</f>
        <v>0</v>
      </c>
      <c r="F239" s="19">
        <f>CO_ATT_INPUTS!AG239</f>
        <v>0</v>
      </c>
      <c r="G239" s="19">
        <f>CO_ATT_INPUTS!AH239</f>
        <v>0</v>
      </c>
      <c r="H239" s="19">
        <f>CO_ATT_INPUTS!AI239</f>
        <v>0</v>
      </c>
      <c r="I239" s="19">
        <f>CO_ATT_INPUTS!AJ239</f>
        <v>0</v>
      </c>
      <c r="J239" s="53" t="str">
        <f>IF(E239&gt;=CO_ATT_INPUTS!$C$327,CHAR(252),CHAR(251))</f>
        <v>û</v>
      </c>
      <c r="K239" s="53" t="str">
        <f>IF(F239&gt;=CO_ATT_INPUTS!$C$327,CHAR(252),CHAR(251))</f>
        <v>û</v>
      </c>
      <c r="L239" s="53" t="str">
        <f>IF(G239&gt;=CO_ATT_INPUTS!$C$327,CHAR(252),CHAR(251))</f>
        <v>û</v>
      </c>
      <c r="M239" s="53" t="str">
        <f>IF(H239&gt;=CO_ATT_INPUTS!$C$327,CHAR(252),CHAR(251))</f>
        <v>û</v>
      </c>
      <c r="N239" s="54" t="str">
        <f>IF(I239&gt;=CO_ATT_INPUTS!$C$327,CHAR(252),CHAR(251))</f>
        <v>û</v>
      </c>
    </row>
    <row r="240" spans="1:14" s="51" customFormat="1" ht="37.5" hidden="1" customHeight="1" x14ac:dyDescent="0.25">
      <c r="A240" s="52">
        <f>CO_ATT_INPUTS!A240</f>
        <v>222</v>
      </c>
      <c r="B240" s="18">
        <f>CO_ATT_INPUTS!B240</f>
        <v>0</v>
      </c>
      <c r="C240" s="19">
        <f>CO_ATT_INPUTS!C240</f>
        <v>0</v>
      </c>
      <c r="D240" s="91">
        <f>CO_ATT_INPUTS!D240</f>
        <v>0</v>
      </c>
      <c r="E240" s="19">
        <f>CO_ATT_INPUTS!AF240</f>
        <v>0</v>
      </c>
      <c r="F240" s="19">
        <f>CO_ATT_INPUTS!AG240</f>
        <v>0</v>
      </c>
      <c r="G240" s="19">
        <f>CO_ATT_INPUTS!AH240</f>
        <v>0</v>
      </c>
      <c r="H240" s="19">
        <f>CO_ATT_INPUTS!AI240</f>
        <v>0</v>
      </c>
      <c r="I240" s="19">
        <f>CO_ATT_INPUTS!AJ240</f>
        <v>0</v>
      </c>
      <c r="J240" s="53" t="str">
        <f>IF(E240&gt;=CO_ATT_INPUTS!$C$327,CHAR(252),CHAR(251))</f>
        <v>û</v>
      </c>
      <c r="K240" s="53" t="str">
        <f>IF(F240&gt;=CO_ATT_INPUTS!$C$327,CHAR(252),CHAR(251))</f>
        <v>û</v>
      </c>
      <c r="L240" s="53" t="str">
        <f>IF(G240&gt;=CO_ATT_INPUTS!$C$327,CHAR(252),CHAR(251))</f>
        <v>û</v>
      </c>
      <c r="M240" s="53" t="str">
        <f>IF(H240&gt;=CO_ATT_INPUTS!$C$327,CHAR(252),CHAR(251))</f>
        <v>û</v>
      </c>
      <c r="N240" s="54" t="str">
        <f>IF(I240&gt;=CO_ATT_INPUTS!$C$327,CHAR(252),CHAR(251))</f>
        <v>û</v>
      </c>
    </row>
    <row r="241" spans="1:14" s="51" customFormat="1" ht="37.5" hidden="1" customHeight="1" x14ac:dyDescent="0.25">
      <c r="A241" s="52">
        <f>CO_ATT_INPUTS!A241</f>
        <v>223</v>
      </c>
      <c r="B241" s="18">
        <f>CO_ATT_INPUTS!B241</f>
        <v>0</v>
      </c>
      <c r="C241" s="19">
        <f>CO_ATT_INPUTS!C241</f>
        <v>0</v>
      </c>
      <c r="D241" s="91">
        <f>CO_ATT_INPUTS!D241</f>
        <v>0</v>
      </c>
      <c r="E241" s="19">
        <f>CO_ATT_INPUTS!AF241</f>
        <v>0</v>
      </c>
      <c r="F241" s="19">
        <f>CO_ATT_INPUTS!AG241</f>
        <v>0</v>
      </c>
      <c r="G241" s="19">
        <f>CO_ATT_INPUTS!AH241</f>
        <v>0</v>
      </c>
      <c r="H241" s="19">
        <f>CO_ATT_INPUTS!AI241</f>
        <v>0</v>
      </c>
      <c r="I241" s="19">
        <f>CO_ATT_INPUTS!AJ241</f>
        <v>0</v>
      </c>
      <c r="J241" s="53" t="str">
        <f>IF(E241&gt;=CO_ATT_INPUTS!$C$327,CHAR(252),CHAR(251))</f>
        <v>û</v>
      </c>
      <c r="K241" s="53" t="str">
        <f>IF(F241&gt;=CO_ATT_INPUTS!$C$327,CHAR(252),CHAR(251))</f>
        <v>û</v>
      </c>
      <c r="L241" s="53" t="str">
        <f>IF(G241&gt;=CO_ATT_INPUTS!$C$327,CHAR(252),CHAR(251))</f>
        <v>û</v>
      </c>
      <c r="M241" s="53" t="str">
        <f>IF(H241&gt;=CO_ATT_INPUTS!$C$327,CHAR(252),CHAR(251))</f>
        <v>û</v>
      </c>
      <c r="N241" s="54" t="str">
        <f>IF(I241&gt;=CO_ATT_INPUTS!$C$327,CHAR(252),CHAR(251))</f>
        <v>û</v>
      </c>
    </row>
    <row r="242" spans="1:14" s="51" customFormat="1" ht="37.5" hidden="1" customHeight="1" x14ac:dyDescent="0.25">
      <c r="A242" s="52">
        <f>CO_ATT_INPUTS!A242</f>
        <v>224</v>
      </c>
      <c r="B242" s="18">
        <f>CO_ATT_INPUTS!B242</f>
        <v>0</v>
      </c>
      <c r="C242" s="19">
        <f>CO_ATT_INPUTS!C242</f>
        <v>0</v>
      </c>
      <c r="D242" s="91">
        <f>CO_ATT_INPUTS!D242</f>
        <v>0</v>
      </c>
      <c r="E242" s="19">
        <f>CO_ATT_INPUTS!AF242</f>
        <v>0</v>
      </c>
      <c r="F242" s="19">
        <f>CO_ATT_INPUTS!AG242</f>
        <v>0</v>
      </c>
      <c r="G242" s="19">
        <f>CO_ATT_INPUTS!AH242</f>
        <v>0</v>
      </c>
      <c r="H242" s="19">
        <f>CO_ATT_INPUTS!AI242</f>
        <v>0</v>
      </c>
      <c r="I242" s="19">
        <f>CO_ATT_INPUTS!AJ242</f>
        <v>0</v>
      </c>
      <c r="J242" s="53" t="str">
        <f>IF(E242&gt;=CO_ATT_INPUTS!$C$327,CHAR(252),CHAR(251))</f>
        <v>û</v>
      </c>
      <c r="K242" s="53" t="str">
        <f>IF(F242&gt;=CO_ATT_INPUTS!$C$327,CHAR(252),CHAR(251))</f>
        <v>û</v>
      </c>
      <c r="L242" s="53" t="str">
        <f>IF(G242&gt;=CO_ATT_INPUTS!$C$327,CHAR(252),CHAR(251))</f>
        <v>û</v>
      </c>
      <c r="M242" s="53" t="str">
        <f>IF(H242&gt;=CO_ATT_INPUTS!$C$327,CHAR(252),CHAR(251))</f>
        <v>û</v>
      </c>
      <c r="N242" s="54" t="str">
        <f>IF(I242&gt;=CO_ATT_INPUTS!$C$327,CHAR(252),CHAR(251))</f>
        <v>û</v>
      </c>
    </row>
    <row r="243" spans="1:14" s="51" customFormat="1" ht="37.5" hidden="1" customHeight="1" x14ac:dyDescent="0.25">
      <c r="A243" s="52">
        <f>CO_ATT_INPUTS!A243</f>
        <v>225</v>
      </c>
      <c r="B243" s="18">
        <f>CO_ATT_INPUTS!B243</f>
        <v>0</v>
      </c>
      <c r="C243" s="19">
        <f>CO_ATT_INPUTS!C243</f>
        <v>0</v>
      </c>
      <c r="D243" s="91">
        <f>CO_ATT_INPUTS!D243</f>
        <v>0</v>
      </c>
      <c r="E243" s="19">
        <f>CO_ATT_INPUTS!AF243</f>
        <v>0</v>
      </c>
      <c r="F243" s="19">
        <f>CO_ATT_INPUTS!AG243</f>
        <v>0</v>
      </c>
      <c r="G243" s="19">
        <f>CO_ATT_INPUTS!AH243</f>
        <v>0</v>
      </c>
      <c r="H243" s="19">
        <f>CO_ATT_INPUTS!AI243</f>
        <v>0</v>
      </c>
      <c r="I243" s="19">
        <f>CO_ATT_INPUTS!AJ243</f>
        <v>0</v>
      </c>
      <c r="J243" s="53" t="str">
        <f>IF(E243&gt;=CO_ATT_INPUTS!$C$327,CHAR(252),CHAR(251))</f>
        <v>û</v>
      </c>
      <c r="K243" s="53" t="str">
        <f>IF(F243&gt;=CO_ATT_INPUTS!$C$327,CHAR(252),CHAR(251))</f>
        <v>û</v>
      </c>
      <c r="L243" s="53" t="str">
        <f>IF(G243&gt;=CO_ATT_INPUTS!$C$327,CHAR(252),CHAR(251))</f>
        <v>û</v>
      </c>
      <c r="M243" s="53" t="str">
        <f>IF(H243&gt;=CO_ATT_INPUTS!$C$327,CHAR(252),CHAR(251))</f>
        <v>û</v>
      </c>
      <c r="N243" s="54" t="str">
        <f>IF(I243&gt;=CO_ATT_INPUTS!$C$327,CHAR(252),CHAR(251))</f>
        <v>û</v>
      </c>
    </row>
    <row r="244" spans="1:14" s="51" customFormat="1" ht="37.5" hidden="1" customHeight="1" x14ac:dyDescent="0.25">
      <c r="A244" s="52">
        <f>CO_ATT_INPUTS!A244</f>
        <v>226</v>
      </c>
      <c r="B244" s="18">
        <f>CO_ATT_INPUTS!B244</f>
        <v>0</v>
      </c>
      <c r="C244" s="19">
        <f>CO_ATT_INPUTS!C244</f>
        <v>0</v>
      </c>
      <c r="D244" s="91">
        <f>CO_ATT_INPUTS!D244</f>
        <v>0</v>
      </c>
      <c r="E244" s="19">
        <f>CO_ATT_INPUTS!AF244</f>
        <v>0</v>
      </c>
      <c r="F244" s="19">
        <f>CO_ATT_INPUTS!AG244</f>
        <v>0</v>
      </c>
      <c r="G244" s="19">
        <f>CO_ATT_INPUTS!AH244</f>
        <v>0</v>
      </c>
      <c r="H244" s="19">
        <f>CO_ATT_INPUTS!AI244</f>
        <v>0</v>
      </c>
      <c r="I244" s="19">
        <f>CO_ATT_INPUTS!AJ244</f>
        <v>0</v>
      </c>
      <c r="J244" s="53" t="str">
        <f>IF(E244&gt;=CO_ATT_INPUTS!$C$327,CHAR(252),CHAR(251))</f>
        <v>û</v>
      </c>
      <c r="K244" s="53" t="str">
        <f>IF(F244&gt;=CO_ATT_INPUTS!$C$327,CHAR(252),CHAR(251))</f>
        <v>û</v>
      </c>
      <c r="L244" s="53" t="str">
        <f>IF(G244&gt;=CO_ATT_INPUTS!$C$327,CHAR(252),CHAR(251))</f>
        <v>û</v>
      </c>
      <c r="M244" s="53" t="str">
        <f>IF(H244&gt;=CO_ATT_INPUTS!$C$327,CHAR(252),CHAR(251))</f>
        <v>û</v>
      </c>
      <c r="N244" s="54" t="str">
        <f>IF(I244&gt;=CO_ATT_INPUTS!$C$327,CHAR(252),CHAR(251))</f>
        <v>û</v>
      </c>
    </row>
    <row r="245" spans="1:14" s="51" customFormat="1" ht="37.5" hidden="1" customHeight="1" x14ac:dyDescent="0.25">
      <c r="A245" s="52">
        <f>CO_ATT_INPUTS!A245</f>
        <v>227</v>
      </c>
      <c r="B245" s="18">
        <f>CO_ATT_INPUTS!B245</f>
        <v>0</v>
      </c>
      <c r="C245" s="19">
        <f>CO_ATT_INPUTS!C245</f>
        <v>0</v>
      </c>
      <c r="D245" s="91">
        <f>CO_ATT_INPUTS!D245</f>
        <v>0</v>
      </c>
      <c r="E245" s="19">
        <f>CO_ATT_INPUTS!AF245</f>
        <v>0</v>
      </c>
      <c r="F245" s="19">
        <f>CO_ATT_INPUTS!AG245</f>
        <v>0</v>
      </c>
      <c r="G245" s="19">
        <f>CO_ATT_INPUTS!AH245</f>
        <v>0</v>
      </c>
      <c r="H245" s="19">
        <f>CO_ATT_INPUTS!AI245</f>
        <v>0</v>
      </c>
      <c r="I245" s="19">
        <f>CO_ATT_INPUTS!AJ245</f>
        <v>0</v>
      </c>
      <c r="J245" s="53" t="str">
        <f>IF(E245&gt;=CO_ATT_INPUTS!$C$327,CHAR(252),CHAR(251))</f>
        <v>û</v>
      </c>
      <c r="K245" s="53" t="str">
        <f>IF(F245&gt;=CO_ATT_INPUTS!$C$327,CHAR(252),CHAR(251))</f>
        <v>û</v>
      </c>
      <c r="L245" s="53" t="str">
        <f>IF(G245&gt;=CO_ATT_INPUTS!$C$327,CHAR(252),CHAR(251))</f>
        <v>û</v>
      </c>
      <c r="M245" s="53" t="str">
        <f>IF(H245&gt;=CO_ATT_INPUTS!$C$327,CHAR(252),CHAR(251))</f>
        <v>û</v>
      </c>
      <c r="N245" s="54" t="str">
        <f>IF(I245&gt;=CO_ATT_INPUTS!$C$327,CHAR(252),CHAR(251))</f>
        <v>û</v>
      </c>
    </row>
    <row r="246" spans="1:14" s="51" customFormat="1" ht="37.5" hidden="1" customHeight="1" x14ac:dyDescent="0.25">
      <c r="A246" s="52">
        <f>CO_ATT_INPUTS!A246</f>
        <v>228</v>
      </c>
      <c r="B246" s="18">
        <f>CO_ATT_INPUTS!B246</f>
        <v>0</v>
      </c>
      <c r="C246" s="19">
        <f>CO_ATT_INPUTS!C246</f>
        <v>0</v>
      </c>
      <c r="D246" s="91">
        <f>CO_ATT_INPUTS!D246</f>
        <v>0</v>
      </c>
      <c r="E246" s="19">
        <f>CO_ATT_INPUTS!AF246</f>
        <v>0</v>
      </c>
      <c r="F246" s="19">
        <f>CO_ATT_INPUTS!AG246</f>
        <v>0</v>
      </c>
      <c r="G246" s="19">
        <f>CO_ATT_INPUTS!AH246</f>
        <v>0</v>
      </c>
      <c r="H246" s="19">
        <f>CO_ATT_INPUTS!AI246</f>
        <v>0</v>
      </c>
      <c r="I246" s="19">
        <f>CO_ATT_INPUTS!AJ246</f>
        <v>0</v>
      </c>
      <c r="J246" s="53" t="str">
        <f>IF(E246&gt;=CO_ATT_INPUTS!$C$327,CHAR(252),CHAR(251))</f>
        <v>û</v>
      </c>
      <c r="K246" s="53" t="str">
        <f>IF(F246&gt;=CO_ATT_INPUTS!$C$327,CHAR(252),CHAR(251))</f>
        <v>û</v>
      </c>
      <c r="L246" s="53" t="str">
        <f>IF(G246&gt;=CO_ATT_INPUTS!$C$327,CHAR(252),CHAR(251))</f>
        <v>û</v>
      </c>
      <c r="M246" s="53" t="str">
        <f>IF(H246&gt;=CO_ATT_INPUTS!$C$327,CHAR(252),CHAR(251))</f>
        <v>û</v>
      </c>
      <c r="N246" s="54" t="str">
        <f>IF(I246&gt;=CO_ATT_INPUTS!$C$327,CHAR(252),CHAR(251))</f>
        <v>û</v>
      </c>
    </row>
    <row r="247" spans="1:14" s="51" customFormat="1" ht="37.5" hidden="1" customHeight="1" x14ac:dyDescent="0.25">
      <c r="A247" s="52">
        <f>CO_ATT_INPUTS!A247</f>
        <v>229</v>
      </c>
      <c r="B247" s="18">
        <f>CO_ATT_INPUTS!B247</f>
        <v>0</v>
      </c>
      <c r="C247" s="19">
        <f>CO_ATT_INPUTS!C247</f>
        <v>0</v>
      </c>
      <c r="D247" s="91">
        <f>CO_ATT_INPUTS!D247</f>
        <v>0</v>
      </c>
      <c r="E247" s="19">
        <f>CO_ATT_INPUTS!AF247</f>
        <v>0</v>
      </c>
      <c r="F247" s="19">
        <f>CO_ATT_INPUTS!AG247</f>
        <v>0</v>
      </c>
      <c r="G247" s="19">
        <f>CO_ATT_INPUTS!AH247</f>
        <v>0</v>
      </c>
      <c r="H247" s="19">
        <f>CO_ATT_INPUTS!AI247</f>
        <v>0</v>
      </c>
      <c r="I247" s="19">
        <f>CO_ATT_INPUTS!AJ247</f>
        <v>0</v>
      </c>
      <c r="J247" s="53" t="str">
        <f>IF(E247&gt;=CO_ATT_INPUTS!$C$327,CHAR(252),CHAR(251))</f>
        <v>û</v>
      </c>
      <c r="K247" s="53" t="str">
        <f>IF(F247&gt;=CO_ATT_INPUTS!$C$327,CHAR(252),CHAR(251))</f>
        <v>û</v>
      </c>
      <c r="L247" s="53" t="str">
        <f>IF(G247&gt;=CO_ATT_INPUTS!$C$327,CHAR(252),CHAR(251))</f>
        <v>û</v>
      </c>
      <c r="M247" s="53" t="str">
        <f>IF(H247&gt;=CO_ATT_INPUTS!$C$327,CHAR(252),CHAR(251))</f>
        <v>û</v>
      </c>
      <c r="N247" s="54" t="str">
        <f>IF(I247&gt;=CO_ATT_INPUTS!$C$327,CHAR(252),CHAR(251))</f>
        <v>û</v>
      </c>
    </row>
    <row r="248" spans="1:14" s="51" customFormat="1" ht="37.5" hidden="1" customHeight="1" x14ac:dyDescent="0.25">
      <c r="A248" s="52">
        <f>CO_ATT_INPUTS!A248</f>
        <v>230</v>
      </c>
      <c r="B248" s="18">
        <f>CO_ATT_INPUTS!B248</f>
        <v>0</v>
      </c>
      <c r="C248" s="19">
        <f>CO_ATT_INPUTS!C248</f>
        <v>0</v>
      </c>
      <c r="D248" s="91">
        <f>CO_ATT_INPUTS!D248</f>
        <v>0</v>
      </c>
      <c r="E248" s="19">
        <f>CO_ATT_INPUTS!AF248</f>
        <v>0</v>
      </c>
      <c r="F248" s="19">
        <f>CO_ATT_INPUTS!AG248</f>
        <v>0</v>
      </c>
      <c r="G248" s="19">
        <f>CO_ATT_INPUTS!AH248</f>
        <v>0</v>
      </c>
      <c r="H248" s="19">
        <f>CO_ATT_INPUTS!AI248</f>
        <v>0</v>
      </c>
      <c r="I248" s="19">
        <f>CO_ATT_INPUTS!AJ248</f>
        <v>0</v>
      </c>
      <c r="J248" s="53" t="str">
        <f>IF(E248&gt;=CO_ATT_INPUTS!$C$327,CHAR(252),CHAR(251))</f>
        <v>û</v>
      </c>
      <c r="K248" s="53" t="str">
        <f>IF(F248&gt;=CO_ATT_INPUTS!$C$327,CHAR(252),CHAR(251))</f>
        <v>û</v>
      </c>
      <c r="L248" s="53" t="str">
        <f>IF(G248&gt;=CO_ATT_INPUTS!$C$327,CHAR(252),CHAR(251))</f>
        <v>û</v>
      </c>
      <c r="M248" s="53" t="str">
        <f>IF(H248&gt;=CO_ATT_INPUTS!$C$327,CHAR(252),CHAR(251))</f>
        <v>û</v>
      </c>
      <c r="N248" s="54" t="str">
        <f>IF(I248&gt;=CO_ATT_INPUTS!$C$327,CHAR(252),CHAR(251))</f>
        <v>û</v>
      </c>
    </row>
    <row r="249" spans="1:14" s="51" customFormat="1" ht="37.5" hidden="1" customHeight="1" x14ac:dyDescent="0.25">
      <c r="A249" s="52">
        <f>CO_ATT_INPUTS!A249</f>
        <v>231</v>
      </c>
      <c r="B249" s="18">
        <f>CO_ATT_INPUTS!B249</f>
        <v>0</v>
      </c>
      <c r="C249" s="19">
        <f>CO_ATT_INPUTS!C249</f>
        <v>0</v>
      </c>
      <c r="D249" s="91">
        <f>CO_ATT_INPUTS!D249</f>
        <v>0</v>
      </c>
      <c r="E249" s="19">
        <f>CO_ATT_INPUTS!AF249</f>
        <v>0</v>
      </c>
      <c r="F249" s="19">
        <f>CO_ATT_INPUTS!AG249</f>
        <v>0</v>
      </c>
      <c r="G249" s="19">
        <f>CO_ATT_INPUTS!AH249</f>
        <v>0</v>
      </c>
      <c r="H249" s="19">
        <f>CO_ATT_INPUTS!AI249</f>
        <v>0</v>
      </c>
      <c r="I249" s="19">
        <f>CO_ATT_INPUTS!AJ249</f>
        <v>0</v>
      </c>
      <c r="J249" s="53" t="str">
        <f>IF(E249&gt;=CO_ATT_INPUTS!$C$327,CHAR(252),CHAR(251))</f>
        <v>û</v>
      </c>
      <c r="K249" s="53" t="str">
        <f>IF(F249&gt;=CO_ATT_INPUTS!$C$327,CHAR(252),CHAR(251))</f>
        <v>û</v>
      </c>
      <c r="L249" s="53" t="str">
        <f>IF(G249&gt;=CO_ATT_INPUTS!$C$327,CHAR(252),CHAR(251))</f>
        <v>û</v>
      </c>
      <c r="M249" s="53" t="str">
        <f>IF(H249&gt;=CO_ATT_INPUTS!$C$327,CHAR(252),CHAR(251))</f>
        <v>û</v>
      </c>
      <c r="N249" s="54" t="str">
        <f>IF(I249&gt;=CO_ATT_INPUTS!$C$327,CHAR(252),CHAR(251))</f>
        <v>û</v>
      </c>
    </row>
    <row r="250" spans="1:14" s="51" customFormat="1" ht="37.5" hidden="1" customHeight="1" x14ac:dyDescent="0.25">
      <c r="A250" s="52">
        <f>CO_ATT_INPUTS!A250</f>
        <v>232</v>
      </c>
      <c r="B250" s="18">
        <f>CO_ATT_INPUTS!B250</f>
        <v>0</v>
      </c>
      <c r="C250" s="19">
        <f>CO_ATT_INPUTS!C250</f>
        <v>0</v>
      </c>
      <c r="D250" s="91">
        <f>CO_ATT_INPUTS!D250</f>
        <v>0</v>
      </c>
      <c r="E250" s="19">
        <f>CO_ATT_INPUTS!AF250</f>
        <v>0</v>
      </c>
      <c r="F250" s="19">
        <f>CO_ATT_INPUTS!AG250</f>
        <v>0</v>
      </c>
      <c r="G250" s="19">
        <f>CO_ATT_INPUTS!AH250</f>
        <v>0</v>
      </c>
      <c r="H250" s="19">
        <f>CO_ATT_INPUTS!AI250</f>
        <v>0</v>
      </c>
      <c r="I250" s="19">
        <f>CO_ATT_INPUTS!AJ250</f>
        <v>0</v>
      </c>
      <c r="J250" s="53" t="str">
        <f>IF(E250&gt;=CO_ATT_INPUTS!$C$327,CHAR(252),CHAR(251))</f>
        <v>û</v>
      </c>
      <c r="K250" s="53" t="str">
        <f>IF(F250&gt;=CO_ATT_INPUTS!$C$327,CHAR(252),CHAR(251))</f>
        <v>û</v>
      </c>
      <c r="L250" s="53" t="str">
        <f>IF(G250&gt;=CO_ATT_INPUTS!$C$327,CHAR(252),CHAR(251))</f>
        <v>û</v>
      </c>
      <c r="M250" s="53" t="str">
        <f>IF(H250&gt;=CO_ATT_INPUTS!$C$327,CHAR(252),CHAR(251))</f>
        <v>û</v>
      </c>
      <c r="N250" s="54" t="str">
        <f>IF(I250&gt;=CO_ATT_INPUTS!$C$327,CHAR(252),CHAR(251))</f>
        <v>û</v>
      </c>
    </row>
    <row r="251" spans="1:14" s="51" customFormat="1" ht="37.5" hidden="1" customHeight="1" x14ac:dyDescent="0.25">
      <c r="A251" s="52">
        <f>CO_ATT_INPUTS!A251</f>
        <v>233</v>
      </c>
      <c r="B251" s="18">
        <f>CO_ATT_INPUTS!B251</f>
        <v>0</v>
      </c>
      <c r="C251" s="19">
        <f>CO_ATT_INPUTS!C251</f>
        <v>0</v>
      </c>
      <c r="D251" s="91">
        <f>CO_ATT_INPUTS!D251</f>
        <v>0</v>
      </c>
      <c r="E251" s="19">
        <f>CO_ATT_INPUTS!AF251</f>
        <v>0</v>
      </c>
      <c r="F251" s="19">
        <f>CO_ATT_INPUTS!AG251</f>
        <v>0</v>
      </c>
      <c r="G251" s="19">
        <f>CO_ATT_INPUTS!AH251</f>
        <v>0</v>
      </c>
      <c r="H251" s="19">
        <f>CO_ATT_INPUTS!AI251</f>
        <v>0</v>
      </c>
      <c r="I251" s="19">
        <f>CO_ATT_INPUTS!AJ251</f>
        <v>0</v>
      </c>
      <c r="J251" s="53" t="str">
        <f>IF(E251&gt;=CO_ATT_INPUTS!$C$327,CHAR(252),CHAR(251))</f>
        <v>û</v>
      </c>
      <c r="K251" s="53" t="str">
        <f>IF(F251&gt;=CO_ATT_INPUTS!$C$327,CHAR(252),CHAR(251))</f>
        <v>û</v>
      </c>
      <c r="L251" s="53" t="str">
        <f>IF(G251&gt;=CO_ATT_INPUTS!$C$327,CHAR(252),CHAR(251))</f>
        <v>û</v>
      </c>
      <c r="M251" s="53" t="str">
        <f>IF(H251&gt;=CO_ATT_INPUTS!$C$327,CHAR(252),CHAR(251))</f>
        <v>û</v>
      </c>
      <c r="N251" s="54" t="str">
        <f>IF(I251&gt;=CO_ATT_INPUTS!$C$327,CHAR(252),CHAR(251))</f>
        <v>û</v>
      </c>
    </row>
    <row r="252" spans="1:14" s="51" customFormat="1" ht="37.5" hidden="1" customHeight="1" x14ac:dyDescent="0.25">
      <c r="A252" s="52">
        <f>CO_ATT_INPUTS!A252</f>
        <v>234</v>
      </c>
      <c r="B252" s="18">
        <f>CO_ATT_INPUTS!B252</f>
        <v>0</v>
      </c>
      <c r="C252" s="19">
        <f>CO_ATT_INPUTS!C252</f>
        <v>0</v>
      </c>
      <c r="D252" s="91">
        <f>CO_ATT_INPUTS!D252</f>
        <v>0</v>
      </c>
      <c r="E252" s="19">
        <f>CO_ATT_INPUTS!AF252</f>
        <v>0</v>
      </c>
      <c r="F252" s="19">
        <f>CO_ATT_INPUTS!AG252</f>
        <v>0</v>
      </c>
      <c r="G252" s="19">
        <f>CO_ATT_INPUTS!AH252</f>
        <v>0</v>
      </c>
      <c r="H252" s="19">
        <f>CO_ATT_INPUTS!AI252</f>
        <v>0</v>
      </c>
      <c r="I252" s="19">
        <f>CO_ATT_INPUTS!AJ252</f>
        <v>0</v>
      </c>
      <c r="J252" s="53" t="str">
        <f>IF(E252&gt;=CO_ATT_INPUTS!$C$327,CHAR(252),CHAR(251))</f>
        <v>û</v>
      </c>
      <c r="K252" s="53" t="str">
        <f>IF(F252&gt;=CO_ATT_INPUTS!$C$327,CHAR(252),CHAR(251))</f>
        <v>û</v>
      </c>
      <c r="L252" s="53" t="str">
        <f>IF(G252&gt;=CO_ATT_INPUTS!$C$327,CHAR(252),CHAR(251))</f>
        <v>û</v>
      </c>
      <c r="M252" s="53" t="str">
        <f>IF(H252&gt;=CO_ATT_INPUTS!$C$327,CHAR(252),CHAR(251))</f>
        <v>û</v>
      </c>
      <c r="N252" s="54" t="str">
        <f>IF(I252&gt;=CO_ATT_INPUTS!$C$327,CHAR(252),CHAR(251))</f>
        <v>û</v>
      </c>
    </row>
    <row r="253" spans="1:14" s="51" customFormat="1" ht="37.5" hidden="1" customHeight="1" x14ac:dyDescent="0.25">
      <c r="A253" s="52">
        <f>CO_ATT_INPUTS!A253</f>
        <v>235</v>
      </c>
      <c r="B253" s="18">
        <f>CO_ATT_INPUTS!B253</f>
        <v>0</v>
      </c>
      <c r="C253" s="19">
        <f>CO_ATT_INPUTS!C253</f>
        <v>0</v>
      </c>
      <c r="D253" s="91">
        <f>CO_ATT_INPUTS!D253</f>
        <v>0</v>
      </c>
      <c r="E253" s="19">
        <f>CO_ATT_INPUTS!AF253</f>
        <v>0</v>
      </c>
      <c r="F253" s="19">
        <f>CO_ATT_INPUTS!AG253</f>
        <v>0</v>
      </c>
      <c r="G253" s="19">
        <f>CO_ATT_INPUTS!AH253</f>
        <v>0</v>
      </c>
      <c r="H253" s="19">
        <f>CO_ATT_INPUTS!AI253</f>
        <v>0</v>
      </c>
      <c r="I253" s="19">
        <f>CO_ATT_INPUTS!AJ253</f>
        <v>0</v>
      </c>
      <c r="J253" s="53" t="str">
        <f>IF(E253&gt;=CO_ATT_INPUTS!$C$327,CHAR(252),CHAR(251))</f>
        <v>û</v>
      </c>
      <c r="K253" s="53" t="str">
        <f>IF(F253&gt;=CO_ATT_INPUTS!$C$327,CHAR(252),CHAR(251))</f>
        <v>û</v>
      </c>
      <c r="L253" s="53" t="str">
        <f>IF(G253&gt;=CO_ATT_INPUTS!$C$327,CHAR(252),CHAR(251))</f>
        <v>û</v>
      </c>
      <c r="M253" s="53" t="str">
        <f>IF(H253&gt;=CO_ATT_INPUTS!$C$327,CHAR(252),CHAR(251))</f>
        <v>û</v>
      </c>
      <c r="N253" s="54" t="str">
        <f>IF(I253&gt;=CO_ATT_INPUTS!$C$327,CHAR(252),CHAR(251))</f>
        <v>û</v>
      </c>
    </row>
    <row r="254" spans="1:14" s="51" customFormat="1" ht="37.5" hidden="1" customHeight="1" x14ac:dyDescent="0.25">
      <c r="A254" s="52">
        <f>CO_ATT_INPUTS!A254</f>
        <v>236</v>
      </c>
      <c r="B254" s="18">
        <f>CO_ATT_INPUTS!B254</f>
        <v>0</v>
      </c>
      <c r="C254" s="19">
        <f>CO_ATT_INPUTS!C254</f>
        <v>0</v>
      </c>
      <c r="D254" s="91">
        <f>CO_ATT_INPUTS!D254</f>
        <v>0</v>
      </c>
      <c r="E254" s="19">
        <f>CO_ATT_INPUTS!AF254</f>
        <v>0</v>
      </c>
      <c r="F254" s="19">
        <f>CO_ATT_INPUTS!AG254</f>
        <v>0</v>
      </c>
      <c r="G254" s="19">
        <f>CO_ATT_INPUTS!AH254</f>
        <v>0</v>
      </c>
      <c r="H254" s="19">
        <f>CO_ATT_INPUTS!AI254</f>
        <v>0</v>
      </c>
      <c r="I254" s="19">
        <f>CO_ATT_INPUTS!AJ254</f>
        <v>0</v>
      </c>
      <c r="J254" s="53" t="str">
        <f>IF(E254&gt;=CO_ATT_INPUTS!$C$327,CHAR(252),CHAR(251))</f>
        <v>û</v>
      </c>
      <c r="K254" s="53" t="str">
        <f>IF(F254&gt;=CO_ATT_INPUTS!$C$327,CHAR(252),CHAR(251))</f>
        <v>û</v>
      </c>
      <c r="L254" s="53" t="str">
        <f>IF(G254&gt;=CO_ATT_INPUTS!$C$327,CHAR(252),CHAR(251))</f>
        <v>û</v>
      </c>
      <c r="M254" s="53" t="str">
        <f>IF(H254&gt;=CO_ATT_INPUTS!$C$327,CHAR(252),CHAR(251))</f>
        <v>û</v>
      </c>
      <c r="N254" s="54" t="str">
        <f>IF(I254&gt;=CO_ATT_INPUTS!$C$327,CHAR(252),CHAR(251))</f>
        <v>û</v>
      </c>
    </row>
    <row r="255" spans="1:14" s="51" customFormat="1" ht="37.5" hidden="1" customHeight="1" x14ac:dyDescent="0.25">
      <c r="A255" s="52">
        <f>CO_ATT_INPUTS!A255</f>
        <v>237</v>
      </c>
      <c r="B255" s="18">
        <f>CO_ATT_INPUTS!B255</f>
        <v>0</v>
      </c>
      <c r="C255" s="19">
        <f>CO_ATT_INPUTS!C255</f>
        <v>0</v>
      </c>
      <c r="D255" s="91">
        <f>CO_ATT_INPUTS!D255</f>
        <v>0</v>
      </c>
      <c r="E255" s="19">
        <f>CO_ATT_INPUTS!AF255</f>
        <v>0</v>
      </c>
      <c r="F255" s="19">
        <f>CO_ATT_INPUTS!AG255</f>
        <v>0</v>
      </c>
      <c r="G255" s="19">
        <f>CO_ATT_INPUTS!AH255</f>
        <v>0</v>
      </c>
      <c r="H255" s="19">
        <f>CO_ATT_INPUTS!AI255</f>
        <v>0</v>
      </c>
      <c r="I255" s="19">
        <f>CO_ATT_INPUTS!AJ255</f>
        <v>0</v>
      </c>
      <c r="J255" s="53" t="str">
        <f>IF(E255&gt;=CO_ATT_INPUTS!$C$327,CHAR(252),CHAR(251))</f>
        <v>û</v>
      </c>
      <c r="K255" s="53" t="str">
        <f>IF(F255&gt;=CO_ATT_INPUTS!$C$327,CHAR(252),CHAR(251))</f>
        <v>û</v>
      </c>
      <c r="L255" s="53" t="str">
        <f>IF(G255&gt;=CO_ATT_INPUTS!$C$327,CHAR(252),CHAR(251))</f>
        <v>û</v>
      </c>
      <c r="M255" s="53" t="str">
        <f>IF(H255&gt;=CO_ATT_INPUTS!$C$327,CHAR(252),CHAR(251))</f>
        <v>û</v>
      </c>
      <c r="N255" s="54" t="str">
        <f>IF(I255&gt;=CO_ATT_INPUTS!$C$327,CHAR(252),CHAR(251))</f>
        <v>û</v>
      </c>
    </row>
    <row r="256" spans="1:14" s="51" customFormat="1" ht="37.5" hidden="1" customHeight="1" x14ac:dyDescent="0.25">
      <c r="A256" s="52">
        <f>CO_ATT_INPUTS!A256</f>
        <v>238</v>
      </c>
      <c r="B256" s="18">
        <f>CO_ATT_INPUTS!B256</f>
        <v>0</v>
      </c>
      <c r="C256" s="19">
        <f>CO_ATT_INPUTS!C256</f>
        <v>0</v>
      </c>
      <c r="D256" s="91">
        <f>CO_ATT_INPUTS!D256</f>
        <v>0</v>
      </c>
      <c r="E256" s="19">
        <f>CO_ATT_INPUTS!AF256</f>
        <v>0</v>
      </c>
      <c r="F256" s="19">
        <f>CO_ATT_INPUTS!AG256</f>
        <v>0</v>
      </c>
      <c r="G256" s="19">
        <f>CO_ATT_INPUTS!AH256</f>
        <v>0</v>
      </c>
      <c r="H256" s="19">
        <f>CO_ATT_INPUTS!AI256</f>
        <v>0</v>
      </c>
      <c r="I256" s="19">
        <f>CO_ATT_INPUTS!AJ256</f>
        <v>0</v>
      </c>
      <c r="J256" s="53" t="str">
        <f>IF(E256&gt;=CO_ATT_INPUTS!$C$327,CHAR(252),CHAR(251))</f>
        <v>û</v>
      </c>
      <c r="K256" s="53" t="str">
        <f>IF(F256&gt;=CO_ATT_INPUTS!$C$327,CHAR(252),CHAR(251))</f>
        <v>û</v>
      </c>
      <c r="L256" s="53" t="str">
        <f>IF(G256&gt;=CO_ATT_INPUTS!$C$327,CHAR(252),CHAR(251))</f>
        <v>û</v>
      </c>
      <c r="M256" s="53" t="str">
        <f>IF(H256&gt;=CO_ATT_INPUTS!$C$327,CHAR(252),CHAR(251))</f>
        <v>û</v>
      </c>
      <c r="N256" s="54" t="str">
        <f>IF(I256&gt;=CO_ATT_INPUTS!$C$327,CHAR(252),CHAR(251))</f>
        <v>û</v>
      </c>
    </row>
    <row r="257" spans="1:14" s="51" customFormat="1" ht="37.5" hidden="1" customHeight="1" x14ac:dyDescent="0.25">
      <c r="A257" s="52">
        <f>CO_ATT_INPUTS!A257</f>
        <v>239</v>
      </c>
      <c r="B257" s="18">
        <f>CO_ATT_INPUTS!B257</f>
        <v>0</v>
      </c>
      <c r="C257" s="19">
        <f>CO_ATT_INPUTS!C257</f>
        <v>0</v>
      </c>
      <c r="D257" s="91">
        <f>CO_ATT_INPUTS!D257</f>
        <v>0</v>
      </c>
      <c r="E257" s="19">
        <f>CO_ATT_INPUTS!AF257</f>
        <v>0</v>
      </c>
      <c r="F257" s="19">
        <f>CO_ATT_INPUTS!AG257</f>
        <v>0</v>
      </c>
      <c r="G257" s="19">
        <f>CO_ATT_INPUTS!AH257</f>
        <v>0</v>
      </c>
      <c r="H257" s="19">
        <f>CO_ATT_INPUTS!AI257</f>
        <v>0</v>
      </c>
      <c r="I257" s="19">
        <f>CO_ATT_INPUTS!AJ257</f>
        <v>0</v>
      </c>
      <c r="J257" s="53" t="str">
        <f>IF(E257&gt;=CO_ATT_INPUTS!$C$327,CHAR(252),CHAR(251))</f>
        <v>û</v>
      </c>
      <c r="K257" s="53" t="str">
        <f>IF(F257&gt;=CO_ATT_INPUTS!$C$327,CHAR(252),CHAR(251))</f>
        <v>û</v>
      </c>
      <c r="L257" s="53" t="str">
        <f>IF(G257&gt;=CO_ATT_INPUTS!$C$327,CHAR(252),CHAR(251))</f>
        <v>û</v>
      </c>
      <c r="M257" s="53" t="str">
        <f>IF(H257&gt;=CO_ATT_INPUTS!$C$327,CHAR(252),CHAR(251))</f>
        <v>û</v>
      </c>
      <c r="N257" s="54" t="str">
        <f>IF(I257&gt;=CO_ATT_INPUTS!$C$327,CHAR(252),CHAR(251))</f>
        <v>û</v>
      </c>
    </row>
    <row r="258" spans="1:14" s="51" customFormat="1" ht="37.5" hidden="1" customHeight="1" x14ac:dyDescent="0.25">
      <c r="A258" s="52">
        <f>CO_ATT_INPUTS!A258</f>
        <v>240</v>
      </c>
      <c r="B258" s="18">
        <f>CO_ATT_INPUTS!B258</f>
        <v>0</v>
      </c>
      <c r="C258" s="19">
        <f>CO_ATT_INPUTS!C258</f>
        <v>0</v>
      </c>
      <c r="D258" s="91">
        <f>CO_ATT_INPUTS!D258</f>
        <v>0</v>
      </c>
      <c r="E258" s="19">
        <f>CO_ATT_INPUTS!AF258</f>
        <v>0</v>
      </c>
      <c r="F258" s="19">
        <f>CO_ATT_INPUTS!AG258</f>
        <v>0</v>
      </c>
      <c r="G258" s="19">
        <f>CO_ATT_INPUTS!AH258</f>
        <v>0</v>
      </c>
      <c r="H258" s="19">
        <f>CO_ATT_INPUTS!AI258</f>
        <v>0</v>
      </c>
      <c r="I258" s="19">
        <f>CO_ATT_INPUTS!AJ258</f>
        <v>0</v>
      </c>
      <c r="J258" s="53" t="str">
        <f>IF(E258&gt;=CO_ATT_INPUTS!$C$327,CHAR(252),CHAR(251))</f>
        <v>û</v>
      </c>
      <c r="K258" s="53" t="str">
        <f>IF(F258&gt;=CO_ATT_INPUTS!$C$327,CHAR(252),CHAR(251))</f>
        <v>û</v>
      </c>
      <c r="L258" s="53" t="str">
        <f>IF(G258&gt;=CO_ATT_INPUTS!$C$327,CHAR(252),CHAR(251))</f>
        <v>û</v>
      </c>
      <c r="M258" s="53" t="str">
        <f>IF(H258&gt;=CO_ATT_INPUTS!$C$327,CHAR(252),CHAR(251))</f>
        <v>û</v>
      </c>
      <c r="N258" s="54" t="str">
        <f>IF(I258&gt;=CO_ATT_INPUTS!$C$327,CHAR(252),CHAR(251))</f>
        <v>û</v>
      </c>
    </row>
    <row r="259" spans="1:14" s="51" customFormat="1" ht="37.5" hidden="1" customHeight="1" x14ac:dyDescent="0.25">
      <c r="A259" s="52">
        <f>CO_ATT_INPUTS!A259</f>
        <v>241</v>
      </c>
      <c r="B259" s="18">
        <f>CO_ATT_INPUTS!B259</f>
        <v>0</v>
      </c>
      <c r="C259" s="19">
        <f>CO_ATT_INPUTS!C259</f>
        <v>0</v>
      </c>
      <c r="D259" s="91">
        <f>CO_ATT_INPUTS!D259</f>
        <v>0</v>
      </c>
      <c r="E259" s="19">
        <f>CO_ATT_INPUTS!AF259</f>
        <v>0</v>
      </c>
      <c r="F259" s="19">
        <f>CO_ATT_INPUTS!AG259</f>
        <v>0</v>
      </c>
      <c r="G259" s="19">
        <f>CO_ATT_INPUTS!AH259</f>
        <v>0</v>
      </c>
      <c r="H259" s="19">
        <f>CO_ATT_INPUTS!AI259</f>
        <v>0</v>
      </c>
      <c r="I259" s="19">
        <f>CO_ATT_INPUTS!AJ259</f>
        <v>0</v>
      </c>
      <c r="J259" s="53" t="str">
        <f>IF(E259&gt;=CO_ATT_INPUTS!$C$327,CHAR(252),CHAR(251))</f>
        <v>û</v>
      </c>
      <c r="K259" s="53" t="str">
        <f>IF(F259&gt;=CO_ATT_INPUTS!$C$327,CHAR(252),CHAR(251))</f>
        <v>û</v>
      </c>
      <c r="L259" s="53" t="str">
        <f>IF(G259&gt;=CO_ATT_INPUTS!$C$327,CHAR(252),CHAR(251))</f>
        <v>û</v>
      </c>
      <c r="M259" s="53" t="str">
        <f>IF(H259&gt;=CO_ATT_INPUTS!$C$327,CHAR(252),CHAR(251))</f>
        <v>û</v>
      </c>
      <c r="N259" s="54" t="str">
        <f>IF(I259&gt;=CO_ATT_INPUTS!$C$327,CHAR(252),CHAR(251))</f>
        <v>û</v>
      </c>
    </row>
    <row r="260" spans="1:14" s="51" customFormat="1" ht="37.5" hidden="1" customHeight="1" x14ac:dyDescent="0.25">
      <c r="A260" s="52">
        <f>CO_ATT_INPUTS!A260</f>
        <v>242</v>
      </c>
      <c r="B260" s="18">
        <f>CO_ATT_INPUTS!B260</f>
        <v>0</v>
      </c>
      <c r="C260" s="19">
        <f>CO_ATT_INPUTS!C260</f>
        <v>0</v>
      </c>
      <c r="D260" s="91">
        <f>CO_ATT_INPUTS!D260</f>
        <v>0</v>
      </c>
      <c r="E260" s="19">
        <f>CO_ATT_INPUTS!AF260</f>
        <v>0</v>
      </c>
      <c r="F260" s="19">
        <f>CO_ATT_INPUTS!AG260</f>
        <v>0</v>
      </c>
      <c r="G260" s="19">
        <f>CO_ATT_INPUTS!AH260</f>
        <v>0</v>
      </c>
      <c r="H260" s="19">
        <f>CO_ATT_INPUTS!AI260</f>
        <v>0</v>
      </c>
      <c r="I260" s="19">
        <f>CO_ATT_INPUTS!AJ260</f>
        <v>0</v>
      </c>
      <c r="J260" s="53" t="str">
        <f>IF(E260&gt;=CO_ATT_INPUTS!$C$327,CHAR(252),CHAR(251))</f>
        <v>û</v>
      </c>
      <c r="K260" s="53" t="str">
        <f>IF(F260&gt;=CO_ATT_INPUTS!$C$327,CHAR(252),CHAR(251))</f>
        <v>û</v>
      </c>
      <c r="L260" s="53" t="str">
        <f>IF(G260&gt;=CO_ATT_INPUTS!$C$327,CHAR(252),CHAR(251))</f>
        <v>û</v>
      </c>
      <c r="M260" s="53" t="str">
        <f>IF(H260&gt;=CO_ATT_INPUTS!$C$327,CHAR(252),CHAR(251))</f>
        <v>û</v>
      </c>
      <c r="N260" s="54" t="str">
        <f>IF(I260&gt;=CO_ATT_INPUTS!$C$327,CHAR(252),CHAR(251))</f>
        <v>û</v>
      </c>
    </row>
    <row r="261" spans="1:14" s="51" customFormat="1" ht="37.5" hidden="1" customHeight="1" x14ac:dyDescent="0.25">
      <c r="A261" s="52">
        <f>CO_ATT_INPUTS!A261</f>
        <v>243</v>
      </c>
      <c r="B261" s="18">
        <f>CO_ATT_INPUTS!B261</f>
        <v>0</v>
      </c>
      <c r="C261" s="19">
        <f>CO_ATT_INPUTS!C261</f>
        <v>0</v>
      </c>
      <c r="D261" s="91">
        <f>CO_ATT_INPUTS!D261</f>
        <v>0</v>
      </c>
      <c r="E261" s="19">
        <f>CO_ATT_INPUTS!AF261</f>
        <v>0</v>
      </c>
      <c r="F261" s="19">
        <f>CO_ATT_INPUTS!AG261</f>
        <v>0</v>
      </c>
      <c r="G261" s="19">
        <f>CO_ATT_INPUTS!AH261</f>
        <v>0</v>
      </c>
      <c r="H261" s="19">
        <f>CO_ATT_INPUTS!AI261</f>
        <v>0</v>
      </c>
      <c r="I261" s="19">
        <f>CO_ATT_INPUTS!AJ261</f>
        <v>0</v>
      </c>
      <c r="J261" s="53" t="str">
        <f>IF(E261&gt;=CO_ATT_INPUTS!$C$327,CHAR(252),CHAR(251))</f>
        <v>û</v>
      </c>
      <c r="K261" s="53" t="str">
        <f>IF(F261&gt;=CO_ATT_INPUTS!$C$327,CHAR(252),CHAR(251))</f>
        <v>û</v>
      </c>
      <c r="L261" s="53" t="str">
        <f>IF(G261&gt;=CO_ATT_INPUTS!$C$327,CHAR(252),CHAR(251))</f>
        <v>û</v>
      </c>
      <c r="M261" s="53" t="str">
        <f>IF(H261&gt;=CO_ATT_INPUTS!$C$327,CHAR(252),CHAR(251))</f>
        <v>û</v>
      </c>
      <c r="N261" s="54" t="str">
        <f>IF(I261&gt;=CO_ATT_INPUTS!$C$327,CHAR(252),CHAR(251))</f>
        <v>û</v>
      </c>
    </row>
    <row r="262" spans="1:14" s="51" customFormat="1" ht="37.5" hidden="1" customHeight="1" x14ac:dyDescent="0.25">
      <c r="A262" s="52">
        <f>CO_ATT_INPUTS!A262</f>
        <v>244</v>
      </c>
      <c r="B262" s="18">
        <f>CO_ATT_INPUTS!B262</f>
        <v>0</v>
      </c>
      <c r="C262" s="19">
        <f>CO_ATT_INPUTS!C262</f>
        <v>0</v>
      </c>
      <c r="D262" s="91">
        <f>CO_ATT_INPUTS!D262</f>
        <v>0</v>
      </c>
      <c r="E262" s="19">
        <f>CO_ATT_INPUTS!AF262</f>
        <v>0</v>
      </c>
      <c r="F262" s="19">
        <f>CO_ATT_INPUTS!AG262</f>
        <v>0</v>
      </c>
      <c r="G262" s="19">
        <f>CO_ATT_INPUTS!AH262</f>
        <v>0</v>
      </c>
      <c r="H262" s="19">
        <f>CO_ATT_INPUTS!AI262</f>
        <v>0</v>
      </c>
      <c r="I262" s="19">
        <f>CO_ATT_INPUTS!AJ262</f>
        <v>0</v>
      </c>
      <c r="J262" s="53" t="str">
        <f>IF(E262&gt;=CO_ATT_INPUTS!$C$327,CHAR(252),CHAR(251))</f>
        <v>û</v>
      </c>
      <c r="K262" s="53" t="str">
        <f>IF(F262&gt;=CO_ATT_INPUTS!$C$327,CHAR(252),CHAR(251))</f>
        <v>û</v>
      </c>
      <c r="L262" s="53" t="str">
        <f>IF(G262&gt;=CO_ATT_INPUTS!$C$327,CHAR(252),CHAR(251))</f>
        <v>û</v>
      </c>
      <c r="M262" s="53" t="str">
        <f>IF(H262&gt;=CO_ATT_INPUTS!$C$327,CHAR(252),CHAR(251))</f>
        <v>û</v>
      </c>
      <c r="N262" s="54" t="str">
        <f>IF(I262&gt;=CO_ATT_INPUTS!$C$327,CHAR(252),CHAR(251))</f>
        <v>û</v>
      </c>
    </row>
    <row r="263" spans="1:14" s="51" customFormat="1" ht="37.5" hidden="1" customHeight="1" x14ac:dyDescent="0.25">
      <c r="A263" s="52">
        <f>CO_ATT_INPUTS!A263</f>
        <v>245</v>
      </c>
      <c r="B263" s="18">
        <f>CO_ATT_INPUTS!B263</f>
        <v>0</v>
      </c>
      <c r="C263" s="19">
        <f>CO_ATT_INPUTS!C263</f>
        <v>0</v>
      </c>
      <c r="D263" s="91">
        <f>CO_ATT_INPUTS!D263</f>
        <v>0</v>
      </c>
      <c r="E263" s="19">
        <f>CO_ATT_INPUTS!AF263</f>
        <v>0</v>
      </c>
      <c r="F263" s="19">
        <f>CO_ATT_INPUTS!AG263</f>
        <v>0</v>
      </c>
      <c r="G263" s="19">
        <f>CO_ATT_INPUTS!AH263</f>
        <v>0</v>
      </c>
      <c r="H263" s="19">
        <f>CO_ATT_INPUTS!AI263</f>
        <v>0</v>
      </c>
      <c r="I263" s="19">
        <f>CO_ATT_INPUTS!AJ263</f>
        <v>0</v>
      </c>
      <c r="J263" s="53" t="str">
        <f>IF(E263&gt;=CO_ATT_INPUTS!$C$327,CHAR(252),CHAR(251))</f>
        <v>û</v>
      </c>
      <c r="K263" s="53" t="str">
        <f>IF(F263&gt;=CO_ATT_INPUTS!$C$327,CHAR(252),CHAR(251))</f>
        <v>û</v>
      </c>
      <c r="L263" s="53" t="str">
        <f>IF(G263&gt;=CO_ATT_INPUTS!$C$327,CHAR(252),CHAR(251))</f>
        <v>û</v>
      </c>
      <c r="M263" s="53" t="str">
        <f>IF(H263&gt;=CO_ATT_INPUTS!$C$327,CHAR(252),CHAR(251))</f>
        <v>û</v>
      </c>
      <c r="N263" s="54" t="str">
        <f>IF(I263&gt;=CO_ATT_INPUTS!$C$327,CHAR(252),CHAR(251))</f>
        <v>û</v>
      </c>
    </row>
    <row r="264" spans="1:14" s="51" customFormat="1" ht="37.5" hidden="1" customHeight="1" x14ac:dyDescent="0.25">
      <c r="A264" s="52">
        <f>CO_ATT_INPUTS!A264</f>
        <v>246</v>
      </c>
      <c r="B264" s="18">
        <f>CO_ATT_INPUTS!B264</f>
        <v>0</v>
      </c>
      <c r="C264" s="19">
        <f>CO_ATT_INPUTS!C264</f>
        <v>0</v>
      </c>
      <c r="D264" s="91">
        <f>CO_ATT_INPUTS!D264</f>
        <v>0</v>
      </c>
      <c r="E264" s="19">
        <f>CO_ATT_INPUTS!AF264</f>
        <v>0</v>
      </c>
      <c r="F264" s="19">
        <f>CO_ATT_INPUTS!AG264</f>
        <v>0</v>
      </c>
      <c r="G264" s="19">
        <f>CO_ATT_INPUTS!AH264</f>
        <v>0</v>
      </c>
      <c r="H264" s="19">
        <f>CO_ATT_INPUTS!AI264</f>
        <v>0</v>
      </c>
      <c r="I264" s="19">
        <f>CO_ATT_INPUTS!AJ264</f>
        <v>0</v>
      </c>
      <c r="J264" s="53" t="str">
        <f>IF(E264&gt;=CO_ATT_INPUTS!$C$327,CHAR(252),CHAR(251))</f>
        <v>û</v>
      </c>
      <c r="K264" s="53" t="str">
        <f>IF(F264&gt;=CO_ATT_INPUTS!$C$327,CHAR(252),CHAR(251))</f>
        <v>û</v>
      </c>
      <c r="L264" s="53" t="str">
        <f>IF(G264&gt;=CO_ATT_INPUTS!$C$327,CHAR(252),CHAR(251))</f>
        <v>û</v>
      </c>
      <c r="M264" s="53" t="str">
        <f>IF(H264&gt;=CO_ATT_INPUTS!$C$327,CHAR(252),CHAR(251))</f>
        <v>û</v>
      </c>
      <c r="N264" s="54" t="str">
        <f>IF(I264&gt;=CO_ATT_INPUTS!$C$327,CHAR(252),CHAR(251))</f>
        <v>û</v>
      </c>
    </row>
    <row r="265" spans="1:14" s="51" customFormat="1" ht="37.5" hidden="1" customHeight="1" x14ac:dyDescent="0.25">
      <c r="A265" s="52">
        <f>CO_ATT_INPUTS!A265</f>
        <v>247</v>
      </c>
      <c r="B265" s="18">
        <f>CO_ATT_INPUTS!B265</f>
        <v>0</v>
      </c>
      <c r="C265" s="19">
        <f>CO_ATT_INPUTS!C265</f>
        <v>0</v>
      </c>
      <c r="D265" s="91">
        <f>CO_ATT_INPUTS!D265</f>
        <v>0</v>
      </c>
      <c r="E265" s="19">
        <f>CO_ATT_INPUTS!AF265</f>
        <v>0</v>
      </c>
      <c r="F265" s="19">
        <f>CO_ATT_INPUTS!AG265</f>
        <v>0</v>
      </c>
      <c r="G265" s="19">
        <f>CO_ATT_INPUTS!AH265</f>
        <v>0</v>
      </c>
      <c r="H265" s="19">
        <f>CO_ATT_INPUTS!AI265</f>
        <v>0</v>
      </c>
      <c r="I265" s="19">
        <f>CO_ATT_INPUTS!AJ265</f>
        <v>0</v>
      </c>
      <c r="J265" s="53" t="str">
        <f>IF(E265&gt;=CO_ATT_INPUTS!$C$327,CHAR(252),CHAR(251))</f>
        <v>û</v>
      </c>
      <c r="K265" s="53" t="str">
        <f>IF(F265&gt;=CO_ATT_INPUTS!$C$327,CHAR(252),CHAR(251))</f>
        <v>û</v>
      </c>
      <c r="L265" s="53" t="str">
        <f>IF(G265&gt;=CO_ATT_INPUTS!$C$327,CHAR(252),CHAR(251))</f>
        <v>û</v>
      </c>
      <c r="M265" s="53" t="str">
        <f>IF(H265&gt;=CO_ATT_INPUTS!$C$327,CHAR(252),CHAR(251))</f>
        <v>û</v>
      </c>
      <c r="N265" s="54" t="str">
        <f>IF(I265&gt;=CO_ATT_INPUTS!$C$327,CHAR(252),CHAR(251))</f>
        <v>û</v>
      </c>
    </row>
    <row r="266" spans="1:14" s="51" customFormat="1" ht="37.5" hidden="1" customHeight="1" x14ac:dyDescent="0.25">
      <c r="A266" s="52">
        <f>CO_ATT_INPUTS!A266</f>
        <v>248</v>
      </c>
      <c r="B266" s="18">
        <f>CO_ATT_INPUTS!B266</f>
        <v>0</v>
      </c>
      <c r="C266" s="19">
        <f>CO_ATT_INPUTS!C266</f>
        <v>0</v>
      </c>
      <c r="D266" s="91">
        <f>CO_ATT_INPUTS!D266</f>
        <v>0</v>
      </c>
      <c r="E266" s="19">
        <f>CO_ATT_INPUTS!AF266</f>
        <v>0</v>
      </c>
      <c r="F266" s="19">
        <f>CO_ATT_INPUTS!AG266</f>
        <v>0</v>
      </c>
      <c r="G266" s="19">
        <f>CO_ATT_INPUTS!AH266</f>
        <v>0</v>
      </c>
      <c r="H266" s="19">
        <f>CO_ATT_INPUTS!AI266</f>
        <v>0</v>
      </c>
      <c r="I266" s="19">
        <f>CO_ATT_INPUTS!AJ266</f>
        <v>0</v>
      </c>
      <c r="J266" s="53" t="str">
        <f>IF(E266&gt;=CO_ATT_INPUTS!$C$327,CHAR(252),CHAR(251))</f>
        <v>û</v>
      </c>
      <c r="K266" s="53" t="str">
        <f>IF(F266&gt;=CO_ATT_INPUTS!$C$327,CHAR(252),CHAR(251))</f>
        <v>û</v>
      </c>
      <c r="L266" s="53" t="str">
        <f>IF(G266&gt;=CO_ATT_INPUTS!$C$327,CHAR(252),CHAR(251))</f>
        <v>û</v>
      </c>
      <c r="M266" s="53" t="str">
        <f>IF(H266&gt;=CO_ATT_INPUTS!$C$327,CHAR(252),CHAR(251))</f>
        <v>û</v>
      </c>
      <c r="N266" s="54" t="str">
        <f>IF(I266&gt;=CO_ATT_INPUTS!$C$327,CHAR(252),CHAR(251))</f>
        <v>û</v>
      </c>
    </row>
    <row r="267" spans="1:14" s="51" customFormat="1" ht="37.5" hidden="1" customHeight="1" x14ac:dyDescent="0.25">
      <c r="A267" s="52">
        <f>CO_ATT_INPUTS!A267</f>
        <v>249</v>
      </c>
      <c r="B267" s="18">
        <f>CO_ATT_INPUTS!B267</f>
        <v>0</v>
      </c>
      <c r="C267" s="19">
        <f>CO_ATT_INPUTS!C267</f>
        <v>0</v>
      </c>
      <c r="D267" s="91">
        <f>CO_ATT_INPUTS!D267</f>
        <v>0</v>
      </c>
      <c r="E267" s="19">
        <f>CO_ATT_INPUTS!AF267</f>
        <v>0</v>
      </c>
      <c r="F267" s="19">
        <f>CO_ATT_INPUTS!AG267</f>
        <v>0</v>
      </c>
      <c r="G267" s="19">
        <f>CO_ATT_INPUTS!AH267</f>
        <v>0</v>
      </c>
      <c r="H267" s="19">
        <f>CO_ATT_INPUTS!AI267</f>
        <v>0</v>
      </c>
      <c r="I267" s="19">
        <f>CO_ATT_INPUTS!AJ267</f>
        <v>0</v>
      </c>
      <c r="J267" s="53" t="str">
        <f>IF(E267&gt;=CO_ATT_INPUTS!$C$327,CHAR(252),CHAR(251))</f>
        <v>û</v>
      </c>
      <c r="K267" s="53" t="str">
        <f>IF(F267&gt;=CO_ATT_INPUTS!$C$327,CHAR(252),CHAR(251))</f>
        <v>û</v>
      </c>
      <c r="L267" s="53" t="str">
        <f>IF(G267&gt;=CO_ATT_INPUTS!$C$327,CHAR(252),CHAR(251))</f>
        <v>û</v>
      </c>
      <c r="M267" s="53" t="str">
        <f>IF(H267&gt;=CO_ATT_INPUTS!$C$327,CHAR(252),CHAR(251))</f>
        <v>û</v>
      </c>
      <c r="N267" s="54" t="str">
        <f>IF(I267&gt;=CO_ATT_INPUTS!$C$327,CHAR(252),CHAR(251))</f>
        <v>û</v>
      </c>
    </row>
    <row r="268" spans="1:14" s="51" customFormat="1" ht="37.5" hidden="1" customHeight="1" x14ac:dyDescent="0.25">
      <c r="A268" s="52">
        <f>CO_ATT_INPUTS!A268</f>
        <v>250</v>
      </c>
      <c r="B268" s="18">
        <f>CO_ATT_INPUTS!B268</f>
        <v>0</v>
      </c>
      <c r="C268" s="19">
        <f>CO_ATT_INPUTS!C268</f>
        <v>0</v>
      </c>
      <c r="D268" s="91">
        <f>CO_ATT_INPUTS!D268</f>
        <v>0</v>
      </c>
      <c r="E268" s="19">
        <f>CO_ATT_INPUTS!AF268</f>
        <v>0</v>
      </c>
      <c r="F268" s="19">
        <f>CO_ATT_INPUTS!AG268</f>
        <v>0</v>
      </c>
      <c r="G268" s="19">
        <f>CO_ATT_INPUTS!AH268</f>
        <v>0</v>
      </c>
      <c r="H268" s="19">
        <f>CO_ATT_INPUTS!AI268</f>
        <v>0</v>
      </c>
      <c r="I268" s="19">
        <f>CO_ATT_INPUTS!AJ268</f>
        <v>0</v>
      </c>
      <c r="J268" s="53" t="str">
        <f>IF(E268&gt;=CO_ATT_INPUTS!$C$327,CHAR(252),CHAR(251))</f>
        <v>û</v>
      </c>
      <c r="K268" s="53" t="str">
        <f>IF(F268&gt;=CO_ATT_INPUTS!$C$327,CHAR(252),CHAR(251))</f>
        <v>û</v>
      </c>
      <c r="L268" s="53" t="str">
        <f>IF(G268&gt;=CO_ATT_INPUTS!$C$327,CHAR(252),CHAR(251))</f>
        <v>û</v>
      </c>
      <c r="M268" s="53" t="str">
        <f>IF(H268&gt;=CO_ATT_INPUTS!$C$327,CHAR(252),CHAR(251))</f>
        <v>û</v>
      </c>
      <c r="N268" s="54" t="str">
        <f>IF(I268&gt;=CO_ATT_INPUTS!$C$327,CHAR(252),CHAR(251))</f>
        <v>û</v>
      </c>
    </row>
    <row r="269" spans="1:14" s="51" customFormat="1" ht="37.5" hidden="1" customHeight="1" x14ac:dyDescent="0.25">
      <c r="A269" s="52">
        <f>CO_ATT_INPUTS!A269</f>
        <v>251</v>
      </c>
      <c r="B269" s="18">
        <f>CO_ATT_INPUTS!B269</f>
        <v>0</v>
      </c>
      <c r="C269" s="19">
        <f>CO_ATT_INPUTS!C269</f>
        <v>0</v>
      </c>
      <c r="D269" s="91">
        <f>CO_ATT_INPUTS!D269</f>
        <v>0</v>
      </c>
      <c r="E269" s="19">
        <f>CO_ATT_INPUTS!AF269</f>
        <v>0</v>
      </c>
      <c r="F269" s="19">
        <f>CO_ATT_INPUTS!AG269</f>
        <v>0</v>
      </c>
      <c r="G269" s="19">
        <f>CO_ATT_INPUTS!AH269</f>
        <v>0</v>
      </c>
      <c r="H269" s="19">
        <f>CO_ATT_INPUTS!AI269</f>
        <v>0</v>
      </c>
      <c r="I269" s="19">
        <f>CO_ATT_INPUTS!AJ269</f>
        <v>0</v>
      </c>
      <c r="J269" s="53" t="str">
        <f>IF(E269&gt;=CO_ATT_INPUTS!$C$327,CHAR(252),CHAR(251))</f>
        <v>û</v>
      </c>
      <c r="K269" s="53" t="str">
        <f>IF(F269&gt;=CO_ATT_INPUTS!$C$327,CHAR(252),CHAR(251))</f>
        <v>û</v>
      </c>
      <c r="L269" s="53" t="str">
        <f>IF(G269&gt;=CO_ATT_INPUTS!$C$327,CHAR(252),CHAR(251))</f>
        <v>û</v>
      </c>
      <c r="M269" s="53" t="str">
        <f>IF(H269&gt;=CO_ATT_INPUTS!$C$327,CHAR(252),CHAR(251))</f>
        <v>û</v>
      </c>
      <c r="N269" s="54" t="str">
        <f>IF(I269&gt;=CO_ATT_INPUTS!$C$327,CHAR(252),CHAR(251))</f>
        <v>û</v>
      </c>
    </row>
    <row r="270" spans="1:14" s="51" customFormat="1" ht="37.5" hidden="1" customHeight="1" x14ac:dyDescent="0.25">
      <c r="A270" s="52">
        <f>CO_ATT_INPUTS!A270</f>
        <v>252</v>
      </c>
      <c r="B270" s="18">
        <f>CO_ATT_INPUTS!B270</f>
        <v>0</v>
      </c>
      <c r="C270" s="19">
        <f>CO_ATT_INPUTS!C270</f>
        <v>0</v>
      </c>
      <c r="D270" s="91">
        <f>CO_ATT_INPUTS!D270</f>
        <v>0</v>
      </c>
      <c r="E270" s="19">
        <f>CO_ATT_INPUTS!AF270</f>
        <v>0</v>
      </c>
      <c r="F270" s="19">
        <f>CO_ATT_INPUTS!AG270</f>
        <v>0</v>
      </c>
      <c r="G270" s="19">
        <f>CO_ATT_INPUTS!AH270</f>
        <v>0</v>
      </c>
      <c r="H270" s="19">
        <f>CO_ATT_INPUTS!AI270</f>
        <v>0</v>
      </c>
      <c r="I270" s="19">
        <f>CO_ATT_INPUTS!AJ270</f>
        <v>0</v>
      </c>
      <c r="J270" s="53" t="str">
        <f>IF(E270&gt;=CO_ATT_INPUTS!$C$327,CHAR(252),CHAR(251))</f>
        <v>û</v>
      </c>
      <c r="K270" s="53" t="str">
        <f>IF(F270&gt;=CO_ATT_INPUTS!$C$327,CHAR(252),CHAR(251))</f>
        <v>û</v>
      </c>
      <c r="L270" s="53" t="str">
        <f>IF(G270&gt;=CO_ATT_INPUTS!$C$327,CHAR(252),CHAR(251))</f>
        <v>û</v>
      </c>
      <c r="M270" s="53" t="str">
        <f>IF(H270&gt;=CO_ATT_INPUTS!$C$327,CHAR(252),CHAR(251))</f>
        <v>û</v>
      </c>
      <c r="N270" s="54" t="str">
        <f>IF(I270&gt;=CO_ATT_INPUTS!$C$327,CHAR(252),CHAR(251))</f>
        <v>û</v>
      </c>
    </row>
    <row r="271" spans="1:14" s="51" customFormat="1" ht="37.5" hidden="1" customHeight="1" x14ac:dyDescent="0.25">
      <c r="A271" s="52">
        <f>CO_ATT_INPUTS!A271</f>
        <v>253</v>
      </c>
      <c r="B271" s="18">
        <f>CO_ATT_INPUTS!B271</f>
        <v>0</v>
      </c>
      <c r="C271" s="19">
        <f>CO_ATT_INPUTS!C271</f>
        <v>0</v>
      </c>
      <c r="D271" s="91">
        <f>CO_ATT_INPUTS!D271</f>
        <v>0</v>
      </c>
      <c r="E271" s="19">
        <f>CO_ATT_INPUTS!AF271</f>
        <v>0</v>
      </c>
      <c r="F271" s="19">
        <f>CO_ATT_INPUTS!AG271</f>
        <v>0</v>
      </c>
      <c r="G271" s="19">
        <f>CO_ATT_INPUTS!AH271</f>
        <v>0</v>
      </c>
      <c r="H271" s="19">
        <f>CO_ATT_INPUTS!AI271</f>
        <v>0</v>
      </c>
      <c r="I271" s="19">
        <f>CO_ATT_INPUTS!AJ271</f>
        <v>0</v>
      </c>
      <c r="J271" s="53" t="str">
        <f>IF(E271&gt;=CO_ATT_INPUTS!$C$327,CHAR(252),CHAR(251))</f>
        <v>û</v>
      </c>
      <c r="K271" s="53" t="str">
        <f>IF(F271&gt;=CO_ATT_INPUTS!$C$327,CHAR(252),CHAR(251))</f>
        <v>û</v>
      </c>
      <c r="L271" s="53" t="str">
        <f>IF(G271&gt;=CO_ATT_INPUTS!$C$327,CHAR(252),CHAR(251))</f>
        <v>û</v>
      </c>
      <c r="M271" s="53" t="str">
        <f>IF(H271&gt;=CO_ATT_INPUTS!$C$327,CHAR(252),CHAR(251))</f>
        <v>û</v>
      </c>
      <c r="N271" s="54" t="str">
        <f>IF(I271&gt;=CO_ATT_INPUTS!$C$327,CHAR(252),CHAR(251))</f>
        <v>û</v>
      </c>
    </row>
    <row r="272" spans="1:14" s="51" customFormat="1" ht="37.5" hidden="1" customHeight="1" x14ac:dyDescent="0.25">
      <c r="A272" s="52">
        <f>CO_ATT_INPUTS!A272</f>
        <v>254</v>
      </c>
      <c r="B272" s="18">
        <f>CO_ATT_INPUTS!B272</f>
        <v>0</v>
      </c>
      <c r="C272" s="19">
        <f>CO_ATT_INPUTS!C272</f>
        <v>0</v>
      </c>
      <c r="D272" s="91">
        <f>CO_ATT_INPUTS!D272</f>
        <v>0</v>
      </c>
      <c r="E272" s="19">
        <f>CO_ATT_INPUTS!AF272</f>
        <v>0</v>
      </c>
      <c r="F272" s="19">
        <f>CO_ATT_INPUTS!AG272</f>
        <v>0</v>
      </c>
      <c r="G272" s="19">
        <f>CO_ATT_INPUTS!AH272</f>
        <v>0</v>
      </c>
      <c r="H272" s="19">
        <f>CO_ATT_INPUTS!AI272</f>
        <v>0</v>
      </c>
      <c r="I272" s="19">
        <f>CO_ATT_INPUTS!AJ272</f>
        <v>0</v>
      </c>
      <c r="J272" s="53" t="str">
        <f>IF(E272&gt;=CO_ATT_INPUTS!$C$327,CHAR(252),CHAR(251))</f>
        <v>û</v>
      </c>
      <c r="K272" s="53" t="str">
        <f>IF(F272&gt;=CO_ATT_INPUTS!$C$327,CHAR(252),CHAR(251))</f>
        <v>û</v>
      </c>
      <c r="L272" s="53" t="str">
        <f>IF(G272&gt;=CO_ATT_INPUTS!$C$327,CHAR(252),CHAR(251))</f>
        <v>û</v>
      </c>
      <c r="M272" s="53" t="str">
        <f>IF(H272&gt;=CO_ATT_INPUTS!$C$327,CHAR(252),CHAR(251))</f>
        <v>û</v>
      </c>
      <c r="N272" s="54" t="str">
        <f>IF(I272&gt;=CO_ATT_INPUTS!$C$327,CHAR(252),CHAR(251))</f>
        <v>û</v>
      </c>
    </row>
    <row r="273" spans="1:14" s="51" customFormat="1" ht="37.5" hidden="1" customHeight="1" x14ac:dyDescent="0.25">
      <c r="A273" s="52">
        <f>CO_ATT_INPUTS!A273</f>
        <v>255</v>
      </c>
      <c r="B273" s="18">
        <f>CO_ATT_INPUTS!B273</f>
        <v>0</v>
      </c>
      <c r="C273" s="19">
        <f>CO_ATT_INPUTS!C273</f>
        <v>0</v>
      </c>
      <c r="D273" s="91">
        <f>CO_ATT_INPUTS!D273</f>
        <v>0</v>
      </c>
      <c r="E273" s="19">
        <f>CO_ATT_INPUTS!AF273</f>
        <v>0</v>
      </c>
      <c r="F273" s="19">
        <f>CO_ATT_INPUTS!AG273</f>
        <v>0</v>
      </c>
      <c r="G273" s="19">
        <f>CO_ATT_INPUTS!AH273</f>
        <v>0</v>
      </c>
      <c r="H273" s="19">
        <f>CO_ATT_INPUTS!AI273</f>
        <v>0</v>
      </c>
      <c r="I273" s="19">
        <f>CO_ATT_INPUTS!AJ273</f>
        <v>0</v>
      </c>
      <c r="J273" s="53" t="str">
        <f>IF(E273&gt;=CO_ATT_INPUTS!$C$327,CHAR(252),CHAR(251))</f>
        <v>û</v>
      </c>
      <c r="K273" s="53" t="str">
        <f>IF(F273&gt;=CO_ATT_INPUTS!$C$327,CHAR(252),CHAR(251))</f>
        <v>û</v>
      </c>
      <c r="L273" s="53" t="str">
        <f>IF(G273&gt;=CO_ATT_INPUTS!$C$327,CHAR(252),CHAR(251))</f>
        <v>û</v>
      </c>
      <c r="M273" s="53" t="str">
        <f>IF(H273&gt;=CO_ATT_INPUTS!$C$327,CHAR(252),CHAR(251))</f>
        <v>û</v>
      </c>
      <c r="N273" s="54" t="str">
        <f>IF(I273&gt;=CO_ATT_INPUTS!$C$327,CHAR(252),CHAR(251))</f>
        <v>û</v>
      </c>
    </row>
    <row r="274" spans="1:14" s="51" customFormat="1" ht="37.5" hidden="1" customHeight="1" x14ac:dyDescent="0.25">
      <c r="A274" s="52">
        <f>CO_ATT_INPUTS!A274</f>
        <v>256</v>
      </c>
      <c r="B274" s="18">
        <f>CO_ATT_INPUTS!B274</f>
        <v>0</v>
      </c>
      <c r="C274" s="19">
        <f>CO_ATT_INPUTS!C274</f>
        <v>0</v>
      </c>
      <c r="D274" s="91">
        <f>CO_ATT_INPUTS!D274</f>
        <v>0</v>
      </c>
      <c r="E274" s="19">
        <f>CO_ATT_INPUTS!AF274</f>
        <v>0</v>
      </c>
      <c r="F274" s="19">
        <f>CO_ATT_INPUTS!AG274</f>
        <v>0</v>
      </c>
      <c r="G274" s="19">
        <f>CO_ATT_INPUTS!AH274</f>
        <v>0</v>
      </c>
      <c r="H274" s="19">
        <f>CO_ATT_INPUTS!AI274</f>
        <v>0</v>
      </c>
      <c r="I274" s="19">
        <f>CO_ATT_INPUTS!AJ274</f>
        <v>0</v>
      </c>
      <c r="J274" s="53" t="str">
        <f>IF(E274&gt;=CO_ATT_INPUTS!$C$327,CHAR(252),CHAR(251))</f>
        <v>û</v>
      </c>
      <c r="K274" s="53" t="str">
        <f>IF(F274&gt;=CO_ATT_INPUTS!$C$327,CHAR(252),CHAR(251))</f>
        <v>û</v>
      </c>
      <c r="L274" s="53" t="str">
        <f>IF(G274&gt;=CO_ATT_INPUTS!$C$327,CHAR(252),CHAR(251))</f>
        <v>û</v>
      </c>
      <c r="M274" s="53" t="str">
        <f>IF(H274&gt;=CO_ATT_INPUTS!$C$327,CHAR(252),CHAR(251))</f>
        <v>û</v>
      </c>
      <c r="N274" s="54" t="str">
        <f>IF(I274&gt;=CO_ATT_INPUTS!$C$327,CHAR(252),CHAR(251))</f>
        <v>û</v>
      </c>
    </row>
    <row r="275" spans="1:14" s="51" customFormat="1" ht="37.5" hidden="1" customHeight="1" x14ac:dyDescent="0.25">
      <c r="A275" s="52">
        <f>CO_ATT_INPUTS!A275</f>
        <v>257</v>
      </c>
      <c r="B275" s="18">
        <f>CO_ATT_INPUTS!B275</f>
        <v>0</v>
      </c>
      <c r="C275" s="19">
        <f>CO_ATT_INPUTS!C275</f>
        <v>0</v>
      </c>
      <c r="D275" s="91">
        <f>CO_ATT_INPUTS!D275</f>
        <v>0</v>
      </c>
      <c r="E275" s="19">
        <f>CO_ATT_INPUTS!AF275</f>
        <v>0</v>
      </c>
      <c r="F275" s="19">
        <f>CO_ATT_INPUTS!AG275</f>
        <v>0</v>
      </c>
      <c r="G275" s="19">
        <f>CO_ATT_INPUTS!AH275</f>
        <v>0</v>
      </c>
      <c r="H275" s="19">
        <f>CO_ATT_INPUTS!AI275</f>
        <v>0</v>
      </c>
      <c r="I275" s="19">
        <f>CO_ATT_INPUTS!AJ275</f>
        <v>0</v>
      </c>
      <c r="J275" s="53" t="str">
        <f>IF(E275&gt;=CO_ATT_INPUTS!$C$327,CHAR(252),CHAR(251))</f>
        <v>û</v>
      </c>
      <c r="K275" s="53" t="str">
        <f>IF(F275&gt;=CO_ATT_INPUTS!$C$327,CHAR(252),CHAR(251))</f>
        <v>û</v>
      </c>
      <c r="L275" s="53" t="str">
        <f>IF(G275&gt;=CO_ATT_INPUTS!$C$327,CHAR(252),CHAR(251))</f>
        <v>û</v>
      </c>
      <c r="M275" s="53" t="str">
        <f>IF(H275&gt;=CO_ATT_INPUTS!$C$327,CHAR(252),CHAR(251))</f>
        <v>û</v>
      </c>
      <c r="N275" s="54" t="str">
        <f>IF(I275&gt;=CO_ATT_INPUTS!$C$327,CHAR(252),CHAR(251))</f>
        <v>û</v>
      </c>
    </row>
    <row r="276" spans="1:14" s="51" customFormat="1" ht="37.5" hidden="1" customHeight="1" x14ac:dyDescent="0.25">
      <c r="A276" s="52">
        <f>CO_ATT_INPUTS!A276</f>
        <v>258</v>
      </c>
      <c r="B276" s="18">
        <f>CO_ATT_INPUTS!B276</f>
        <v>0</v>
      </c>
      <c r="C276" s="19">
        <f>CO_ATT_INPUTS!C276</f>
        <v>0</v>
      </c>
      <c r="D276" s="91">
        <f>CO_ATT_INPUTS!D276</f>
        <v>0</v>
      </c>
      <c r="E276" s="19">
        <f>CO_ATT_INPUTS!AF276</f>
        <v>0</v>
      </c>
      <c r="F276" s="19">
        <f>CO_ATT_INPUTS!AG276</f>
        <v>0</v>
      </c>
      <c r="G276" s="19">
        <f>CO_ATT_INPUTS!AH276</f>
        <v>0</v>
      </c>
      <c r="H276" s="19">
        <f>CO_ATT_INPUTS!AI276</f>
        <v>0</v>
      </c>
      <c r="I276" s="19">
        <f>CO_ATT_INPUTS!AJ276</f>
        <v>0</v>
      </c>
      <c r="J276" s="53" t="str">
        <f>IF(E276&gt;=CO_ATT_INPUTS!$C$327,CHAR(252),CHAR(251))</f>
        <v>û</v>
      </c>
      <c r="K276" s="53" t="str">
        <f>IF(F276&gt;=CO_ATT_INPUTS!$C$327,CHAR(252),CHAR(251))</f>
        <v>û</v>
      </c>
      <c r="L276" s="53" t="str">
        <f>IF(G276&gt;=CO_ATT_INPUTS!$C$327,CHAR(252),CHAR(251))</f>
        <v>û</v>
      </c>
      <c r="M276" s="53" t="str">
        <f>IF(H276&gt;=CO_ATT_INPUTS!$C$327,CHAR(252),CHAR(251))</f>
        <v>û</v>
      </c>
      <c r="N276" s="54" t="str">
        <f>IF(I276&gt;=CO_ATT_INPUTS!$C$327,CHAR(252),CHAR(251))</f>
        <v>û</v>
      </c>
    </row>
    <row r="277" spans="1:14" s="51" customFormat="1" ht="37.5" hidden="1" customHeight="1" x14ac:dyDescent="0.25">
      <c r="A277" s="52">
        <f>CO_ATT_INPUTS!A277</f>
        <v>259</v>
      </c>
      <c r="B277" s="18">
        <f>CO_ATT_INPUTS!B277</f>
        <v>0</v>
      </c>
      <c r="C277" s="19">
        <f>CO_ATT_INPUTS!C277</f>
        <v>0</v>
      </c>
      <c r="D277" s="91">
        <f>CO_ATT_INPUTS!D277</f>
        <v>0</v>
      </c>
      <c r="E277" s="19">
        <f>CO_ATT_INPUTS!AF277</f>
        <v>0</v>
      </c>
      <c r="F277" s="19">
        <f>CO_ATT_INPUTS!AG277</f>
        <v>0</v>
      </c>
      <c r="G277" s="19">
        <f>CO_ATT_INPUTS!AH277</f>
        <v>0</v>
      </c>
      <c r="H277" s="19">
        <f>CO_ATT_INPUTS!AI277</f>
        <v>0</v>
      </c>
      <c r="I277" s="19">
        <f>CO_ATT_INPUTS!AJ277</f>
        <v>0</v>
      </c>
      <c r="J277" s="53" t="str">
        <f>IF(E277&gt;=CO_ATT_INPUTS!$C$327,CHAR(252),CHAR(251))</f>
        <v>û</v>
      </c>
      <c r="K277" s="53" t="str">
        <f>IF(F277&gt;=CO_ATT_INPUTS!$C$327,CHAR(252),CHAR(251))</f>
        <v>û</v>
      </c>
      <c r="L277" s="53" t="str">
        <f>IF(G277&gt;=CO_ATT_INPUTS!$C$327,CHAR(252),CHAR(251))</f>
        <v>û</v>
      </c>
      <c r="M277" s="53" t="str">
        <f>IF(H277&gt;=CO_ATT_INPUTS!$C$327,CHAR(252),CHAR(251))</f>
        <v>û</v>
      </c>
      <c r="N277" s="54" t="str">
        <f>IF(I277&gt;=CO_ATT_INPUTS!$C$327,CHAR(252),CHAR(251))</f>
        <v>û</v>
      </c>
    </row>
    <row r="278" spans="1:14" s="51" customFormat="1" ht="37.5" hidden="1" customHeight="1" x14ac:dyDescent="0.25">
      <c r="A278" s="52">
        <f>CO_ATT_INPUTS!A278</f>
        <v>260</v>
      </c>
      <c r="B278" s="18">
        <f>CO_ATT_INPUTS!B278</f>
        <v>0</v>
      </c>
      <c r="C278" s="19">
        <f>CO_ATT_INPUTS!C278</f>
        <v>0</v>
      </c>
      <c r="D278" s="91">
        <f>CO_ATT_INPUTS!D278</f>
        <v>0</v>
      </c>
      <c r="E278" s="19">
        <f>CO_ATT_INPUTS!AF278</f>
        <v>0</v>
      </c>
      <c r="F278" s="19">
        <f>CO_ATT_INPUTS!AG278</f>
        <v>0</v>
      </c>
      <c r="G278" s="19">
        <f>CO_ATT_INPUTS!AH278</f>
        <v>0</v>
      </c>
      <c r="H278" s="19">
        <f>CO_ATT_INPUTS!AI278</f>
        <v>0</v>
      </c>
      <c r="I278" s="19">
        <f>CO_ATT_INPUTS!AJ278</f>
        <v>0</v>
      </c>
      <c r="J278" s="53" t="str">
        <f>IF(E278&gt;=CO_ATT_INPUTS!$C$327,CHAR(252),CHAR(251))</f>
        <v>û</v>
      </c>
      <c r="K278" s="53" t="str">
        <f>IF(F278&gt;=CO_ATT_INPUTS!$C$327,CHAR(252),CHAR(251))</f>
        <v>û</v>
      </c>
      <c r="L278" s="53" t="str">
        <f>IF(G278&gt;=CO_ATT_INPUTS!$C$327,CHAR(252),CHAR(251))</f>
        <v>û</v>
      </c>
      <c r="M278" s="53" t="str">
        <f>IF(H278&gt;=CO_ATT_INPUTS!$C$327,CHAR(252),CHAR(251))</f>
        <v>û</v>
      </c>
      <c r="N278" s="54" t="str">
        <f>IF(I278&gt;=CO_ATT_INPUTS!$C$327,CHAR(252),CHAR(251))</f>
        <v>û</v>
      </c>
    </row>
    <row r="279" spans="1:14" s="51" customFormat="1" ht="37.5" hidden="1" customHeight="1" x14ac:dyDescent="0.25">
      <c r="A279" s="52">
        <f>CO_ATT_INPUTS!A279</f>
        <v>261</v>
      </c>
      <c r="B279" s="18">
        <f>CO_ATT_INPUTS!B279</f>
        <v>0</v>
      </c>
      <c r="C279" s="19">
        <f>CO_ATT_INPUTS!C279</f>
        <v>0</v>
      </c>
      <c r="D279" s="91">
        <f>CO_ATT_INPUTS!D279</f>
        <v>0</v>
      </c>
      <c r="E279" s="19">
        <f>CO_ATT_INPUTS!AF279</f>
        <v>0</v>
      </c>
      <c r="F279" s="19">
        <f>CO_ATT_INPUTS!AG279</f>
        <v>0</v>
      </c>
      <c r="G279" s="19">
        <f>CO_ATT_INPUTS!AH279</f>
        <v>0</v>
      </c>
      <c r="H279" s="19">
        <f>CO_ATT_INPUTS!AI279</f>
        <v>0</v>
      </c>
      <c r="I279" s="19">
        <f>CO_ATT_INPUTS!AJ279</f>
        <v>0</v>
      </c>
      <c r="J279" s="53" t="str">
        <f>IF(E279&gt;=CO_ATT_INPUTS!$C$327,CHAR(252),CHAR(251))</f>
        <v>û</v>
      </c>
      <c r="K279" s="53" t="str">
        <f>IF(F279&gt;=CO_ATT_INPUTS!$C$327,CHAR(252),CHAR(251))</f>
        <v>û</v>
      </c>
      <c r="L279" s="53" t="str">
        <f>IF(G279&gt;=CO_ATT_INPUTS!$C$327,CHAR(252),CHAR(251))</f>
        <v>û</v>
      </c>
      <c r="M279" s="53" t="str">
        <f>IF(H279&gt;=CO_ATT_INPUTS!$C$327,CHAR(252),CHAR(251))</f>
        <v>û</v>
      </c>
      <c r="N279" s="54" t="str">
        <f>IF(I279&gt;=CO_ATT_INPUTS!$C$327,CHAR(252),CHAR(251))</f>
        <v>û</v>
      </c>
    </row>
    <row r="280" spans="1:14" s="51" customFormat="1" ht="37.5" hidden="1" customHeight="1" x14ac:dyDescent="0.25">
      <c r="A280" s="52">
        <f>CO_ATT_INPUTS!A280</f>
        <v>262</v>
      </c>
      <c r="B280" s="18">
        <f>CO_ATT_INPUTS!B280</f>
        <v>0</v>
      </c>
      <c r="C280" s="19">
        <f>CO_ATT_INPUTS!C280</f>
        <v>0</v>
      </c>
      <c r="D280" s="91">
        <f>CO_ATT_INPUTS!D280</f>
        <v>0</v>
      </c>
      <c r="E280" s="19">
        <f>CO_ATT_INPUTS!AF280</f>
        <v>0</v>
      </c>
      <c r="F280" s="19">
        <f>CO_ATT_INPUTS!AG280</f>
        <v>0</v>
      </c>
      <c r="G280" s="19">
        <f>CO_ATT_INPUTS!AH280</f>
        <v>0</v>
      </c>
      <c r="H280" s="19">
        <f>CO_ATT_INPUTS!AI280</f>
        <v>0</v>
      </c>
      <c r="I280" s="19">
        <f>CO_ATT_INPUTS!AJ280</f>
        <v>0</v>
      </c>
      <c r="J280" s="53" t="str">
        <f>IF(E280&gt;=CO_ATT_INPUTS!$C$327,CHAR(252),CHAR(251))</f>
        <v>û</v>
      </c>
      <c r="K280" s="53" t="str">
        <f>IF(F280&gt;=CO_ATT_INPUTS!$C$327,CHAR(252),CHAR(251))</f>
        <v>û</v>
      </c>
      <c r="L280" s="53" t="str">
        <f>IF(G280&gt;=CO_ATT_INPUTS!$C$327,CHAR(252),CHAR(251))</f>
        <v>û</v>
      </c>
      <c r="M280" s="53" t="str">
        <f>IF(H280&gt;=CO_ATT_INPUTS!$C$327,CHAR(252),CHAR(251))</f>
        <v>û</v>
      </c>
      <c r="N280" s="54" t="str">
        <f>IF(I280&gt;=CO_ATT_INPUTS!$C$327,CHAR(252),CHAR(251))</f>
        <v>û</v>
      </c>
    </row>
    <row r="281" spans="1:14" s="51" customFormat="1" ht="37.5" hidden="1" customHeight="1" x14ac:dyDescent="0.25">
      <c r="A281" s="52">
        <f>CO_ATT_INPUTS!A281</f>
        <v>263</v>
      </c>
      <c r="B281" s="18">
        <f>CO_ATT_INPUTS!B281</f>
        <v>0</v>
      </c>
      <c r="C281" s="19">
        <f>CO_ATT_INPUTS!C281</f>
        <v>0</v>
      </c>
      <c r="D281" s="91">
        <f>CO_ATT_INPUTS!D281</f>
        <v>0</v>
      </c>
      <c r="E281" s="19">
        <f>CO_ATT_INPUTS!AF281</f>
        <v>0</v>
      </c>
      <c r="F281" s="19">
        <f>CO_ATT_INPUTS!AG281</f>
        <v>0</v>
      </c>
      <c r="G281" s="19">
        <f>CO_ATT_INPUTS!AH281</f>
        <v>0</v>
      </c>
      <c r="H281" s="19">
        <f>CO_ATT_INPUTS!AI281</f>
        <v>0</v>
      </c>
      <c r="I281" s="19">
        <f>CO_ATT_INPUTS!AJ281</f>
        <v>0</v>
      </c>
      <c r="J281" s="53" t="str">
        <f>IF(E281&gt;=CO_ATT_INPUTS!$C$327,CHAR(252),CHAR(251))</f>
        <v>û</v>
      </c>
      <c r="K281" s="53" t="str">
        <f>IF(F281&gt;=CO_ATT_INPUTS!$C$327,CHAR(252),CHAR(251))</f>
        <v>û</v>
      </c>
      <c r="L281" s="53" t="str">
        <f>IF(G281&gt;=CO_ATT_INPUTS!$C$327,CHAR(252),CHAR(251))</f>
        <v>û</v>
      </c>
      <c r="M281" s="53" t="str">
        <f>IF(H281&gt;=CO_ATT_INPUTS!$C$327,CHAR(252),CHAR(251))</f>
        <v>û</v>
      </c>
      <c r="N281" s="54" t="str">
        <f>IF(I281&gt;=CO_ATT_INPUTS!$C$327,CHAR(252),CHAR(251))</f>
        <v>û</v>
      </c>
    </row>
    <row r="282" spans="1:14" s="51" customFormat="1" ht="37.5" hidden="1" customHeight="1" x14ac:dyDescent="0.25">
      <c r="A282" s="52">
        <f>CO_ATT_INPUTS!A282</f>
        <v>264</v>
      </c>
      <c r="B282" s="18">
        <f>CO_ATT_INPUTS!B282</f>
        <v>0</v>
      </c>
      <c r="C282" s="19">
        <f>CO_ATT_INPUTS!C282</f>
        <v>0</v>
      </c>
      <c r="D282" s="91">
        <f>CO_ATT_INPUTS!D282</f>
        <v>0</v>
      </c>
      <c r="E282" s="19">
        <f>CO_ATT_INPUTS!AF282</f>
        <v>0</v>
      </c>
      <c r="F282" s="19">
        <f>CO_ATT_INPUTS!AG282</f>
        <v>0</v>
      </c>
      <c r="G282" s="19">
        <f>CO_ATT_INPUTS!AH282</f>
        <v>0</v>
      </c>
      <c r="H282" s="19">
        <f>CO_ATT_INPUTS!AI282</f>
        <v>0</v>
      </c>
      <c r="I282" s="19">
        <f>CO_ATT_INPUTS!AJ282</f>
        <v>0</v>
      </c>
      <c r="J282" s="53" t="str">
        <f>IF(E282&gt;=CO_ATT_INPUTS!$C$327,CHAR(252),CHAR(251))</f>
        <v>û</v>
      </c>
      <c r="K282" s="53" t="str">
        <f>IF(F282&gt;=CO_ATT_INPUTS!$C$327,CHAR(252),CHAR(251))</f>
        <v>û</v>
      </c>
      <c r="L282" s="53" t="str">
        <f>IF(G282&gt;=CO_ATT_INPUTS!$C$327,CHAR(252),CHAR(251))</f>
        <v>û</v>
      </c>
      <c r="M282" s="53" t="str">
        <f>IF(H282&gt;=CO_ATT_INPUTS!$C$327,CHAR(252),CHAR(251))</f>
        <v>û</v>
      </c>
      <c r="N282" s="54" t="str">
        <f>IF(I282&gt;=CO_ATT_INPUTS!$C$327,CHAR(252),CHAR(251))</f>
        <v>û</v>
      </c>
    </row>
    <row r="283" spans="1:14" s="51" customFormat="1" ht="37.5" hidden="1" customHeight="1" x14ac:dyDescent="0.25">
      <c r="A283" s="52">
        <f>CO_ATT_INPUTS!A283</f>
        <v>265</v>
      </c>
      <c r="B283" s="18">
        <f>CO_ATT_INPUTS!B283</f>
        <v>0</v>
      </c>
      <c r="C283" s="19">
        <f>CO_ATT_INPUTS!C283</f>
        <v>0</v>
      </c>
      <c r="D283" s="91">
        <f>CO_ATT_INPUTS!D283</f>
        <v>0</v>
      </c>
      <c r="E283" s="19">
        <f>CO_ATT_INPUTS!AF283</f>
        <v>0</v>
      </c>
      <c r="F283" s="19">
        <f>CO_ATT_INPUTS!AG283</f>
        <v>0</v>
      </c>
      <c r="G283" s="19">
        <f>CO_ATT_INPUTS!AH283</f>
        <v>0</v>
      </c>
      <c r="H283" s="19">
        <f>CO_ATT_INPUTS!AI283</f>
        <v>0</v>
      </c>
      <c r="I283" s="19">
        <f>CO_ATT_INPUTS!AJ283</f>
        <v>0</v>
      </c>
      <c r="J283" s="53" t="str">
        <f>IF(E283&gt;=CO_ATT_INPUTS!$C$327,CHAR(252),CHAR(251))</f>
        <v>û</v>
      </c>
      <c r="K283" s="53" t="str">
        <f>IF(F283&gt;=CO_ATT_INPUTS!$C$327,CHAR(252),CHAR(251))</f>
        <v>û</v>
      </c>
      <c r="L283" s="53" t="str">
        <f>IF(G283&gt;=CO_ATT_INPUTS!$C$327,CHAR(252),CHAR(251))</f>
        <v>û</v>
      </c>
      <c r="M283" s="53" t="str">
        <f>IF(H283&gt;=CO_ATT_INPUTS!$C$327,CHAR(252),CHAR(251))</f>
        <v>û</v>
      </c>
      <c r="N283" s="54" t="str">
        <f>IF(I283&gt;=CO_ATT_INPUTS!$C$327,CHAR(252),CHAR(251))</f>
        <v>û</v>
      </c>
    </row>
    <row r="284" spans="1:14" s="51" customFormat="1" ht="37.5" hidden="1" customHeight="1" x14ac:dyDescent="0.25">
      <c r="A284" s="52">
        <f>CO_ATT_INPUTS!A284</f>
        <v>266</v>
      </c>
      <c r="B284" s="18">
        <f>CO_ATT_INPUTS!B284</f>
        <v>0</v>
      </c>
      <c r="C284" s="19">
        <f>CO_ATT_INPUTS!C284</f>
        <v>0</v>
      </c>
      <c r="D284" s="91">
        <f>CO_ATT_INPUTS!D284</f>
        <v>0</v>
      </c>
      <c r="E284" s="19">
        <f>CO_ATT_INPUTS!AF284</f>
        <v>0</v>
      </c>
      <c r="F284" s="19">
        <f>CO_ATT_INPUTS!AG284</f>
        <v>0</v>
      </c>
      <c r="G284" s="19">
        <f>CO_ATT_INPUTS!AH284</f>
        <v>0</v>
      </c>
      <c r="H284" s="19">
        <f>CO_ATT_INPUTS!AI284</f>
        <v>0</v>
      </c>
      <c r="I284" s="19">
        <f>CO_ATT_INPUTS!AJ284</f>
        <v>0</v>
      </c>
      <c r="J284" s="53" t="str">
        <f>IF(E284&gt;=CO_ATT_INPUTS!$C$327,CHAR(252),CHAR(251))</f>
        <v>û</v>
      </c>
      <c r="K284" s="53" t="str">
        <f>IF(F284&gt;=CO_ATT_INPUTS!$C$327,CHAR(252),CHAR(251))</f>
        <v>û</v>
      </c>
      <c r="L284" s="53" t="str">
        <f>IF(G284&gt;=CO_ATT_INPUTS!$C$327,CHAR(252),CHAR(251))</f>
        <v>û</v>
      </c>
      <c r="M284" s="53" t="str">
        <f>IF(H284&gt;=CO_ATT_INPUTS!$C$327,CHAR(252),CHAR(251))</f>
        <v>û</v>
      </c>
      <c r="N284" s="54" t="str">
        <f>IF(I284&gt;=CO_ATT_INPUTS!$C$327,CHAR(252),CHAR(251))</f>
        <v>û</v>
      </c>
    </row>
    <row r="285" spans="1:14" s="51" customFormat="1" ht="37.5" hidden="1" customHeight="1" x14ac:dyDescent="0.25">
      <c r="A285" s="52">
        <f>CO_ATT_INPUTS!A285</f>
        <v>267</v>
      </c>
      <c r="B285" s="18">
        <f>CO_ATT_INPUTS!B285</f>
        <v>0</v>
      </c>
      <c r="C285" s="19">
        <f>CO_ATT_INPUTS!C285</f>
        <v>0</v>
      </c>
      <c r="D285" s="91">
        <f>CO_ATT_INPUTS!D285</f>
        <v>0</v>
      </c>
      <c r="E285" s="19">
        <f>CO_ATT_INPUTS!AF285</f>
        <v>0</v>
      </c>
      <c r="F285" s="19">
        <f>CO_ATT_INPUTS!AG285</f>
        <v>0</v>
      </c>
      <c r="G285" s="19">
        <f>CO_ATT_INPUTS!AH285</f>
        <v>0</v>
      </c>
      <c r="H285" s="19">
        <f>CO_ATT_INPUTS!AI285</f>
        <v>0</v>
      </c>
      <c r="I285" s="19">
        <f>CO_ATT_INPUTS!AJ285</f>
        <v>0</v>
      </c>
      <c r="J285" s="53" t="str">
        <f>IF(E285&gt;=CO_ATT_INPUTS!$C$327,CHAR(252),CHAR(251))</f>
        <v>û</v>
      </c>
      <c r="K285" s="53" t="str">
        <f>IF(F285&gt;=CO_ATT_INPUTS!$C$327,CHAR(252),CHAR(251))</f>
        <v>û</v>
      </c>
      <c r="L285" s="53" t="str">
        <f>IF(G285&gt;=CO_ATT_INPUTS!$C$327,CHAR(252),CHAR(251))</f>
        <v>û</v>
      </c>
      <c r="M285" s="53" t="str">
        <f>IF(H285&gt;=CO_ATT_INPUTS!$C$327,CHAR(252),CHAR(251))</f>
        <v>û</v>
      </c>
      <c r="N285" s="54" t="str">
        <f>IF(I285&gt;=CO_ATT_INPUTS!$C$327,CHAR(252),CHAR(251))</f>
        <v>û</v>
      </c>
    </row>
    <row r="286" spans="1:14" s="51" customFormat="1" ht="37.5" hidden="1" customHeight="1" x14ac:dyDescent="0.25">
      <c r="A286" s="52">
        <f>CO_ATT_INPUTS!A286</f>
        <v>268</v>
      </c>
      <c r="B286" s="18">
        <f>CO_ATT_INPUTS!B286</f>
        <v>0</v>
      </c>
      <c r="C286" s="19">
        <f>CO_ATT_INPUTS!C286</f>
        <v>0</v>
      </c>
      <c r="D286" s="91">
        <f>CO_ATT_INPUTS!D286</f>
        <v>0</v>
      </c>
      <c r="E286" s="19">
        <f>CO_ATT_INPUTS!AF286</f>
        <v>0</v>
      </c>
      <c r="F286" s="19">
        <f>CO_ATT_INPUTS!AG286</f>
        <v>0</v>
      </c>
      <c r="G286" s="19">
        <f>CO_ATT_INPUTS!AH286</f>
        <v>0</v>
      </c>
      <c r="H286" s="19">
        <f>CO_ATT_INPUTS!AI286</f>
        <v>0</v>
      </c>
      <c r="I286" s="19">
        <f>CO_ATT_INPUTS!AJ286</f>
        <v>0</v>
      </c>
      <c r="J286" s="53" t="str">
        <f>IF(E286&gt;=CO_ATT_INPUTS!$C$327,CHAR(252),CHAR(251))</f>
        <v>û</v>
      </c>
      <c r="K286" s="53" t="str">
        <f>IF(F286&gt;=CO_ATT_INPUTS!$C$327,CHAR(252),CHAR(251))</f>
        <v>û</v>
      </c>
      <c r="L286" s="53" t="str">
        <f>IF(G286&gt;=CO_ATT_INPUTS!$C$327,CHAR(252),CHAR(251))</f>
        <v>û</v>
      </c>
      <c r="M286" s="53" t="str">
        <f>IF(H286&gt;=CO_ATT_INPUTS!$C$327,CHAR(252),CHAR(251))</f>
        <v>û</v>
      </c>
      <c r="N286" s="54" t="str">
        <f>IF(I286&gt;=CO_ATT_INPUTS!$C$327,CHAR(252),CHAR(251))</f>
        <v>û</v>
      </c>
    </row>
    <row r="287" spans="1:14" s="51" customFormat="1" ht="37.5" hidden="1" customHeight="1" x14ac:dyDescent="0.25">
      <c r="A287" s="52">
        <f>CO_ATT_INPUTS!A287</f>
        <v>269</v>
      </c>
      <c r="B287" s="18">
        <f>CO_ATT_INPUTS!B287</f>
        <v>0</v>
      </c>
      <c r="C287" s="19">
        <f>CO_ATT_INPUTS!C287</f>
        <v>0</v>
      </c>
      <c r="D287" s="91">
        <f>CO_ATT_INPUTS!D287</f>
        <v>0</v>
      </c>
      <c r="E287" s="19">
        <f>CO_ATT_INPUTS!AF287</f>
        <v>0</v>
      </c>
      <c r="F287" s="19">
        <f>CO_ATT_INPUTS!AG287</f>
        <v>0</v>
      </c>
      <c r="G287" s="19">
        <f>CO_ATT_INPUTS!AH287</f>
        <v>0</v>
      </c>
      <c r="H287" s="19">
        <f>CO_ATT_INPUTS!AI287</f>
        <v>0</v>
      </c>
      <c r="I287" s="19">
        <f>CO_ATT_INPUTS!AJ287</f>
        <v>0</v>
      </c>
      <c r="J287" s="53" t="str">
        <f>IF(E287&gt;=CO_ATT_INPUTS!$C$327,CHAR(252),CHAR(251))</f>
        <v>û</v>
      </c>
      <c r="K287" s="53" t="str">
        <f>IF(F287&gt;=CO_ATT_INPUTS!$C$327,CHAR(252),CHAR(251))</f>
        <v>û</v>
      </c>
      <c r="L287" s="53" t="str">
        <f>IF(G287&gt;=CO_ATT_INPUTS!$C$327,CHAR(252),CHAR(251))</f>
        <v>û</v>
      </c>
      <c r="M287" s="53" t="str">
        <f>IF(H287&gt;=CO_ATT_INPUTS!$C$327,CHAR(252),CHAR(251))</f>
        <v>û</v>
      </c>
      <c r="N287" s="54" t="str">
        <f>IF(I287&gt;=CO_ATT_INPUTS!$C$327,CHAR(252),CHAR(251))</f>
        <v>û</v>
      </c>
    </row>
    <row r="288" spans="1:14" s="51" customFormat="1" ht="37.5" hidden="1" customHeight="1" x14ac:dyDescent="0.25">
      <c r="A288" s="52">
        <f>CO_ATT_INPUTS!A288</f>
        <v>270</v>
      </c>
      <c r="B288" s="18">
        <f>CO_ATT_INPUTS!B288</f>
        <v>0</v>
      </c>
      <c r="C288" s="19">
        <f>CO_ATT_INPUTS!C288</f>
        <v>0</v>
      </c>
      <c r="D288" s="91">
        <f>CO_ATT_INPUTS!D288</f>
        <v>0</v>
      </c>
      <c r="E288" s="19">
        <f>CO_ATT_INPUTS!AF288</f>
        <v>0</v>
      </c>
      <c r="F288" s="19">
        <f>CO_ATT_INPUTS!AG288</f>
        <v>0</v>
      </c>
      <c r="G288" s="19">
        <f>CO_ATT_INPUTS!AH288</f>
        <v>0</v>
      </c>
      <c r="H288" s="19">
        <f>CO_ATT_INPUTS!AI288</f>
        <v>0</v>
      </c>
      <c r="I288" s="19">
        <f>CO_ATT_INPUTS!AJ288</f>
        <v>0</v>
      </c>
      <c r="J288" s="53" t="str">
        <f>IF(E288&gt;=CO_ATT_INPUTS!$C$327,CHAR(252),CHAR(251))</f>
        <v>û</v>
      </c>
      <c r="K288" s="53" t="str">
        <f>IF(F288&gt;=CO_ATT_INPUTS!$C$327,CHAR(252),CHAR(251))</f>
        <v>û</v>
      </c>
      <c r="L288" s="53" t="str">
        <f>IF(G288&gt;=CO_ATT_INPUTS!$C$327,CHAR(252),CHAR(251))</f>
        <v>û</v>
      </c>
      <c r="M288" s="53" t="str">
        <f>IF(H288&gt;=CO_ATT_INPUTS!$C$327,CHAR(252),CHAR(251))</f>
        <v>û</v>
      </c>
      <c r="N288" s="54" t="str">
        <f>IF(I288&gt;=CO_ATT_INPUTS!$C$327,CHAR(252),CHAR(251))</f>
        <v>û</v>
      </c>
    </row>
    <row r="289" spans="1:14" s="51" customFormat="1" ht="37.5" hidden="1" customHeight="1" x14ac:dyDescent="0.25">
      <c r="A289" s="52">
        <f>CO_ATT_INPUTS!A289</f>
        <v>271</v>
      </c>
      <c r="B289" s="18">
        <f>CO_ATT_INPUTS!B289</f>
        <v>0</v>
      </c>
      <c r="C289" s="19">
        <f>CO_ATT_INPUTS!C289</f>
        <v>0</v>
      </c>
      <c r="D289" s="91">
        <f>CO_ATT_INPUTS!D289</f>
        <v>0</v>
      </c>
      <c r="E289" s="19">
        <f>CO_ATT_INPUTS!AF289</f>
        <v>0</v>
      </c>
      <c r="F289" s="19">
        <f>CO_ATT_INPUTS!AG289</f>
        <v>0</v>
      </c>
      <c r="G289" s="19">
        <f>CO_ATT_INPUTS!AH289</f>
        <v>0</v>
      </c>
      <c r="H289" s="19">
        <f>CO_ATT_INPUTS!AI289</f>
        <v>0</v>
      </c>
      <c r="I289" s="19">
        <f>CO_ATT_INPUTS!AJ289</f>
        <v>0</v>
      </c>
      <c r="J289" s="53" t="str">
        <f>IF(E289&gt;=CO_ATT_INPUTS!$C$327,CHAR(252),CHAR(251))</f>
        <v>û</v>
      </c>
      <c r="K289" s="53" t="str">
        <f>IF(F289&gt;=CO_ATT_INPUTS!$C$327,CHAR(252),CHAR(251))</f>
        <v>û</v>
      </c>
      <c r="L289" s="53" t="str">
        <f>IF(G289&gt;=CO_ATT_INPUTS!$C$327,CHAR(252),CHAR(251))</f>
        <v>û</v>
      </c>
      <c r="M289" s="53" t="str">
        <f>IF(H289&gt;=CO_ATT_INPUTS!$C$327,CHAR(252),CHAR(251))</f>
        <v>û</v>
      </c>
      <c r="N289" s="54" t="str">
        <f>IF(I289&gt;=CO_ATT_INPUTS!$C$327,CHAR(252),CHAR(251))</f>
        <v>û</v>
      </c>
    </row>
    <row r="290" spans="1:14" s="51" customFormat="1" ht="37.5" hidden="1" customHeight="1" x14ac:dyDescent="0.25">
      <c r="A290" s="52">
        <f>CO_ATT_INPUTS!A290</f>
        <v>272</v>
      </c>
      <c r="B290" s="18">
        <f>CO_ATT_INPUTS!B290</f>
        <v>0</v>
      </c>
      <c r="C290" s="19">
        <f>CO_ATT_INPUTS!C290</f>
        <v>0</v>
      </c>
      <c r="D290" s="91">
        <f>CO_ATT_INPUTS!D290</f>
        <v>0</v>
      </c>
      <c r="E290" s="19">
        <f>CO_ATT_INPUTS!AF290</f>
        <v>0</v>
      </c>
      <c r="F290" s="19">
        <f>CO_ATT_INPUTS!AG290</f>
        <v>0</v>
      </c>
      <c r="G290" s="19">
        <f>CO_ATT_INPUTS!AH290</f>
        <v>0</v>
      </c>
      <c r="H290" s="19">
        <f>CO_ATT_INPUTS!AI290</f>
        <v>0</v>
      </c>
      <c r="I290" s="19">
        <f>CO_ATT_INPUTS!AJ290</f>
        <v>0</v>
      </c>
      <c r="J290" s="53" t="str">
        <f>IF(E290&gt;=CO_ATT_INPUTS!$C$327,CHAR(252),CHAR(251))</f>
        <v>û</v>
      </c>
      <c r="K290" s="53" t="str">
        <f>IF(F290&gt;=CO_ATT_INPUTS!$C$327,CHAR(252),CHAR(251))</f>
        <v>û</v>
      </c>
      <c r="L290" s="53" t="str">
        <f>IF(G290&gt;=CO_ATT_INPUTS!$C$327,CHAR(252),CHAR(251))</f>
        <v>û</v>
      </c>
      <c r="M290" s="53" t="str">
        <f>IF(H290&gt;=CO_ATT_INPUTS!$C$327,CHAR(252),CHAR(251))</f>
        <v>û</v>
      </c>
      <c r="N290" s="54" t="str">
        <f>IF(I290&gt;=CO_ATT_INPUTS!$C$327,CHAR(252),CHAR(251))</f>
        <v>û</v>
      </c>
    </row>
    <row r="291" spans="1:14" s="51" customFormat="1" ht="37.5" hidden="1" customHeight="1" x14ac:dyDescent="0.25">
      <c r="A291" s="52">
        <f>CO_ATT_INPUTS!A291</f>
        <v>273</v>
      </c>
      <c r="B291" s="18">
        <f>CO_ATT_INPUTS!B291</f>
        <v>0</v>
      </c>
      <c r="C291" s="19">
        <f>CO_ATT_INPUTS!C291</f>
        <v>0</v>
      </c>
      <c r="D291" s="91">
        <f>CO_ATT_INPUTS!D291</f>
        <v>0</v>
      </c>
      <c r="E291" s="19">
        <f>CO_ATT_INPUTS!AF291</f>
        <v>0</v>
      </c>
      <c r="F291" s="19">
        <f>CO_ATT_INPUTS!AG291</f>
        <v>0</v>
      </c>
      <c r="G291" s="19">
        <f>CO_ATT_INPUTS!AH291</f>
        <v>0</v>
      </c>
      <c r="H291" s="19">
        <f>CO_ATT_INPUTS!AI291</f>
        <v>0</v>
      </c>
      <c r="I291" s="19">
        <f>CO_ATT_INPUTS!AJ291</f>
        <v>0</v>
      </c>
      <c r="J291" s="53" t="str">
        <f>IF(E291&gt;=CO_ATT_INPUTS!$C$327,CHAR(252),CHAR(251))</f>
        <v>û</v>
      </c>
      <c r="K291" s="53" t="str">
        <f>IF(F291&gt;=CO_ATT_INPUTS!$C$327,CHAR(252),CHAR(251))</f>
        <v>û</v>
      </c>
      <c r="L291" s="53" t="str">
        <f>IF(G291&gt;=CO_ATT_INPUTS!$C$327,CHAR(252),CHAR(251))</f>
        <v>û</v>
      </c>
      <c r="M291" s="53" t="str">
        <f>IF(H291&gt;=CO_ATT_INPUTS!$C$327,CHAR(252),CHAR(251))</f>
        <v>û</v>
      </c>
      <c r="N291" s="54" t="str">
        <f>IF(I291&gt;=CO_ATT_INPUTS!$C$327,CHAR(252),CHAR(251))</f>
        <v>û</v>
      </c>
    </row>
    <row r="292" spans="1:14" s="51" customFormat="1" ht="37.5" hidden="1" customHeight="1" x14ac:dyDescent="0.25">
      <c r="A292" s="52">
        <f>CO_ATT_INPUTS!A292</f>
        <v>274</v>
      </c>
      <c r="B292" s="18">
        <f>CO_ATT_INPUTS!B292</f>
        <v>0</v>
      </c>
      <c r="C292" s="19">
        <f>CO_ATT_INPUTS!C292</f>
        <v>0</v>
      </c>
      <c r="D292" s="91">
        <f>CO_ATT_INPUTS!D292</f>
        <v>0</v>
      </c>
      <c r="E292" s="19">
        <f>CO_ATT_INPUTS!AF292</f>
        <v>0</v>
      </c>
      <c r="F292" s="19">
        <f>CO_ATT_INPUTS!AG292</f>
        <v>0</v>
      </c>
      <c r="G292" s="19">
        <f>CO_ATT_INPUTS!AH292</f>
        <v>0</v>
      </c>
      <c r="H292" s="19">
        <f>CO_ATT_INPUTS!AI292</f>
        <v>0</v>
      </c>
      <c r="I292" s="19">
        <f>CO_ATT_INPUTS!AJ292</f>
        <v>0</v>
      </c>
      <c r="J292" s="53" t="str">
        <f>IF(E292&gt;=CO_ATT_INPUTS!$C$327,CHAR(252),CHAR(251))</f>
        <v>û</v>
      </c>
      <c r="K292" s="53" t="str">
        <f>IF(F292&gt;=CO_ATT_INPUTS!$C$327,CHAR(252),CHAR(251))</f>
        <v>û</v>
      </c>
      <c r="L292" s="53" t="str">
        <f>IF(G292&gt;=CO_ATT_INPUTS!$C$327,CHAR(252),CHAR(251))</f>
        <v>û</v>
      </c>
      <c r="M292" s="53" t="str">
        <f>IF(H292&gt;=CO_ATT_INPUTS!$C$327,CHAR(252),CHAR(251))</f>
        <v>û</v>
      </c>
      <c r="N292" s="54" t="str">
        <f>IF(I292&gt;=CO_ATT_INPUTS!$C$327,CHAR(252),CHAR(251))</f>
        <v>û</v>
      </c>
    </row>
    <row r="293" spans="1:14" s="51" customFormat="1" ht="37.5" hidden="1" customHeight="1" x14ac:dyDescent="0.25">
      <c r="A293" s="52">
        <f>CO_ATT_INPUTS!A293</f>
        <v>275</v>
      </c>
      <c r="B293" s="18">
        <f>CO_ATT_INPUTS!B293</f>
        <v>0</v>
      </c>
      <c r="C293" s="19">
        <f>CO_ATT_INPUTS!C293</f>
        <v>0</v>
      </c>
      <c r="D293" s="91">
        <f>CO_ATT_INPUTS!D293</f>
        <v>0</v>
      </c>
      <c r="E293" s="19">
        <f>CO_ATT_INPUTS!AF293</f>
        <v>0</v>
      </c>
      <c r="F293" s="19">
        <f>CO_ATT_INPUTS!AG293</f>
        <v>0</v>
      </c>
      <c r="G293" s="19">
        <f>CO_ATT_INPUTS!AH293</f>
        <v>0</v>
      </c>
      <c r="H293" s="19">
        <f>CO_ATT_INPUTS!AI293</f>
        <v>0</v>
      </c>
      <c r="I293" s="19">
        <f>CO_ATT_INPUTS!AJ293</f>
        <v>0</v>
      </c>
      <c r="J293" s="53" t="str">
        <f>IF(E293&gt;=CO_ATT_INPUTS!$C$327,CHAR(252),CHAR(251))</f>
        <v>û</v>
      </c>
      <c r="K293" s="53" t="str">
        <f>IF(F293&gt;=CO_ATT_INPUTS!$C$327,CHAR(252),CHAR(251))</f>
        <v>û</v>
      </c>
      <c r="L293" s="53" t="str">
        <f>IF(G293&gt;=CO_ATT_INPUTS!$C$327,CHAR(252),CHAR(251))</f>
        <v>û</v>
      </c>
      <c r="M293" s="53" t="str">
        <f>IF(H293&gt;=CO_ATT_INPUTS!$C$327,CHAR(252),CHAR(251))</f>
        <v>û</v>
      </c>
      <c r="N293" s="54" t="str">
        <f>IF(I293&gt;=CO_ATT_INPUTS!$C$327,CHAR(252),CHAR(251))</f>
        <v>û</v>
      </c>
    </row>
    <row r="294" spans="1:14" s="51" customFormat="1" ht="37.5" hidden="1" customHeight="1" x14ac:dyDescent="0.25">
      <c r="A294" s="52">
        <f>CO_ATT_INPUTS!A294</f>
        <v>276</v>
      </c>
      <c r="B294" s="18">
        <f>CO_ATT_INPUTS!B294</f>
        <v>0</v>
      </c>
      <c r="C294" s="19">
        <f>CO_ATT_INPUTS!C294</f>
        <v>0</v>
      </c>
      <c r="D294" s="91">
        <f>CO_ATT_INPUTS!D294</f>
        <v>0</v>
      </c>
      <c r="E294" s="19">
        <f>CO_ATT_INPUTS!AF294</f>
        <v>0</v>
      </c>
      <c r="F294" s="19">
        <f>CO_ATT_INPUTS!AG294</f>
        <v>0</v>
      </c>
      <c r="G294" s="19">
        <f>CO_ATT_INPUTS!AH294</f>
        <v>0</v>
      </c>
      <c r="H294" s="19">
        <f>CO_ATT_INPUTS!AI294</f>
        <v>0</v>
      </c>
      <c r="I294" s="19">
        <f>CO_ATT_INPUTS!AJ294</f>
        <v>0</v>
      </c>
      <c r="J294" s="53" t="str">
        <f>IF(E294&gt;=CO_ATT_INPUTS!$C$327,CHAR(252),CHAR(251))</f>
        <v>û</v>
      </c>
      <c r="K294" s="53" t="str">
        <f>IF(F294&gt;=CO_ATT_INPUTS!$C$327,CHAR(252),CHAR(251))</f>
        <v>û</v>
      </c>
      <c r="L294" s="53" t="str">
        <f>IF(G294&gt;=CO_ATT_INPUTS!$C$327,CHAR(252),CHAR(251))</f>
        <v>û</v>
      </c>
      <c r="M294" s="53" t="str">
        <f>IF(H294&gt;=CO_ATT_INPUTS!$C$327,CHAR(252),CHAR(251))</f>
        <v>û</v>
      </c>
      <c r="N294" s="54" t="str">
        <f>IF(I294&gt;=CO_ATT_INPUTS!$C$327,CHAR(252),CHAR(251))</f>
        <v>û</v>
      </c>
    </row>
    <row r="295" spans="1:14" s="51" customFormat="1" ht="37.5" hidden="1" customHeight="1" x14ac:dyDescent="0.25">
      <c r="A295" s="52">
        <f>CO_ATT_INPUTS!A295</f>
        <v>277</v>
      </c>
      <c r="B295" s="18">
        <f>CO_ATT_INPUTS!B295</f>
        <v>0</v>
      </c>
      <c r="C295" s="19">
        <f>CO_ATT_INPUTS!C295</f>
        <v>0</v>
      </c>
      <c r="D295" s="91">
        <f>CO_ATT_INPUTS!D295</f>
        <v>0</v>
      </c>
      <c r="E295" s="19">
        <f>CO_ATT_INPUTS!AF295</f>
        <v>0</v>
      </c>
      <c r="F295" s="19">
        <f>CO_ATT_INPUTS!AG295</f>
        <v>0</v>
      </c>
      <c r="G295" s="19">
        <f>CO_ATT_INPUTS!AH295</f>
        <v>0</v>
      </c>
      <c r="H295" s="19">
        <f>CO_ATT_INPUTS!AI295</f>
        <v>0</v>
      </c>
      <c r="I295" s="19">
        <f>CO_ATT_INPUTS!AJ295</f>
        <v>0</v>
      </c>
      <c r="J295" s="53" t="str">
        <f>IF(E295&gt;=CO_ATT_INPUTS!$C$327,CHAR(252),CHAR(251))</f>
        <v>û</v>
      </c>
      <c r="K295" s="53" t="str">
        <f>IF(F295&gt;=CO_ATT_INPUTS!$C$327,CHAR(252),CHAR(251))</f>
        <v>û</v>
      </c>
      <c r="L295" s="53" t="str">
        <f>IF(G295&gt;=CO_ATT_INPUTS!$C$327,CHAR(252),CHAR(251))</f>
        <v>û</v>
      </c>
      <c r="M295" s="53" t="str">
        <f>IF(H295&gt;=CO_ATT_INPUTS!$C$327,CHAR(252),CHAR(251))</f>
        <v>û</v>
      </c>
      <c r="N295" s="54" t="str">
        <f>IF(I295&gt;=CO_ATT_INPUTS!$C$327,CHAR(252),CHAR(251))</f>
        <v>û</v>
      </c>
    </row>
    <row r="296" spans="1:14" s="51" customFormat="1" ht="37.5" hidden="1" customHeight="1" x14ac:dyDescent="0.25">
      <c r="A296" s="52">
        <f>CO_ATT_INPUTS!A296</f>
        <v>278</v>
      </c>
      <c r="B296" s="18">
        <f>CO_ATT_INPUTS!B296</f>
        <v>0</v>
      </c>
      <c r="C296" s="19">
        <f>CO_ATT_INPUTS!C296</f>
        <v>0</v>
      </c>
      <c r="D296" s="91">
        <f>CO_ATT_INPUTS!D296</f>
        <v>0</v>
      </c>
      <c r="E296" s="19">
        <f>CO_ATT_INPUTS!AF296</f>
        <v>0</v>
      </c>
      <c r="F296" s="19">
        <f>CO_ATT_INPUTS!AG296</f>
        <v>0</v>
      </c>
      <c r="G296" s="19">
        <f>CO_ATT_INPUTS!AH296</f>
        <v>0</v>
      </c>
      <c r="H296" s="19">
        <f>CO_ATT_INPUTS!AI296</f>
        <v>0</v>
      </c>
      <c r="I296" s="19">
        <f>CO_ATT_INPUTS!AJ296</f>
        <v>0</v>
      </c>
      <c r="J296" s="53" t="str">
        <f>IF(E296&gt;=CO_ATT_INPUTS!$C$327,CHAR(252),CHAR(251))</f>
        <v>û</v>
      </c>
      <c r="K296" s="53" t="str">
        <f>IF(F296&gt;=CO_ATT_INPUTS!$C$327,CHAR(252),CHAR(251))</f>
        <v>û</v>
      </c>
      <c r="L296" s="53" t="str">
        <f>IF(G296&gt;=CO_ATT_INPUTS!$C$327,CHAR(252),CHAR(251))</f>
        <v>û</v>
      </c>
      <c r="M296" s="53" t="str">
        <f>IF(H296&gt;=CO_ATT_INPUTS!$C$327,CHAR(252),CHAR(251))</f>
        <v>û</v>
      </c>
      <c r="N296" s="54" t="str">
        <f>IF(I296&gt;=CO_ATT_INPUTS!$C$327,CHAR(252),CHAR(251))</f>
        <v>û</v>
      </c>
    </row>
    <row r="297" spans="1:14" s="51" customFormat="1" ht="37.5" hidden="1" customHeight="1" x14ac:dyDescent="0.25">
      <c r="A297" s="52">
        <f>CO_ATT_INPUTS!A297</f>
        <v>279</v>
      </c>
      <c r="B297" s="18">
        <f>CO_ATT_INPUTS!B297</f>
        <v>0</v>
      </c>
      <c r="C297" s="19">
        <f>CO_ATT_INPUTS!C297</f>
        <v>0</v>
      </c>
      <c r="D297" s="91">
        <f>CO_ATT_INPUTS!D297</f>
        <v>0</v>
      </c>
      <c r="E297" s="19">
        <f>CO_ATT_INPUTS!AF297</f>
        <v>0</v>
      </c>
      <c r="F297" s="19">
        <f>CO_ATT_INPUTS!AG297</f>
        <v>0</v>
      </c>
      <c r="G297" s="19">
        <f>CO_ATT_INPUTS!AH297</f>
        <v>0</v>
      </c>
      <c r="H297" s="19">
        <f>CO_ATT_INPUTS!AI297</f>
        <v>0</v>
      </c>
      <c r="I297" s="19">
        <f>CO_ATT_INPUTS!AJ297</f>
        <v>0</v>
      </c>
      <c r="J297" s="53" t="str">
        <f>IF(E297&gt;=CO_ATT_INPUTS!$C$327,CHAR(252),CHAR(251))</f>
        <v>û</v>
      </c>
      <c r="K297" s="53" t="str">
        <f>IF(F297&gt;=CO_ATT_INPUTS!$C$327,CHAR(252),CHAR(251))</f>
        <v>û</v>
      </c>
      <c r="L297" s="53" t="str">
        <f>IF(G297&gt;=CO_ATT_INPUTS!$C$327,CHAR(252),CHAR(251))</f>
        <v>û</v>
      </c>
      <c r="M297" s="53" t="str">
        <f>IF(H297&gt;=CO_ATT_INPUTS!$C$327,CHAR(252),CHAR(251))</f>
        <v>û</v>
      </c>
      <c r="N297" s="54" t="str">
        <f>IF(I297&gt;=CO_ATT_INPUTS!$C$327,CHAR(252),CHAR(251))</f>
        <v>û</v>
      </c>
    </row>
    <row r="298" spans="1:14" s="51" customFormat="1" ht="37.5" hidden="1" customHeight="1" x14ac:dyDescent="0.25">
      <c r="A298" s="52">
        <f>CO_ATT_INPUTS!A298</f>
        <v>280</v>
      </c>
      <c r="B298" s="18">
        <f>CO_ATT_INPUTS!B298</f>
        <v>0</v>
      </c>
      <c r="C298" s="19">
        <f>CO_ATT_INPUTS!C298</f>
        <v>0</v>
      </c>
      <c r="D298" s="91">
        <f>CO_ATT_INPUTS!D298</f>
        <v>0</v>
      </c>
      <c r="E298" s="19">
        <f>CO_ATT_INPUTS!AF298</f>
        <v>0</v>
      </c>
      <c r="F298" s="19">
        <f>CO_ATT_INPUTS!AG298</f>
        <v>0</v>
      </c>
      <c r="G298" s="19">
        <f>CO_ATT_INPUTS!AH298</f>
        <v>0</v>
      </c>
      <c r="H298" s="19">
        <f>CO_ATT_INPUTS!AI298</f>
        <v>0</v>
      </c>
      <c r="I298" s="19">
        <f>CO_ATT_INPUTS!AJ298</f>
        <v>0</v>
      </c>
      <c r="J298" s="53" t="str">
        <f>IF(E298&gt;=CO_ATT_INPUTS!$C$327,CHAR(252),CHAR(251))</f>
        <v>û</v>
      </c>
      <c r="K298" s="53" t="str">
        <f>IF(F298&gt;=CO_ATT_INPUTS!$C$327,CHAR(252),CHAR(251))</f>
        <v>û</v>
      </c>
      <c r="L298" s="53" t="str">
        <f>IF(G298&gt;=CO_ATT_INPUTS!$C$327,CHAR(252),CHAR(251))</f>
        <v>û</v>
      </c>
      <c r="M298" s="53" t="str">
        <f>IF(H298&gt;=CO_ATT_INPUTS!$C$327,CHAR(252),CHAR(251))</f>
        <v>û</v>
      </c>
      <c r="N298" s="54" t="str">
        <f>IF(I298&gt;=CO_ATT_INPUTS!$C$327,CHAR(252),CHAR(251))</f>
        <v>û</v>
      </c>
    </row>
    <row r="299" spans="1:14" s="51" customFormat="1" ht="37.5" hidden="1" customHeight="1" x14ac:dyDescent="0.25">
      <c r="A299" s="52">
        <f>CO_ATT_INPUTS!A299</f>
        <v>281</v>
      </c>
      <c r="B299" s="18">
        <f>CO_ATT_INPUTS!B299</f>
        <v>0</v>
      </c>
      <c r="C299" s="19">
        <f>CO_ATT_INPUTS!C299</f>
        <v>0</v>
      </c>
      <c r="D299" s="91">
        <f>CO_ATT_INPUTS!D299</f>
        <v>0</v>
      </c>
      <c r="E299" s="19">
        <f>CO_ATT_INPUTS!AF299</f>
        <v>0</v>
      </c>
      <c r="F299" s="19">
        <f>CO_ATT_INPUTS!AG299</f>
        <v>0</v>
      </c>
      <c r="G299" s="19">
        <f>CO_ATT_INPUTS!AH299</f>
        <v>0</v>
      </c>
      <c r="H299" s="19">
        <f>CO_ATT_INPUTS!AI299</f>
        <v>0</v>
      </c>
      <c r="I299" s="19">
        <f>CO_ATT_INPUTS!AJ299</f>
        <v>0</v>
      </c>
      <c r="J299" s="53" t="str">
        <f>IF(E299&gt;=CO_ATT_INPUTS!$C$327,CHAR(252),CHAR(251))</f>
        <v>û</v>
      </c>
      <c r="K299" s="53" t="str">
        <f>IF(F299&gt;=CO_ATT_INPUTS!$C$327,CHAR(252),CHAR(251))</f>
        <v>û</v>
      </c>
      <c r="L299" s="53" t="str">
        <f>IF(G299&gt;=CO_ATT_INPUTS!$C$327,CHAR(252),CHAR(251))</f>
        <v>û</v>
      </c>
      <c r="M299" s="53" t="str">
        <f>IF(H299&gt;=CO_ATT_INPUTS!$C$327,CHAR(252),CHAR(251))</f>
        <v>û</v>
      </c>
      <c r="N299" s="54" t="str">
        <f>IF(I299&gt;=CO_ATT_INPUTS!$C$327,CHAR(252),CHAR(251))</f>
        <v>û</v>
      </c>
    </row>
    <row r="300" spans="1:14" s="51" customFormat="1" ht="37.5" hidden="1" customHeight="1" x14ac:dyDescent="0.25">
      <c r="A300" s="52">
        <f>CO_ATT_INPUTS!A300</f>
        <v>282</v>
      </c>
      <c r="B300" s="18">
        <f>CO_ATT_INPUTS!B300</f>
        <v>0</v>
      </c>
      <c r="C300" s="19">
        <f>CO_ATT_INPUTS!C300</f>
        <v>0</v>
      </c>
      <c r="D300" s="91">
        <f>CO_ATT_INPUTS!D300</f>
        <v>0</v>
      </c>
      <c r="E300" s="19">
        <f>CO_ATT_INPUTS!AF300</f>
        <v>0</v>
      </c>
      <c r="F300" s="19">
        <f>CO_ATT_INPUTS!AG300</f>
        <v>0</v>
      </c>
      <c r="G300" s="19">
        <f>CO_ATT_INPUTS!AH300</f>
        <v>0</v>
      </c>
      <c r="H300" s="19">
        <f>CO_ATT_INPUTS!AI300</f>
        <v>0</v>
      </c>
      <c r="I300" s="19">
        <f>CO_ATT_INPUTS!AJ300</f>
        <v>0</v>
      </c>
      <c r="J300" s="53" t="str">
        <f>IF(E300&gt;=CO_ATT_INPUTS!$C$327,CHAR(252),CHAR(251))</f>
        <v>û</v>
      </c>
      <c r="K300" s="53" t="str">
        <f>IF(F300&gt;=CO_ATT_INPUTS!$C$327,CHAR(252),CHAR(251))</f>
        <v>û</v>
      </c>
      <c r="L300" s="53" t="str">
        <f>IF(G300&gt;=CO_ATT_INPUTS!$C$327,CHAR(252),CHAR(251))</f>
        <v>û</v>
      </c>
      <c r="M300" s="53" t="str">
        <f>IF(H300&gt;=CO_ATT_INPUTS!$C$327,CHAR(252),CHAR(251))</f>
        <v>û</v>
      </c>
      <c r="N300" s="54" t="str">
        <f>IF(I300&gt;=CO_ATT_INPUTS!$C$327,CHAR(252),CHAR(251))</f>
        <v>û</v>
      </c>
    </row>
    <row r="301" spans="1:14" s="51" customFormat="1" ht="37.5" hidden="1" customHeight="1" x14ac:dyDescent="0.25">
      <c r="A301" s="52">
        <f>CO_ATT_INPUTS!A301</f>
        <v>283</v>
      </c>
      <c r="B301" s="18">
        <f>CO_ATT_INPUTS!B301</f>
        <v>0</v>
      </c>
      <c r="C301" s="19">
        <f>CO_ATT_INPUTS!C301</f>
        <v>0</v>
      </c>
      <c r="D301" s="91">
        <f>CO_ATT_INPUTS!D301</f>
        <v>0</v>
      </c>
      <c r="E301" s="19">
        <f>CO_ATT_INPUTS!AF301</f>
        <v>0</v>
      </c>
      <c r="F301" s="19">
        <f>CO_ATT_INPUTS!AG301</f>
        <v>0</v>
      </c>
      <c r="G301" s="19">
        <f>CO_ATT_INPUTS!AH301</f>
        <v>0</v>
      </c>
      <c r="H301" s="19">
        <f>CO_ATT_INPUTS!AI301</f>
        <v>0</v>
      </c>
      <c r="I301" s="19">
        <f>CO_ATT_INPUTS!AJ301</f>
        <v>0</v>
      </c>
      <c r="J301" s="53" t="str">
        <f>IF(E301&gt;=CO_ATT_INPUTS!$C$327,CHAR(252),CHAR(251))</f>
        <v>û</v>
      </c>
      <c r="K301" s="53" t="str">
        <f>IF(F301&gt;=CO_ATT_INPUTS!$C$327,CHAR(252),CHAR(251))</f>
        <v>û</v>
      </c>
      <c r="L301" s="53" t="str">
        <f>IF(G301&gt;=CO_ATT_INPUTS!$C$327,CHAR(252),CHAR(251))</f>
        <v>û</v>
      </c>
      <c r="M301" s="53" t="str">
        <f>IF(H301&gt;=CO_ATT_INPUTS!$C$327,CHAR(252),CHAR(251))</f>
        <v>û</v>
      </c>
      <c r="N301" s="54" t="str">
        <f>IF(I301&gt;=CO_ATT_INPUTS!$C$327,CHAR(252),CHAR(251))</f>
        <v>û</v>
      </c>
    </row>
    <row r="302" spans="1:14" s="51" customFormat="1" ht="37.5" hidden="1" customHeight="1" x14ac:dyDescent="0.25">
      <c r="A302" s="52">
        <f>CO_ATT_INPUTS!A302</f>
        <v>284</v>
      </c>
      <c r="B302" s="18">
        <f>CO_ATT_INPUTS!B302</f>
        <v>0</v>
      </c>
      <c r="C302" s="19">
        <f>CO_ATT_INPUTS!C302</f>
        <v>0</v>
      </c>
      <c r="D302" s="91">
        <f>CO_ATT_INPUTS!D302</f>
        <v>0</v>
      </c>
      <c r="E302" s="19">
        <f>CO_ATT_INPUTS!AF302</f>
        <v>0</v>
      </c>
      <c r="F302" s="19">
        <f>CO_ATT_INPUTS!AG302</f>
        <v>0</v>
      </c>
      <c r="G302" s="19">
        <f>CO_ATT_INPUTS!AH302</f>
        <v>0</v>
      </c>
      <c r="H302" s="19">
        <f>CO_ATT_INPUTS!AI302</f>
        <v>0</v>
      </c>
      <c r="I302" s="19">
        <f>CO_ATT_INPUTS!AJ302</f>
        <v>0</v>
      </c>
      <c r="J302" s="53" t="str">
        <f>IF(E302&gt;=CO_ATT_INPUTS!$C$327,CHAR(252),CHAR(251))</f>
        <v>û</v>
      </c>
      <c r="K302" s="53" t="str">
        <f>IF(F302&gt;=CO_ATT_INPUTS!$C$327,CHAR(252),CHAR(251))</f>
        <v>û</v>
      </c>
      <c r="L302" s="53" t="str">
        <f>IF(G302&gt;=CO_ATT_INPUTS!$C$327,CHAR(252),CHAR(251))</f>
        <v>û</v>
      </c>
      <c r="M302" s="53" t="str">
        <f>IF(H302&gt;=CO_ATT_INPUTS!$C$327,CHAR(252),CHAR(251))</f>
        <v>û</v>
      </c>
      <c r="N302" s="54" t="str">
        <f>IF(I302&gt;=CO_ATT_INPUTS!$C$327,CHAR(252),CHAR(251))</f>
        <v>û</v>
      </c>
    </row>
    <row r="303" spans="1:14" s="51" customFormat="1" ht="37.5" hidden="1" customHeight="1" x14ac:dyDescent="0.25">
      <c r="A303" s="52">
        <f>CO_ATT_INPUTS!A303</f>
        <v>285</v>
      </c>
      <c r="B303" s="18">
        <f>CO_ATT_INPUTS!B303</f>
        <v>0</v>
      </c>
      <c r="C303" s="19">
        <f>CO_ATT_INPUTS!C303</f>
        <v>0</v>
      </c>
      <c r="D303" s="91">
        <f>CO_ATT_INPUTS!D303</f>
        <v>0</v>
      </c>
      <c r="E303" s="19">
        <f>CO_ATT_INPUTS!AF303</f>
        <v>0</v>
      </c>
      <c r="F303" s="19">
        <f>CO_ATT_INPUTS!AG303</f>
        <v>0</v>
      </c>
      <c r="G303" s="19">
        <f>CO_ATT_INPUTS!AH303</f>
        <v>0</v>
      </c>
      <c r="H303" s="19">
        <f>CO_ATT_INPUTS!AI303</f>
        <v>0</v>
      </c>
      <c r="I303" s="19">
        <f>CO_ATT_INPUTS!AJ303</f>
        <v>0</v>
      </c>
      <c r="J303" s="53" t="str">
        <f>IF(E303&gt;=CO_ATT_INPUTS!$C$327,CHAR(252),CHAR(251))</f>
        <v>û</v>
      </c>
      <c r="K303" s="53" t="str">
        <f>IF(F303&gt;=CO_ATT_INPUTS!$C$327,CHAR(252),CHAR(251))</f>
        <v>û</v>
      </c>
      <c r="L303" s="53" t="str">
        <f>IF(G303&gt;=CO_ATT_INPUTS!$C$327,CHAR(252),CHAR(251))</f>
        <v>û</v>
      </c>
      <c r="M303" s="53" t="str">
        <f>IF(H303&gt;=CO_ATT_INPUTS!$C$327,CHAR(252),CHAR(251))</f>
        <v>û</v>
      </c>
      <c r="N303" s="54" t="str">
        <f>IF(I303&gt;=CO_ATT_INPUTS!$C$327,CHAR(252),CHAR(251))</f>
        <v>û</v>
      </c>
    </row>
    <row r="304" spans="1:14" s="51" customFormat="1" ht="37.5" hidden="1" customHeight="1" x14ac:dyDescent="0.25">
      <c r="A304" s="52">
        <f>CO_ATT_INPUTS!A304</f>
        <v>286</v>
      </c>
      <c r="B304" s="18">
        <f>CO_ATT_INPUTS!B304</f>
        <v>0</v>
      </c>
      <c r="C304" s="19">
        <f>CO_ATT_INPUTS!C304</f>
        <v>0</v>
      </c>
      <c r="D304" s="91">
        <f>CO_ATT_INPUTS!D304</f>
        <v>0</v>
      </c>
      <c r="E304" s="19">
        <f>CO_ATT_INPUTS!AF304</f>
        <v>0</v>
      </c>
      <c r="F304" s="19">
        <f>CO_ATT_INPUTS!AG304</f>
        <v>0</v>
      </c>
      <c r="G304" s="19">
        <f>CO_ATT_INPUTS!AH304</f>
        <v>0</v>
      </c>
      <c r="H304" s="19">
        <f>CO_ATT_INPUTS!AI304</f>
        <v>0</v>
      </c>
      <c r="I304" s="19">
        <f>CO_ATT_INPUTS!AJ304</f>
        <v>0</v>
      </c>
      <c r="J304" s="53" t="str">
        <f>IF(E304&gt;=CO_ATT_INPUTS!$C$327,CHAR(252),CHAR(251))</f>
        <v>û</v>
      </c>
      <c r="K304" s="53" t="str">
        <f>IF(F304&gt;=CO_ATT_INPUTS!$C$327,CHAR(252),CHAR(251))</f>
        <v>û</v>
      </c>
      <c r="L304" s="53" t="str">
        <f>IF(G304&gt;=CO_ATT_INPUTS!$C$327,CHAR(252),CHAR(251))</f>
        <v>û</v>
      </c>
      <c r="M304" s="53" t="str">
        <f>IF(H304&gt;=CO_ATT_INPUTS!$C$327,CHAR(252),CHAR(251))</f>
        <v>û</v>
      </c>
      <c r="N304" s="54" t="str">
        <f>IF(I304&gt;=CO_ATT_INPUTS!$C$327,CHAR(252),CHAR(251))</f>
        <v>û</v>
      </c>
    </row>
    <row r="305" spans="1:14" s="51" customFormat="1" ht="37.5" hidden="1" customHeight="1" x14ac:dyDescent="0.25">
      <c r="A305" s="52">
        <f>CO_ATT_INPUTS!A305</f>
        <v>287</v>
      </c>
      <c r="B305" s="18">
        <f>CO_ATT_INPUTS!B305</f>
        <v>0</v>
      </c>
      <c r="C305" s="19">
        <f>CO_ATT_INPUTS!C305</f>
        <v>0</v>
      </c>
      <c r="D305" s="91">
        <f>CO_ATT_INPUTS!D305</f>
        <v>0</v>
      </c>
      <c r="E305" s="19">
        <f>CO_ATT_INPUTS!AF305</f>
        <v>0</v>
      </c>
      <c r="F305" s="19">
        <f>CO_ATT_INPUTS!AG305</f>
        <v>0</v>
      </c>
      <c r="G305" s="19">
        <f>CO_ATT_INPUTS!AH305</f>
        <v>0</v>
      </c>
      <c r="H305" s="19">
        <f>CO_ATT_INPUTS!AI305</f>
        <v>0</v>
      </c>
      <c r="I305" s="19">
        <f>CO_ATT_INPUTS!AJ305</f>
        <v>0</v>
      </c>
      <c r="J305" s="53" t="str">
        <f>IF(E305&gt;=CO_ATT_INPUTS!$C$327,CHAR(252),CHAR(251))</f>
        <v>û</v>
      </c>
      <c r="K305" s="53" t="str">
        <f>IF(F305&gt;=CO_ATT_INPUTS!$C$327,CHAR(252),CHAR(251))</f>
        <v>û</v>
      </c>
      <c r="L305" s="53" t="str">
        <f>IF(G305&gt;=CO_ATT_INPUTS!$C$327,CHAR(252),CHAR(251))</f>
        <v>û</v>
      </c>
      <c r="M305" s="53" t="str">
        <f>IF(H305&gt;=CO_ATT_INPUTS!$C$327,CHAR(252),CHAR(251))</f>
        <v>û</v>
      </c>
      <c r="N305" s="54" t="str">
        <f>IF(I305&gt;=CO_ATT_INPUTS!$C$327,CHAR(252),CHAR(251))</f>
        <v>û</v>
      </c>
    </row>
    <row r="306" spans="1:14" s="51" customFormat="1" ht="37.5" hidden="1" customHeight="1" x14ac:dyDescent="0.25">
      <c r="A306" s="52">
        <f>CO_ATT_INPUTS!A306</f>
        <v>288</v>
      </c>
      <c r="B306" s="18">
        <f>CO_ATT_INPUTS!B306</f>
        <v>0</v>
      </c>
      <c r="C306" s="19">
        <f>CO_ATT_INPUTS!C306</f>
        <v>0</v>
      </c>
      <c r="D306" s="91">
        <f>CO_ATT_INPUTS!D306</f>
        <v>0</v>
      </c>
      <c r="E306" s="19">
        <f>CO_ATT_INPUTS!AF306</f>
        <v>0</v>
      </c>
      <c r="F306" s="19">
        <f>CO_ATT_INPUTS!AG306</f>
        <v>0</v>
      </c>
      <c r="G306" s="19">
        <f>CO_ATT_INPUTS!AH306</f>
        <v>0</v>
      </c>
      <c r="H306" s="19">
        <f>CO_ATT_INPUTS!AI306</f>
        <v>0</v>
      </c>
      <c r="I306" s="19">
        <f>CO_ATT_INPUTS!AJ306</f>
        <v>0</v>
      </c>
      <c r="J306" s="53" t="str">
        <f>IF(E306&gt;=CO_ATT_INPUTS!$C$327,CHAR(252),CHAR(251))</f>
        <v>û</v>
      </c>
      <c r="K306" s="53" t="str">
        <f>IF(F306&gt;=CO_ATT_INPUTS!$C$327,CHAR(252),CHAR(251))</f>
        <v>û</v>
      </c>
      <c r="L306" s="53" t="str">
        <f>IF(G306&gt;=CO_ATT_INPUTS!$C$327,CHAR(252),CHAR(251))</f>
        <v>û</v>
      </c>
      <c r="M306" s="53" t="str">
        <f>IF(H306&gt;=CO_ATT_INPUTS!$C$327,CHAR(252),CHAR(251))</f>
        <v>û</v>
      </c>
      <c r="N306" s="54" t="str">
        <f>IF(I306&gt;=CO_ATT_INPUTS!$C$327,CHAR(252),CHAR(251))</f>
        <v>û</v>
      </c>
    </row>
    <row r="307" spans="1:14" s="51" customFormat="1" ht="37.5" hidden="1" customHeight="1" x14ac:dyDescent="0.25">
      <c r="A307" s="52">
        <f>CO_ATT_INPUTS!A307</f>
        <v>289</v>
      </c>
      <c r="B307" s="18">
        <f>CO_ATT_INPUTS!B307</f>
        <v>0</v>
      </c>
      <c r="C307" s="19">
        <f>CO_ATT_INPUTS!C307</f>
        <v>0</v>
      </c>
      <c r="D307" s="91">
        <f>CO_ATT_INPUTS!D307</f>
        <v>0</v>
      </c>
      <c r="E307" s="19">
        <f>CO_ATT_INPUTS!AF307</f>
        <v>0</v>
      </c>
      <c r="F307" s="19">
        <f>CO_ATT_INPUTS!AG307</f>
        <v>0</v>
      </c>
      <c r="G307" s="19">
        <f>CO_ATT_INPUTS!AH307</f>
        <v>0</v>
      </c>
      <c r="H307" s="19">
        <f>CO_ATT_INPUTS!AI307</f>
        <v>0</v>
      </c>
      <c r="I307" s="19">
        <f>CO_ATT_INPUTS!AJ307</f>
        <v>0</v>
      </c>
      <c r="J307" s="53" t="str">
        <f>IF(E307&gt;=CO_ATT_INPUTS!$C$327,CHAR(252),CHAR(251))</f>
        <v>û</v>
      </c>
      <c r="K307" s="53" t="str">
        <f>IF(F307&gt;=CO_ATT_INPUTS!$C$327,CHAR(252),CHAR(251))</f>
        <v>û</v>
      </c>
      <c r="L307" s="53" t="str">
        <f>IF(G307&gt;=CO_ATT_INPUTS!$C$327,CHAR(252),CHAR(251))</f>
        <v>û</v>
      </c>
      <c r="M307" s="53" t="str">
        <f>IF(H307&gt;=CO_ATT_INPUTS!$C$327,CHAR(252),CHAR(251))</f>
        <v>û</v>
      </c>
      <c r="N307" s="54" t="str">
        <f>IF(I307&gt;=CO_ATT_INPUTS!$C$327,CHAR(252),CHAR(251))</f>
        <v>û</v>
      </c>
    </row>
    <row r="308" spans="1:14" s="51" customFormat="1" ht="37.5" hidden="1" customHeight="1" x14ac:dyDescent="0.25">
      <c r="A308" s="52">
        <f>CO_ATT_INPUTS!A308</f>
        <v>290</v>
      </c>
      <c r="B308" s="18">
        <f>CO_ATT_INPUTS!B308</f>
        <v>0</v>
      </c>
      <c r="C308" s="19">
        <f>CO_ATT_INPUTS!C308</f>
        <v>0</v>
      </c>
      <c r="D308" s="91">
        <f>CO_ATT_INPUTS!D308</f>
        <v>0</v>
      </c>
      <c r="E308" s="19">
        <f>CO_ATT_INPUTS!AF308</f>
        <v>0</v>
      </c>
      <c r="F308" s="19">
        <f>CO_ATT_INPUTS!AG308</f>
        <v>0</v>
      </c>
      <c r="G308" s="19">
        <f>CO_ATT_INPUTS!AH308</f>
        <v>0</v>
      </c>
      <c r="H308" s="19">
        <f>CO_ATT_INPUTS!AI308</f>
        <v>0</v>
      </c>
      <c r="I308" s="19">
        <f>CO_ATT_INPUTS!AJ308</f>
        <v>0</v>
      </c>
      <c r="J308" s="53" t="str">
        <f>IF(E308&gt;=CO_ATT_INPUTS!$C$327,CHAR(252),CHAR(251))</f>
        <v>û</v>
      </c>
      <c r="K308" s="53" t="str">
        <f>IF(F308&gt;=CO_ATT_INPUTS!$C$327,CHAR(252),CHAR(251))</f>
        <v>û</v>
      </c>
      <c r="L308" s="53" t="str">
        <f>IF(G308&gt;=CO_ATT_INPUTS!$C$327,CHAR(252),CHAR(251))</f>
        <v>û</v>
      </c>
      <c r="M308" s="53" t="str">
        <f>IF(H308&gt;=CO_ATT_INPUTS!$C$327,CHAR(252),CHAR(251))</f>
        <v>û</v>
      </c>
      <c r="N308" s="54" t="str">
        <f>IF(I308&gt;=CO_ATT_INPUTS!$C$327,CHAR(252),CHAR(251))</f>
        <v>û</v>
      </c>
    </row>
    <row r="309" spans="1:14" s="51" customFormat="1" ht="37.5" hidden="1" customHeight="1" x14ac:dyDescent="0.25">
      <c r="A309" s="52">
        <f>CO_ATT_INPUTS!A309</f>
        <v>291</v>
      </c>
      <c r="B309" s="18">
        <f>CO_ATT_INPUTS!B309</f>
        <v>0</v>
      </c>
      <c r="C309" s="19">
        <f>CO_ATT_INPUTS!C309</f>
        <v>0</v>
      </c>
      <c r="D309" s="91">
        <f>CO_ATT_INPUTS!D309</f>
        <v>0</v>
      </c>
      <c r="E309" s="19">
        <f>CO_ATT_INPUTS!AF309</f>
        <v>0</v>
      </c>
      <c r="F309" s="19">
        <f>CO_ATT_INPUTS!AG309</f>
        <v>0</v>
      </c>
      <c r="G309" s="19">
        <f>CO_ATT_INPUTS!AH309</f>
        <v>0</v>
      </c>
      <c r="H309" s="19">
        <f>CO_ATT_INPUTS!AI309</f>
        <v>0</v>
      </c>
      <c r="I309" s="19">
        <f>CO_ATT_INPUTS!AJ309</f>
        <v>0</v>
      </c>
      <c r="J309" s="53" t="str">
        <f>IF(E309&gt;=CO_ATT_INPUTS!$C$327,CHAR(252),CHAR(251))</f>
        <v>û</v>
      </c>
      <c r="K309" s="53" t="str">
        <f>IF(F309&gt;=CO_ATT_INPUTS!$C$327,CHAR(252),CHAR(251))</f>
        <v>û</v>
      </c>
      <c r="L309" s="53" t="str">
        <f>IF(G309&gt;=CO_ATT_INPUTS!$C$327,CHAR(252),CHAR(251))</f>
        <v>û</v>
      </c>
      <c r="M309" s="53" t="str">
        <f>IF(H309&gt;=CO_ATT_INPUTS!$C$327,CHAR(252),CHAR(251))</f>
        <v>û</v>
      </c>
      <c r="N309" s="54" t="str">
        <f>IF(I309&gt;=CO_ATT_INPUTS!$C$327,CHAR(252),CHAR(251))</f>
        <v>û</v>
      </c>
    </row>
    <row r="310" spans="1:14" s="51" customFormat="1" ht="37.5" hidden="1" customHeight="1" x14ac:dyDescent="0.25">
      <c r="A310" s="52">
        <f>CO_ATT_INPUTS!A310</f>
        <v>292</v>
      </c>
      <c r="B310" s="18">
        <f>CO_ATT_INPUTS!B310</f>
        <v>0</v>
      </c>
      <c r="C310" s="19">
        <f>CO_ATT_INPUTS!C310</f>
        <v>0</v>
      </c>
      <c r="D310" s="91">
        <f>CO_ATT_INPUTS!D310</f>
        <v>0</v>
      </c>
      <c r="E310" s="19">
        <f>CO_ATT_INPUTS!AF310</f>
        <v>0</v>
      </c>
      <c r="F310" s="19">
        <f>CO_ATT_INPUTS!AG310</f>
        <v>0</v>
      </c>
      <c r="G310" s="19">
        <f>CO_ATT_INPUTS!AH310</f>
        <v>0</v>
      </c>
      <c r="H310" s="19">
        <f>CO_ATT_INPUTS!AI310</f>
        <v>0</v>
      </c>
      <c r="I310" s="19">
        <f>CO_ATT_INPUTS!AJ310</f>
        <v>0</v>
      </c>
      <c r="J310" s="53" t="str">
        <f>IF(E310&gt;=CO_ATT_INPUTS!$C$327,CHAR(252),CHAR(251))</f>
        <v>û</v>
      </c>
      <c r="K310" s="53" t="str">
        <f>IF(F310&gt;=CO_ATT_INPUTS!$C$327,CHAR(252),CHAR(251))</f>
        <v>û</v>
      </c>
      <c r="L310" s="53" t="str">
        <f>IF(G310&gt;=CO_ATT_INPUTS!$C$327,CHAR(252),CHAR(251))</f>
        <v>û</v>
      </c>
      <c r="M310" s="53" t="str">
        <f>IF(H310&gt;=CO_ATT_INPUTS!$C$327,CHAR(252),CHAR(251))</f>
        <v>û</v>
      </c>
      <c r="N310" s="54" t="str">
        <f>IF(I310&gt;=CO_ATT_INPUTS!$C$327,CHAR(252),CHAR(251))</f>
        <v>û</v>
      </c>
    </row>
    <row r="311" spans="1:14" s="51" customFormat="1" ht="37.5" hidden="1" customHeight="1" x14ac:dyDescent="0.25">
      <c r="A311" s="52">
        <f>CO_ATT_INPUTS!A311</f>
        <v>293</v>
      </c>
      <c r="B311" s="18">
        <f>CO_ATT_INPUTS!B311</f>
        <v>0</v>
      </c>
      <c r="C311" s="19">
        <f>CO_ATT_INPUTS!C311</f>
        <v>0</v>
      </c>
      <c r="D311" s="91">
        <f>CO_ATT_INPUTS!D311</f>
        <v>0</v>
      </c>
      <c r="E311" s="19">
        <f>CO_ATT_INPUTS!AF311</f>
        <v>0</v>
      </c>
      <c r="F311" s="19">
        <f>CO_ATT_INPUTS!AG311</f>
        <v>0</v>
      </c>
      <c r="G311" s="19">
        <f>CO_ATT_INPUTS!AH311</f>
        <v>0</v>
      </c>
      <c r="H311" s="19">
        <f>CO_ATT_INPUTS!AI311</f>
        <v>0</v>
      </c>
      <c r="I311" s="19">
        <f>CO_ATT_INPUTS!AJ311</f>
        <v>0</v>
      </c>
      <c r="J311" s="53" t="str">
        <f>IF(E311&gt;=CO_ATT_INPUTS!$C$327,CHAR(252),CHAR(251))</f>
        <v>û</v>
      </c>
      <c r="K311" s="53" t="str">
        <f>IF(F311&gt;=CO_ATT_INPUTS!$C$327,CHAR(252),CHAR(251))</f>
        <v>û</v>
      </c>
      <c r="L311" s="53" t="str">
        <f>IF(G311&gt;=CO_ATT_INPUTS!$C$327,CHAR(252),CHAR(251))</f>
        <v>û</v>
      </c>
      <c r="M311" s="53" t="str">
        <f>IF(H311&gt;=CO_ATT_INPUTS!$C$327,CHAR(252),CHAR(251))</f>
        <v>û</v>
      </c>
      <c r="N311" s="54" t="str">
        <f>IF(I311&gt;=CO_ATT_INPUTS!$C$327,CHAR(252),CHAR(251))</f>
        <v>û</v>
      </c>
    </row>
    <row r="312" spans="1:14" s="51" customFormat="1" ht="37.5" hidden="1" customHeight="1" x14ac:dyDescent="0.25">
      <c r="A312" s="52">
        <f>CO_ATT_INPUTS!A312</f>
        <v>294</v>
      </c>
      <c r="B312" s="18">
        <f>CO_ATT_INPUTS!B312</f>
        <v>0</v>
      </c>
      <c r="C312" s="19">
        <f>CO_ATT_INPUTS!C312</f>
        <v>0</v>
      </c>
      <c r="D312" s="91">
        <f>CO_ATT_INPUTS!D312</f>
        <v>0</v>
      </c>
      <c r="E312" s="19">
        <f>CO_ATT_INPUTS!AF312</f>
        <v>0</v>
      </c>
      <c r="F312" s="19">
        <f>CO_ATT_INPUTS!AG312</f>
        <v>0</v>
      </c>
      <c r="G312" s="19">
        <f>CO_ATT_INPUTS!AH312</f>
        <v>0</v>
      </c>
      <c r="H312" s="19">
        <f>CO_ATT_INPUTS!AI312</f>
        <v>0</v>
      </c>
      <c r="I312" s="19">
        <f>CO_ATT_INPUTS!AJ312</f>
        <v>0</v>
      </c>
      <c r="J312" s="53" t="str">
        <f>IF(E312&gt;=CO_ATT_INPUTS!$C$327,CHAR(252),CHAR(251))</f>
        <v>û</v>
      </c>
      <c r="K312" s="53" t="str">
        <f>IF(F312&gt;=CO_ATT_INPUTS!$C$327,CHAR(252),CHAR(251))</f>
        <v>û</v>
      </c>
      <c r="L312" s="53" t="str">
        <f>IF(G312&gt;=CO_ATT_INPUTS!$C$327,CHAR(252),CHAR(251))</f>
        <v>û</v>
      </c>
      <c r="M312" s="53" t="str">
        <f>IF(H312&gt;=CO_ATT_INPUTS!$C$327,CHAR(252),CHAR(251))</f>
        <v>û</v>
      </c>
      <c r="N312" s="54" t="str">
        <f>IF(I312&gt;=CO_ATT_INPUTS!$C$327,CHAR(252),CHAR(251))</f>
        <v>û</v>
      </c>
    </row>
    <row r="313" spans="1:14" s="51" customFormat="1" ht="37.5" hidden="1" customHeight="1" x14ac:dyDescent="0.25">
      <c r="A313" s="52">
        <f>CO_ATT_INPUTS!A313</f>
        <v>295</v>
      </c>
      <c r="B313" s="18">
        <f>CO_ATT_INPUTS!B313</f>
        <v>0</v>
      </c>
      <c r="C313" s="19">
        <f>CO_ATT_INPUTS!C313</f>
        <v>0</v>
      </c>
      <c r="D313" s="91">
        <f>CO_ATT_INPUTS!D313</f>
        <v>0</v>
      </c>
      <c r="E313" s="19">
        <f>CO_ATT_INPUTS!AF313</f>
        <v>0</v>
      </c>
      <c r="F313" s="19">
        <f>CO_ATT_INPUTS!AG313</f>
        <v>0</v>
      </c>
      <c r="G313" s="19">
        <f>CO_ATT_INPUTS!AH313</f>
        <v>0</v>
      </c>
      <c r="H313" s="19">
        <f>CO_ATT_INPUTS!AI313</f>
        <v>0</v>
      </c>
      <c r="I313" s="19">
        <f>CO_ATT_INPUTS!AJ313</f>
        <v>0</v>
      </c>
      <c r="J313" s="53" t="str">
        <f>IF(E313&gt;=CO_ATT_INPUTS!$C$327,CHAR(252),CHAR(251))</f>
        <v>û</v>
      </c>
      <c r="K313" s="53" t="str">
        <f>IF(F313&gt;=CO_ATT_INPUTS!$C$327,CHAR(252),CHAR(251))</f>
        <v>û</v>
      </c>
      <c r="L313" s="53" t="str">
        <f>IF(G313&gt;=CO_ATT_INPUTS!$C$327,CHAR(252),CHAR(251))</f>
        <v>û</v>
      </c>
      <c r="M313" s="53" t="str">
        <f>IF(H313&gt;=CO_ATT_INPUTS!$C$327,CHAR(252),CHAR(251))</f>
        <v>û</v>
      </c>
      <c r="N313" s="54" t="str">
        <f>IF(I313&gt;=CO_ATT_INPUTS!$C$327,CHAR(252),CHAR(251))</f>
        <v>û</v>
      </c>
    </row>
    <row r="314" spans="1:14" s="51" customFormat="1" ht="37.5" hidden="1" customHeight="1" x14ac:dyDescent="0.25">
      <c r="A314" s="52">
        <f>CO_ATT_INPUTS!A314</f>
        <v>296</v>
      </c>
      <c r="B314" s="18">
        <f>CO_ATT_INPUTS!B314</f>
        <v>0</v>
      </c>
      <c r="C314" s="19">
        <f>CO_ATT_INPUTS!C314</f>
        <v>0</v>
      </c>
      <c r="D314" s="91">
        <f>CO_ATT_INPUTS!D314</f>
        <v>0</v>
      </c>
      <c r="E314" s="19">
        <f>CO_ATT_INPUTS!AF314</f>
        <v>0</v>
      </c>
      <c r="F314" s="19">
        <f>CO_ATT_INPUTS!AG314</f>
        <v>0</v>
      </c>
      <c r="G314" s="19">
        <f>CO_ATT_INPUTS!AH314</f>
        <v>0</v>
      </c>
      <c r="H314" s="19">
        <f>CO_ATT_INPUTS!AI314</f>
        <v>0</v>
      </c>
      <c r="I314" s="19">
        <f>CO_ATT_INPUTS!AJ314</f>
        <v>0</v>
      </c>
      <c r="J314" s="53" t="str">
        <f>IF(E314&gt;=CO_ATT_INPUTS!$C$327,CHAR(252),CHAR(251))</f>
        <v>û</v>
      </c>
      <c r="K314" s="53" t="str">
        <f>IF(F314&gt;=CO_ATT_INPUTS!$C$327,CHAR(252),CHAR(251))</f>
        <v>û</v>
      </c>
      <c r="L314" s="53" t="str">
        <f>IF(G314&gt;=CO_ATT_INPUTS!$C$327,CHAR(252),CHAR(251))</f>
        <v>û</v>
      </c>
      <c r="M314" s="53" t="str">
        <f>IF(H314&gt;=CO_ATT_INPUTS!$C$327,CHAR(252),CHAR(251))</f>
        <v>û</v>
      </c>
      <c r="N314" s="54" t="str">
        <f>IF(I314&gt;=CO_ATT_INPUTS!$C$327,CHAR(252),CHAR(251))</f>
        <v>û</v>
      </c>
    </row>
    <row r="315" spans="1:14" s="51" customFormat="1" ht="37.5" hidden="1" customHeight="1" x14ac:dyDescent="0.25">
      <c r="A315" s="52">
        <f>CO_ATT_INPUTS!A315</f>
        <v>297</v>
      </c>
      <c r="B315" s="18">
        <f>CO_ATT_INPUTS!B315</f>
        <v>0</v>
      </c>
      <c r="C315" s="19">
        <f>CO_ATT_INPUTS!C315</f>
        <v>0</v>
      </c>
      <c r="D315" s="91">
        <f>CO_ATT_INPUTS!D315</f>
        <v>0</v>
      </c>
      <c r="E315" s="19">
        <f>CO_ATT_INPUTS!AF315</f>
        <v>0</v>
      </c>
      <c r="F315" s="19">
        <f>CO_ATT_INPUTS!AG315</f>
        <v>0</v>
      </c>
      <c r="G315" s="19">
        <f>CO_ATT_INPUTS!AH315</f>
        <v>0</v>
      </c>
      <c r="H315" s="19">
        <f>CO_ATT_INPUTS!AI315</f>
        <v>0</v>
      </c>
      <c r="I315" s="19">
        <f>CO_ATT_INPUTS!AJ315</f>
        <v>0</v>
      </c>
      <c r="J315" s="53" t="str">
        <f>IF(E315&gt;=CO_ATT_INPUTS!$C$327,CHAR(252),CHAR(251))</f>
        <v>û</v>
      </c>
      <c r="K315" s="53" t="str">
        <f>IF(F315&gt;=CO_ATT_INPUTS!$C$327,CHAR(252),CHAR(251))</f>
        <v>û</v>
      </c>
      <c r="L315" s="53" t="str">
        <f>IF(G315&gt;=CO_ATT_INPUTS!$C$327,CHAR(252),CHAR(251))</f>
        <v>û</v>
      </c>
      <c r="M315" s="53" t="str">
        <f>IF(H315&gt;=CO_ATT_INPUTS!$C$327,CHAR(252),CHAR(251))</f>
        <v>û</v>
      </c>
      <c r="N315" s="54" t="str">
        <f>IF(I315&gt;=CO_ATT_INPUTS!$C$327,CHAR(252),CHAR(251))</f>
        <v>û</v>
      </c>
    </row>
    <row r="316" spans="1:14" s="51" customFormat="1" ht="37.5" hidden="1" customHeight="1" x14ac:dyDescent="0.25">
      <c r="A316" s="52">
        <f>CO_ATT_INPUTS!A316</f>
        <v>298</v>
      </c>
      <c r="B316" s="18">
        <f>CO_ATT_INPUTS!B316</f>
        <v>0</v>
      </c>
      <c r="C316" s="19">
        <f>CO_ATT_INPUTS!C316</f>
        <v>0</v>
      </c>
      <c r="D316" s="91">
        <f>CO_ATT_INPUTS!D316</f>
        <v>0</v>
      </c>
      <c r="E316" s="19">
        <f>CO_ATT_INPUTS!AF316</f>
        <v>0</v>
      </c>
      <c r="F316" s="19">
        <f>CO_ATT_INPUTS!AG316</f>
        <v>0</v>
      </c>
      <c r="G316" s="19">
        <f>CO_ATT_INPUTS!AH316</f>
        <v>0</v>
      </c>
      <c r="H316" s="19">
        <f>CO_ATT_INPUTS!AI316</f>
        <v>0</v>
      </c>
      <c r="I316" s="19">
        <f>CO_ATT_INPUTS!AJ316</f>
        <v>0</v>
      </c>
      <c r="J316" s="53" t="str">
        <f>IF(E316&gt;=CO_ATT_INPUTS!$C$327,CHAR(252),CHAR(251))</f>
        <v>û</v>
      </c>
      <c r="K316" s="53" t="str">
        <f>IF(F316&gt;=CO_ATT_INPUTS!$C$327,CHAR(252),CHAR(251))</f>
        <v>û</v>
      </c>
      <c r="L316" s="53" t="str">
        <f>IF(G316&gt;=CO_ATT_INPUTS!$C$327,CHAR(252),CHAR(251))</f>
        <v>û</v>
      </c>
      <c r="M316" s="53" t="str">
        <f>IF(H316&gt;=CO_ATT_INPUTS!$C$327,CHAR(252),CHAR(251))</f>
        <v>û</v>
      </c>
      <c r="N316" s="54" t="str">
        <f>IF(I316&gt;=CO_ATT_INPUTS!$C$327,CHAR(252),CHAR(251))</f>
        <v>û</v>
      </c>
    </row>
    <row r="317" spans="1:14" s="51" customFormat="1" ht="37.5" hidden="1" customHeight="1" x14ac:dyDescent="0.25">
      <c r="A317" s="52">
        <f>CO_ATT_INPUTS!A317</f>
        <v>299</v>
      </c>
      <c r="B317" s="18">
        <f>CO_ATT_INPUTS!B317</f>
        <v>0</v>
      </c>
      <c r="C317" s="19">
        <f>CO_ATT_INPUTS!C317</f>
        <v>0</v>
      </c>
      <c r="D317" s="91">
        <f>CO_ATT_INPUTS!D317</f>
        <v>0</v>
      </c>
      <c r="E317" s="19">
        <f>CO_ATT_INPUTS!AF317</f>
        <v>0</v>
      </c>
      <c r="F317" s="19">
        <f>CO_ATT_INPUTS!AG317</f>
        <v>0</v>
      </c>
      <c r="G317" s="19">
        <f>CO_ATT_INPUTS!AH317</f>
        <v>0</v>
      </c>
      <c r="H317" s="19">
        <f>CO_ATT_INPUTS!AI317</f>
        <v>0</v>
      </c>
      <c r="I317" s="19">
        <f>CO_ATT_INPUTS!AJ317</f>
        <v>0</v>
      </c>
      <c r="J317" s="53" t="str">
        <f>IF(E317&gt;=CO_ATT_INPUTS!$C$327,CHAR(252),CHAR(251))</f>
        <v>û</v>
      </c>
      <c r="K317" s="53" t="str">
        <f>IF(F317&gt;=CO_ATT_INPUTS!$C$327,CHAR(252),CHAR(251))</f>
        <v>û</v>
      </c>
      <c r="L317" s="53" t="str">
        <f>IF(G317&gt;=CO_ATT_INPUTS!$C$327,CHAR(252),CHAR(251))</f>
        <v>û</v>
      </c>
      <c r="M317" s="53" t="str">
        <f>IF(H317&gt;=CO_ATT_INPUTS!$C$327,CHAR(252),CHAR(251))</f>
        <v>û</v>
      </c>
      <c r="N317" s="54" t="str">
        <f>IF(I317&gt;=CO_ATT_INPUTS!$C$327,CHAR(252),CHAR(251))</f>
        <v>û</v>
      </c>
    </row>
    <row r="318" spans="1:14" s="51" customFormat="1" ht="37.5" hidden="1" customHeight="1" x14ac:dyDescent="0.25">
      <c r="A318" s="52">
        <f>CO_ATT_INPUTS!A318</f>
        <v>300</v>
      </c>
      <c r="B318" s="18">
        <f>CO_ATT_INPUTS!B318</f>
        <v>0</v>
      </c>
      <c r="C318" s="19">
        <f>CO_ATT_INPUTS!C318</f>
        <v>0</v>
      </c>
      <c r="D318" s="91">
        <f>CO_ATT_INPUTS!D318</f>
        <v>0</v>
      </c>
      <c r="E318" s="19">
        <f>CO_ATT_INPUTS!AF318</f>
        <v>0</v>
      </c>
      <c r="F318" s="19">
        <f>CO_ATT_INPUTS!AG318</f>
        <v>0</v>
      </c>
      <c r="G318" s="19">
        <f>CO_ATT_INPUTS!AH318</f>
        <v>0</v>
      </c>
      <c r="H318" s="19">
        <f>CO_ATT_INPUTS!AI318</f>
        <v>0</v>
      </c>
      <c r="I318" s="19">
        <f>CO_ATT_INPUTS!AJ318</f>
        <v>0</v>
      </c>
      <c r="J318" s="53" t="str">
        <f>IF(E318&gt;=CO_ATT_INPUTS!$C$327,CHAR(252),CHAR(251))</f>
        <v>û</v>
      </c>
      <c r="K318" s="53" t="str">
        <f>IF(F318&gt;=CO_ATT_INPUTS!$C$327,CHAR(252),CHAR(251))</f>
        <v>û</v>
      </c>
      <c r="L318" s="53" t="str">
        <f>IF(G318&gt;=CO_ATT_INPUTS!$C$327,CHAR(252),CHAR(251))</f>
        <v>û</v>
      </c>
      <c r="M318" s="53" t="str">
        <f>IF(H318&gt;=CO_ATT_INPUTS!$C$327,CHAR(252),CHAR(251))</f>
        <v>û</v>
      </c>
      <c r="N318" s="54" t="str">
        <f>IF(I318&gt;=CO_ATT_INPUTS!$C$327,CHAR(252),CHAR(251))</f>
        <v>û</v>
      </c>
    </row>
    <row r="319" spans="1:14" s="51" customFormat="1" ht="24" thickBot="1" x14ac:dyDescent="0.3">
      <c r="A319" s="26"/>
      <c r="B319" s="55"/>
      <c r="C319" s="55"/>
      <c r="D319" s="55"/>
      <c r="E319" s="56"/>
      <c r="F319" s="56"/>
      <c r="G319" s="56"/>
      <c r="H319" s="56"/>
      <c r="I319" s="56"/>
      <c r="J319" s="57"/>
      <c r="K319" s="57"/>
      <c r="L319" s="57"/>
      <c r="M319" s="57"/>
      <c r="N319" s="57"/>
    </row>
    <row r="320" spans="1:14" s="21" customFormat="1" ht="22.5" x14ac:dyDescent="0.25">
      <c r="A320" s="207" t="s">
        <v>120</v>
      </c>
      <c r="B320" s="208"/>
      <c r="C320" s="208"/>
      <c r="D320" s="209"/>
      <c r="E320" s="213" t="s">
        <v>4</v>
      </c>
      <c r="F320" s="213" t="s">
        <v>5</v>
      </c>
      <c r="G320" s="213" t="s">
        <v>6</v>
      </c>
      <c r="H320" s="213" t="s">
        <v>7</v>
      </c>
      <c r="I320" s="224" t="s">
        <v>8</v>
      </c>
      <c r="J320" s="226"/>
      <c r="K320" s="226"/>
      <c r="L320" s="226"/>
      <c r="M320" s="226"/>
      <c r="N320" s="226"/>
    </row>
    <row r="321" spans="1:14" s="21" customFormat="1" ht="22.5" x14ac:dyDescent="0.25">
      <c r="A321" s="210"/>
      <c r="B321" s="211"/>
      <c r="C321" s="211"/>
      <c r="D321" s="212"/>
      <c r="E321" s="144"/>
      <c r="F321" s="144"/>
      <c r="G321" s="144"/>
      <c r="H321" s="144"/>
      <c r="I321" s="225"/>
      <c r="J321" s="145"/>
      <c r="K321" s="145"/>
      <c r="L321" s="145"/>
      <c r="M321" s="145"/>
      <c r="N321" s="145"/>
    </row>
    <row r="322" spans="1:14" s="21" customFormat="1" ht="45.75" customHeight="1" x14ac:dyDescent="0.25">
      <c r="A322" s="203" t="s">
        <v>174</v>
      </c>
      <c r="B322" s="204"/>
      <c r="C322" s="204"/>
      <c r="D322" s="205"/>
      <c r="E322" s="19">
        <f>COUNTIF(E19:E318,"&gt;="&amp;CO_ATT_INPUTS!$D323)</f>
        <v>62</v>
      </c>
      <c r="F322" s="19">
        <f>COUNTIF(F19:F318,"&gt;="&amp;CO_ATT_INPUTS!$D323)</f>
        <v>54</v>
      </c>
      <c r="G322" s="19">
        <f>COUNTIF(G19:G318,"&gt;="&amp;CO_ATT_INPUTS!$D323)</f>
        <v>46</v>
      </c>
      <c r="H322" s="19">
        <f>COUNTIF(H19:H318,"&gt;="&amp;CO_ATT_INPUTS!$D323)</f>
        <v>54</v>
      </c>
      <c r="I322" s="45">
        <f>COUNTIF(I19:I318,"&gt;="&amp;CO_ATT_INPUTS!$D323)</f>
        <v>47</v>
      </c>
      <c r="J322" s="145"/>
      <c r="K322" s="145"/>
      <c r="L322" s="145"/>
      <c r="M322" s="145"/>
      <c r="N322" s="145"/>
    </row>
    <row r="323" spans="1:14" s="21" customFormat="1" ht="33.75" customHeight="1" x14ac:dyDescent="0.25">
      <c r="A323" s="200" t="e">
        <f>#REF!</f>
        <v>#REF!</v>
      </c>
      <c r="B323" s="201"/>
      <c r="C323" s="201"/>
      <c r="D323" s="202"/>
      <c r="E323" s="66">
        <f>(E322/$D$13)*100</f>
        <v>95.384615384615387</v>
      </c>
      <c r="F323" s="66">
        <f t="shared" ref="F323:I323" si="0">(F322/$D$13)*100</f>
        <v>83.07692307692308</v>
      </c>
      <c r="G323" s="66">
        <f t="shared" si="0"/>
        <v>70.769230769230774</v>
      </c>
      <c r="H323" s="66">
        <f t="shared" si="0"/>
        <v>83.07692307692308</v>
      </c>
      <c r="I323" s="67">
        <f t="shared" si="0"/>
        <v>72.307692307692307</v>
      </c>
      <c r="J323" s="145"/>
      <c r="K323" s="145"/>
      <c r="L323" s="145"/>
      <c r="M323" s="145"/>
      <c r="N323" s="145"/>
    </row>
    <row r="324" spans="1:14" s="21" customFormat="1" ht="45" customHeight="1" thickBot="1" x14ac:dyDescent="0.3">
      <c r="A324" s="198" t="s">
        <v>149</v>
      </c>
      <c r="B324" s="199"/>
      <c r="C324" s="199"/>
      <c r="D324" s="199"/>
      <c r="E324" s="46" t="str">
        <f>IF(E323&gt;=CO_ATT_INPUTS!$B323,"3",IF(E323&lt;CO_ATT_INPUTS!$B325,"1",IF(AND(E323&gt;=CO_ATT_INPUTS!$B325,E323&lt;CO_ATT_INPUTS!$B323),"2")))</f>
        <v>3</v>
      </c>
      <c r="F324" s="46" t="str">
        <f>IF(F323&gt;=CO_ATT_INPUTS!$B323,"3",IF(F323&lt;CO_ATT_INPUTS!$B325,"1",IF(AND(F323&gt;=CO_ATT_INPUTS!$B325,F323&lt;CO_ATT_INPUTS!$B323),"2")))</f>
        <v>3</v>
      </c>
      <c r="G324" s="46" t="str">
        <f>IF(G323&gt;=CO_ATT_INPUTS!$B323,"3",IF(G323&lt;CO_ATT_INPUTS!$B325,"1",IF(AND(G323&gt;=CO_ATT_INPUTS!$B325,G323&lt;CO_ATT_INPUTS!$B323),"2")))</f>
        <v>3</v>
      </c>
      <c r="H324" s="46" t="str">
        <f>IF(H323&gt;=CO_ATT_INPUTS!$B323,"3",IF(H323&lt;CO_ATT_INPUTS!$B325,"1",IF(AND(H323&gt;=CO_ATT_INPUTS!$B325,H323&lt;CO_ATT_INPUTS!$B323),"2")))</f>
        <v>3</v>
      </c>
      <c r="I324" s="46" t="str">
        <f>IF(I323&gt;=CO_ATT_INPUTS!$B323,"3",IF(I323&lt;CO_ATT_INPUTS!$B325,"1",IF(AND(I323&gt;=CO_ATT_INPUTS!$B325,I323&lt;CO_ATT_INPUTS!$B323),"2")))</f>
        <v>3</v>
      </c>
      <c r="J324" s="145"/>
      <c r="K324" s="145"/>
      <c r="L324" s="145"/>
      <c r="M324" s="145"/>
      <c r="N324" s="145"/>
    </row>
    <row r="325" spans="1:14" s="21" customFormat="1" ht="9" hidden="1" customHeight="1" x14ac:dyDescent="0.25">
      <c r="J325" s="159"/>
      <c r="K325" s="159"/>
      <c r="L325" s="159"/>
      <c r="M325" s="159"/>
      <c r="N325" s="159"/>
    </row>
  </sheetData>
  <sheetProtection sheet="1" objects="1" scenarios="1" formatRows="0"/>
  <mergeCells count="45">
    <mergeCell ref="A1:N1"/>
    <mergeCell ref="A2:N2"/>
    <mergeCell ref="A3:N3"/>
    <mergeCell ref="A320:D321"/>
    <mergeCell ref="E320:E321"/>
    <mergeCell ref="F320:F321"/>
    <mergeCell ref="A16:A18"/>
    <mergeCell ref="B16:B18"/>
    <mergeCell ref="C16:C18"/>
    <mergeCell ref="E17:I17"/>
    <mergeCell ref="E16:N16"/>
    <mergeCell ref="G320:G321"/>
    <mergeCell ref="H320:H321"/>
    <mergeCell ref="I320:I321"/>
    <mergeCell ref="J320:N320"/>
    <mergeCell ref="J17:N17"/>
    <mergeCell ref="J321:N321"/>
    <mergeCell ref="A10:C10"/>
    <mergeCell ref="D10:N10"/>
    <mergeCell ref="A11:C11"/>
    <mergeCell ref="D11:N11"/>
    <mergeCell ref="A12:C12"/>
    <mergeCell ref="D12:N12"/>
    <mergeCell ref="J325:N325"/>
    <mergeCell ref="J322:N322"/>
    <mergeCell ref="J323:N323"/>
    <mergeCell ref="J324:N324"/>
    <mergeCell ref="A7:C7"/>
    <mergeCell ref="D7:N7"/>
    <mergeCell ref="A8:C8"/>
    <mergeCell ref="D8:N8"/>
    <mergeCell ref="A9:C9"/>
    <mergeCell ref="D9:N9"/>
    <mergeCell ref="D16:D18"/>
    <mergeCell ref="A13:C13"/>
    <mergeCell ref="D13:N13"/>
    <mergeCell ref="A324:D324"/>
    <mergeCell ref="A323:D323"/>
    <mergeCell ref="A322:D322"/>
    <mergeCell ref="A4:C4"/>
    <mergeCell ref="D4:N4"/>
    <mergeCell ref="A5:C5"/>
    <mergeCell ref="D5:N5"/>
    <mergeCell ref="A6:C6"/>
    <mergeCell ref="D6:N6"/>
  </mergeCells>
  <pageMargins left="0.33" right="0.31" top="0.35433070866141736" bottom="0.35433070866141736" header="0.31496062992125984" footer="0.31496062992125984"/>
  <pageSetup paperSize="9" scale="41" fitToHeight="0" orientation="portrait" r:id="rId1"/>
  <colBreaks count="1" manualBreakCount="1">
    <brk id="18"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pageSetUpPr fitToPage="1"/>
  </sheetPr>
  <dimension ref="A1:O327"/>
  <sheetViews>
    <sheetView view="pageBreakPreview" topLeftCell="A317" zoomScaleSheetLayoutView="100" workbookViewId="0">
      <selection activeCell="A316" sqref="A82:XFD316"/>
    </sheetView>
  </sheetViews>
  <sheetFormatPr defaultRowHeight="20.25" x14ac:dyDescent="0.25"/>
  <cols>
    <col min="1" max="1" width="8.5703125" style="74" customWidth="1"/>
    <col min="2" max="2" width="19" style="74" customWidth="1"/>
    <col min="3" max="3" width="27.42578125" style="74" customWidth="1"/>
    <col min="4" max="4" width="75.85546875" style="74" customWidth="1"/>
    <col min="5" max="9" width="10.7109375" style="74" customWidth="1"/>
    <col min="10" max="16384" width="9.140625" style="74"/>
  </cols>
  <sheetData>
    <row r="1" spans="1:9" ht="35.25" customHeight="1" x14ac:dyDescent="0.25">
      <c r="A1" s="206" t="s">
        <v>0</v>
      </c>
      <c r="B1" s="206"/>
      <c r="C1" s="206"/>
      <c r="D1" s="206"/>
      <c r="E1" s="206"/>
      <c r="F1" s="206"/>
      <c r="G1" s="206"/>
      <c r="H1" s="206"/>
      <c r="I1" s="206"/>
    </row>
    <row r="2" spans="1:9" ht="24.95" customHeight="1" x14ac:dyDescent="0.25">
      <c r="A2" s="206" t="s">
        <v>47</v>
      </c>
      <c r="B2" s="206"/>
      <c r="C2" s="206"/>
      <c r="D2" s="206"/>
      <c r="E2" s="206"/>
      <c r="F2" s="206"/>
      <c r="G2" s="206"/>
      <c r="H2" s="206"/>
      <c r="I2" s="206"/>
    </row>
    <row r="3" spans="1:9" ht="42" customHeight="1" x14ac:dyDescent="0.25">
      <c r="A3" s="206" t="str">
        <f>CO_ATT_INPUTS!A3</f>
        <v>Department of Computer and Communication Engineering</v>
      </c>
      <c r="B3" s="206"/>
      <c r="C3" s="206"/>
      <c r="D3" s="206"/>
      <c r="E3" s="206"/>
      <c r="F3" s="206"/>
      <c r="G3" s="206"/>
      <c r="H3" s="206"/>
      <c r="I3" s="206"/>
    </row>
    <row r="4" spans="1:9" ht="31.5" customHeight="1" x14ac:dyDescent="0.25">
      <c r="A4" s="230" t="str">
        <f>CO_ATT_INPUTS!A5</f>
        <v>Regulation</v>
      </c>
      <c r="B4" s="230"/>
      <c r="C4" s="230"/>
      <c r="D4" s="229" t="str">
        <f>CO_ATT_INPUTS!D5</f>
        <v>R2019</v>
      </c>
      <c r="E4" s="229"/>
      <c r="F4" s="229"/>
      <c r="G4" s="229"/>
      <c r="H4" s="229"/>
      <c r="I4" s="229"/>
    </row>
    <row r="5" spans="1:9" ht="31.5" customHeight="1" x14ac:dyDescent="0.25">
      <c r="A5" s="230" t="str">
        <f>CO_ATT_INPUTS!A6</f>
        <v>Program</v>
      </c>
      <c r="B5" s="230"/>
      <c r="C5" s="230"/>
      <c r="D5" s="229" t="str">
        <f>CO_ATT_INPUTS!D6</f>
        <v>BE-CCE</v>
      </c>
      <c r="E5" s="229"/>
      <c r="F5" s="229"/>
      <c r="G5" s="229"/>
      <c r="H5" s="229"/>
      <c r="I5" s="229"/>
    </row>
    <row r="6" spans="1:9" ht="31.5" customHeight="1" x14ac:dyDescent="0.25">
      <c r="A6" s="230" t="str">
        <f>CO_ATT_INPUTS!A7</f>
        <v>Year/Semester</v>
      </c>
      <c r="B6" s="230"/>
      <c r="C6" s="230"/>
      <c r="D6" s="229" t="str">
        <f>CO_ATT_INPUTS!D7</f>
        <v>III/VI</v>
      </c>
      <c r="E6" s="229"/>
      <c r="F6" s="229"/>
      <c r="G6" s="229"/>
      <c r="H6" s="229"/>
      <c r="I6" s="229"/>
    </row>
    <row r="7" spans="1:9" ht="31.5" customHeight="1" x14ac:dyDescent="0.25">
      <c r="A7" s="230" t="str">
        <f>CO_ATT_INPUTS!A8</f>
        <v>Course Code</v>
      </c>
      <c r="B7" s="230"/>
      <c r="C7" s="230"/>
      <c r="D7" s="229" t="str">
        <f>CO_ATT_INPUTS!D8</f>
        <v>R19IT303</v>
      </c>
      <c r="E7" s="229"/>
      <c r="F7" s="229"/>
      <c r="G7" s="229"/>
      <c r="H7" s="229"/>
      <c r="I7" s="229"/>
    </row>
    <row r="8" spans="1:9" ht="31.5" customHeight="1" x14ac:dyDescent="0.25">
      <c r="A8" s="230" t="str">
        <f>CO_ATT_INPUTS!A9</f>
        <v>Course Name</v>
      </c>
      <c r="B8" s="230"/>
      <c r="C8" s="230"/>
      <c r="D8" s="229" t="str">
        <f>CO_ATT_INPUTS!D9</f>
        <v>CRYPTOGRAPHY AND CYBERSECURITY</v>
      </c>
      <c r="E8" s="229"/>
      <c r="F8" s="229"/>
      <c r="G8" s="229"/>
      <c r="H8" s="229"/>
      <c r="I8" s="229"/>
    </row>
    <row r="9" spans="1:9" ht="31.5" customHeight="1" x14ac:dyDescent="0.25">
      <c r="A9" s="230" t="str">
        <f>CO_ATT_INPUTS!A10</f>
        <v>Course handling Faculty</v>
      </c>
      <c r="B9" s="230"/>
      <c r="C9" s="230"/>
      <c r="D9" s="229" t="str">
        <f>CO_ATT_INPUTS!D10</f>
        <v>R.PREETHI</v>
      </c>
      <c r="E9" s="229"/>
      <c r="F9" s="229"/>
      <c r="G9" s="229"/>
      <c r="H9" s="229"/>
      <c r="I9" s="229"/>
    </row>
    <row r="10" spans="1:9" ht="31.5" customHeight="1" x14ac:dyDescent="0.25">
      <c r="A10" s="230" t="str">
        <f>CO_ATT_INPUTS!A11</f>
        <v>Course Coordinator</v>
      </c>
      <c r="B10" s="230"/>
      <c r="C10" s="230"/>
      <c r="D10" s="229" t="str">
        <f>CO_ATT_INPUTS!D11</f>
        <v>Dr K.Sivakumar</v>
      </c>
      <c r="E10" s="229"/>
      <c r="F10" s="229"/>
      <c r="G10" s="229"/>
      <c r="H10" s="229"/>
      <c r="I10" s="229"/>
    </row>
    <row r="11" spans="1:9" ht="31.5" customHeight="1" x14ac:dyDescent="0.25">
      <c r="A11" s="230" t="str">
        <f>CO_ATT_INPUTS!A12</f>
        <v>Academic Year</v>
      </c>
      <c r="B11" s="230"/>
      <c r="C11" s="230"/>
      <c r="D11" s="229" t="str">
        <f>CO_ATT_INPUTS!D12</f>
        <v>2024-25</v>
      </c>
      <c r="E11" s="229"/>
      <c r="F11" s="229"/>
      <c r="G11" s="229"/>
      <c r="H11" s="229"/>
      <c r="I11" s="229"/>
    </row>
    <row r="12" spans="1:9" ht="31.5" customHeight="1" x14ac:dyDescent="0.25">
      <c r="A12" s="230" t="str">
        <f>CO_ATT_INPUTS!A13</f>
        <v>Batch</v>
      </c>
      <c r="B12" s="230"/>
      <c r="C12" s="230"/>
      <c r="D12" s="229" t="str">
        <f>CO_ATT_INPUTS!D13</f>
        <v>2022-26</v>
      </c>
      <c r="E12" s="229"/>
      <c r="F12" s="229"/>
      <c r="G12" s="229"/>
      <c r="H12" s="229"/>
      <c r="I12" s="229"/>
    </row>
    <row r="13" spans="1:9" ht="31.5" customHeight="1" x14ac:dyDescent="0.25">
      <c r="A13" s="230" t="str">
        <f>CO_ATT_INPUTS!A14</f>
        <v>Total Number of Students</v>
      </c>
      <c r="B13" s="230"/>
      <c r="C13" s="230"/>
      <c r="D13" s="229">
        <f>CO_ATT_INPUTS!D14</f>
        <v>65</v>
      </c>
      <c r="E13" s="229"/>
      <c r="F13" s="229"/>
      <c r="G13" s="229"/>
      <c r="H13" s="229"/>
      <c r="I13" s="229"/>
    </row>
    <row r="14" spans="1:9" x14ac:dyDescent="0.25">
      <c r="A14" s="75"/>
      <c r="B14" s="75"/>
      <c r="C14" s="75"/>
      <c r="D14" s="75"/>
      <c r="E14" s="76"/>
      <c r="F14" s="76"/>
      <c r="G14" s="76"/>
      <c r="H14" s="76"/>
      <c r="I14" s="76"/>
    </row>
    <row r="15" spans="1:9" ht="31.5" customHeight="1" x14ac:dyDescent="0.25">
      <c r="A15" s="237" t="str">
        <f>CO_ATT_INPUTS!A16</f>
        <v>S. No</v>
      </c>
      <c r="B15" s="231" t="str">
        <f>CO_ATT_INPUTS!B16</f>
        <v>ROLL NUM</v>
      </c>
      <c r="C15" s="231" t="str">
        <f>CO_ATT_INPUTS!C16</f>
        <v>REGISTER
NUMBER</v>
      </c>
      <c r="D15" s="231" t="str">
        <f>CO_ATT_INPUTS!D16</f>
        <v>NAME OF THE STUDENT</v>
      </c>
      <c r="E15" s="231" t="s">
        <v>121</v>
      </c>
      <c r="F15" s="231"/>
      <c r="G15" s="231"/>
      <c r="H15" s="231"/>
      <c r="I15" s="231"/>
    </row>
    <row r="16" spans="1:9" ht="30" customHeight="1" x14ac:dyDescent="0.25">
      <c r="A16" s="237"/>
      <c r="B16" s="231"/>
      <c r="C16" s="231"/>
      <c r="D16" s="231"/>
      <c r="E16" s="62" t="s">
        <v>4</v>
      </c>
      <c r="F16" s="62" t="s">
        <v>5</v>
      </c>
      <c r="G16" s="62" t="s">
        <v>6</v>
      </c>
      <c r="H16" s="62" t="s">
        <v>7</v>
      </c>
      <c r="I16" s="62" t="s">
        <v>8</v>
      </c>
    </row>
    <row r="17" spans="1:9" ht="34.5" customHeight="1" x14ac:dyDescent="0.25">
      <c r="A17" s="77">
        <f>CO_ATT_INPUTS!A19</f>
        <v>1</v>
      </c>
      <c r="B17" s="77" t="str">
        <f>CO_ATT_INPUTS!B19</f>
        <v>22CC001</v>
      </c>
      <c r="C17" s="59" t="str">
        <f>CO_ATT_INPUTS!C19</f>
        <v>722822115001</v>
      </c>
      <c r="D17" s="69" t="str">
        <f>CO_ATT_INPUTS!D19</f>
        <v>AFREED S</v>
      </c>
      <c r="E17" s="82">
        <v>5</v>
      </c>
      <c r="F17" s="82">
        <v>5</v>
      </c>
      <c r="G17" s="82">
        <v>5</v>
      </c>
      <c r="H17" s="82">
        <v>5</v>
      </c>
      <c r="I17" s="82">
        <v>5</v>
      </c>
    </row>
    <row r="18" spans="1:9" ht="34.5" customHeight="1" x14ac:dyDescent="0.25">
      <c r="A18" s="77">
        <f>CO_ATT_INPUTS!A20</f>
        <v>2</v>
      </c>
      <c r="B18" s="77" t="str">
        <f>CO_ATT_INPUTS!B20</f>
        <v>22CC002</v>
      </c>
      <c r="C18" s="59" t="str">
        <f>CO_ATT_INPUTS!C20</f>
        <v>722822115002</v>
      </c>
      <c r="D18" s="69" t="str">
        <f>CO_ATT_INPUTS!D20</f>
        <v>AJAY J</v>
      </c>
      <c r="E18" s="82">
        <v>4</v>
      </c>
      <c r="F18" s="82">
        <v>4</v>
      </c>
      <c r="G18" s="82">
        <v>4</v>
      </c>
      <c r="H18" s="82">
        <v>4</v>
      </c>
      <c r="I18" s="82">
        <v>3</v>
      </c>
    </row>
    <row r="19" spans="1:9" ht="34.5" customHeight="1" x14ac:dyDescent="0.25">
      <c r="A19" s="77">
        <f>CO_ATT_INPUTS!A21</f>
        <v>3</v>
      </c>
      <c r="B19" s="77" t="str">
        <f>CO_ATT_INPUTS!B21</f>
        <v>22CC003</v>
      </c>
      <c r="C19" s="59" t="str">
        <f>CO_ATT_INPUTS!C21</f>
        <v>722822115003</v>
      </c>
      <c r="D19" s="69" t="str">
        <f>CO_ATT_INPUTS!D21</f>
        <v>AKSHAYAN K</v>
      </c>
      <c r="E19" s="82">
        <v>5</v>
      </c>
      <c r="F19" s="82">
        <v>5</v>
      </c>
      <c r="G19" s="82">
        <v>5</v>
      </c>
      <c r="H19" s="82">
        <v>5</v>
      </c>
      <c r="I19" s="82">
        <v>5</v>
      </c>
    </row>
    <row r="20" spans="1:9" ht="34.5" customHeight="1" x14ac:dyDescent="0.25">
      <c r="A20" s="77">
        <f>CO_ATT_INPUTS!A22</f>
        <v>4</v>
      </c>
      <c r="B20" s="77" t="str">
        <f>CO_ATT_INPUTS!B22</f>
        <v>22CC004</v>
      </c>
      <c r="C20" s="59" t="str">
        <f>CO_ATT_INPUTS!C22</f>
        <v>722822115004</v>
      </c>
      <c r="D20" s="69" t="str">
        <f>CO_ATT_INPUTS!D22</f>
        <v>DARSHAN R B</v>
      </c>
      <c r="E20" s="82">
        <v>5</v>
      </c>
      <c r="F20" s="82">
        <v>5</v>
      </c>
      <c r="G20" s="82">
        <v>5</v>
      </c>
      <c r="H20" s="82">
        <v>5</v>
      </c>
      <c r="I20" s="82">
        <v>5</v>
      </c>
    </row>
    <row r="21" spans="1:9" ht="34.5" customHeight="1" x14ac:dyDescent="0.25">
      <c r="A21" s="77">
        <f>CO_ATT_INPUTS!A23</f>
        <v>5</v>
      </c>
      <c r="B21" s="77" t="str">
        <f>CO_ATT_INPUTS!B23</f>
        <v>22CC005</v>
      </c>
      <c r="C21" s="59" t="str">
        <f>CO_ATT_INPUTS!C23</f>
        <v>722822115005</v>
      </c>
      <c r="D21" s="69" t="str">
        <f>CO_ATT_INPUTS!D23</f>
        <v>DEEPAK RAJA M</v>
      </c>
      <c r="E21" s="82">
        <v>4</v>
      </c>
      <c r="F21" s="82">
        <v>4</v>
      </c>
      <c r="G21" s="82">
        <v>4</v>
      </c>
      <c r="H21" s="82">
        <v>4</v>
      </c>
      <c r="I21" s="82">
        <v>4</v>
      </c>
    </row>
    <row r="22" spans="1:9" ht="34.5" customHeight="1" x14ac:dyDescent="0.25">
      <c r="A22" s="77">
        <f>CO_ATT_INPUTS!A24</f>
        <v>6</v>
      </c>
      <c r="B22" s="77" t="str">
        <f>CO_ATT_INPUTS!B24</f>
        <v>22CC006</v>
      </c>
      <c r="C22" s="59" t="str">
        <f>CO_ATT_INPUTS!C24</f>
        <v>722822115006</v>
      </c>
      <c r="D22" s="69" t="str">
        <f>CO_ATT_INPUTS!D24</f>
        <v>DHANUSHPRIYAN S</v>
      </c>
      <c r="E22" s="82">
        <v>5</v>
      </c>
      <c r="F22" s="82">
        <v>5</v>
      </c>
      <c r="G22" s="82">
        <v>5</v>
      </c>
      <c r="H22" s="82">
        <v>5</v>
      </c>
      <c r="I22" s="82">
        <v>5</v>
      </c>
    </row>
    <row r="23" spans="1:9" ht="34.5" customHeight="1" x14ac:dyDescent="0.25">
      <c r="A23" s="77">
        <f>CO_ATT_INPUTS!A25</f>
        <v>7</v>
      </c>
      <c r="B23" s="77" t="str">
        <f>CO_ATT_INPUTS!B25</f>
        <v>22CC007</v>
      </c>
      <c r="C23" s="59" t="str">
        <f>CO_ATT_INPUTS!C25</f>
        <v>722822115007</v>
      </c>
      <c r="D23" s="69" t="str">
        <f>CO_ATT_INPUTS!D25</f>
        <v>DHARSHINI K</v>
      </c>
      <c r="E23" s="82">
        <v>4</v>
      </c>
      <c r="F23" s="82">
        <v>4</v>
      </c>
      <c r="G23" s="82">
        <v>5</v>
      </c>
      <c r="H23" s="82">
        <v>5</v>
      </c>
      <c r="I23" s="82">
        <v>4</v>
      </c>
    </row>
    <row r="24" spans="1:9" ht="34.5" customHeight="1" x14ac:dyDescent="0.25">
      <c r="A24" s="77">
        <f>CO_ATT_INPUTS!A26</f>
        <v>8</v>
      </c>
      <c r="B24" s="77" t="str">
        <f>CO_ATT_INPUTS!B26</f>
        <v>22CC008</v>
      </c>
      <c r="C24" s="59" t="str">
        <f>CO_ATT_INPUTS!C26</f>
        <v>722822115008</v>
      </c>
      <c r="D24" s="69" t="str">
        <f>CO_ATT_INPUTS!D26</f>
        <v>DHEVADHARSHINI M</v>
      </c>
      <c r="E24" s="82">
        <v>5</v>
      </c>
      <c r="F24" s="82">
        <v>5</v>
      </c>
      <c r="G24" s="82">
        <v>5</v>
      </c>
      <c r="H24" s="82">
        <v>5</v>
      </c>
      <c r="I24" s="82">
        <v>5</v>
      </c>
    </row>
    <row r="25" spans="1:9" ht="34.5" customHeight="1" x14ac:dyDescent="0.25">
      <c r="A25" s="77">
        <f>CO_ATT_INPUTS!A27</f>
        <v>9</v>
      </c>
      <c r="B25" s="77" t="str">
        <f>CO_ATT_INPUTS!B27</f>
        <v>22CC009</v>
      </c>
      <c r="C25" s="59" t="str">
        <f>CO_ATT_INPUTS!C27</f>
        <v>722822115009</v>
      </c>
      <c r="D25" s="69" t="str">
        <f>CO_ATT_INPUTS!D27</f>
        <v>DINESH R</v>
      </c>
      <c r="E25" s="82">
        <v>5</v>
      </c>
      <c r="F25" s="82">
        <v>5</v>
      </c>
      <c r="G25" s="82">
        <v>5</v>
      </c>
      <c r="H25" s="82">
        <v>5</v>
      </c>
      <c r="I25" s="82">
        <v>5</v>
      </c>
    </row>
    <row r="26" spans="1:9" ht="34.5" customHeight="1" x14ac:dyDescent="0.25">
      <c r="A26" s="77">
        <f>CO_ATT_INPUTS!A28</f>
        <v>10</v>
      </c>
      <c r="B26" s="77" t="str">
        <f>CO_ATT_INPUTS!B28</f>
        <v>22CC010</v>
      </c>
      <c r="C26" s="59" t="str">
        <f>CO_ATT_INPUTS!C28</f>
        <v>722822115010</v>
      </c>
      <c r="D26" s="69" t="str">
        <f>CO_ATT_INPUTS!D28</f>
        <v>ELANGO T</v>
      </c>
      <c r="E26" s="82">
        <v>5</v>
      </c>
      <c r="F26" s="82">
        <v>5</v>
      </c>
      <c r="G26" s="82">
        <v>5</v>
      </c>
      <c r="H26" s="82">
        <v>5</v>
      </c>
      <c r="I26" s="82">
        <v>5</v>
      </c>
    </row>
    <row r="27" spans="1:9" ht="34.5" customHeight="1" x14ac:dyDescent="0.25">
      <c r="A27" s="77">
        <f>CO_ATT_INPUTS!A29</f>
        <v>11</v>
      </c>
      <c r="B27" s="77" t="str">
        <f>CO_ATT_INPUTS!B29</f>
        <v>22CC011</v>
      </c>
      <c r="C27" s="59" t="str">
        <f>CO_ATT_INPUTS!C29</f>
        <v>722822115011</v>
      </c>
      <c r="D27" s="69" t="str">
        <f>CO_ATT_INPUTS!D29</f>
        <v>GAYATHIRI K</v>
      </c>
      <c r="E27" s="82">
        <v>5</v>
      </c>
      <c r="F27" s="82">
        <v>5</v>
      </c>
      <c r="G27" s="82">
        <v>5</v>
      </c>
      <c r="H27" s="82">
        <v>4</v>
      </c>
      <c r="I27" s="82">
        <v>4</v>
      </c>
    </row>
    <row r="28" spans="1:9" ht="34.5" customHeight="1" x14ac:dyDescent="0.25">
      <c r="A28" s="77">
        <f>CO_ATT_INPUTS!A30</f>
        <v>12</v>
      </c>
      <c r="B28" s="77" t="str">
        <f>CO_ATT_INPUTS!B30</f>
        <v>22CC012</v>
      </c>
      <c r="C28" s="59" t="str">
        <f>CO_ATT_INPUTS!C30</f>
        <v>722822115012</v>
      </c>
      <c r="D28" s="69" t="str">
        <f>CO_ATT_INPUTS!D30</f>
        <v>GNANARIDDHIKA R</v>
      </c>
      <c r="E28" s="82">
        <v>4</v>
      </c>
      <c r="F28" s="82">
        <v>4</v>
      </c>
      <c r="G28" s="82">
        <v>4</v>
      </c>
      <c r="H28" s="82">
        <v>4</v>
      </c>
      <c r="I28" s="82">
        <v>4</v>
      </c>
    </row>
    <row r="29" spans="1:9" ht="34.5" customHeight="1" x14ac:dyDescent="0.25">
      <c r="A29" s="77">
        <f>CO_ATT_INPUTS!A31</f>
        <v>13</v>
      </c>
      <c r="B29" s="77" t="str">
        <f>CO_ATT_INPUTS!B31</f>
        <v>22CC013</v>
      </c>
      <c r="C29" s="59" t="str">
        <f>CO_ATT_INPUTS!C31</f>
        <v>722822115013</v>
      </c>
      <c r="D29" s="69" t="str">
        <f>CO_ATT_INPUTS!D31</f>
        <v>GOKUL G</v>
      </c>
      <c r="E29" s="82">
        <v>4</v>
      </c>
      <c r="F29" s="82">
        <v>4</v>
      </c>
      <c r="G29" s="82">
        <v>4</v>
      </c>
      <c r="H29" s="82">
        <v>4</v>
      </c>
      <c r="I29" s="82">
        <v>4</v>
      </c>
    </row>
    <row r="30" spans="1:9" ht="34.5" customHeight="1" x14ac:dyDescent="0.25">
      <c r="A30" s="77">
        <f>CO_ATT_INPUTS!A32</f>
        <v>14</v>
      </c>
      <c r="B30" s="77" t="str">
        <f>CO_ATT_INPUTS!B32</f>
        <v>22CC014</v>
      </c>
      <c r="C30" s="59" t="str">
        <f>CO_ATT_INPUTS!C32</f>
        <v>722822115014</v>
      </c>
      <c r="D30" s="69" t="str">
        <f>CO_ATT_INPUTS!D32</f>
        <v>GOKUL K</v>
      </c>
      <c r="E30" s="82">
        <v>4</v>
      </c>
      <c r="F30" s="82">
        <v>4</v>
      </c>
      <c r="G30" s="82">
        <v>4</v>
      </c>
      <c r="H30" s="82">
        <v>4</v>
      </c>
      <c r="I30" s="82">
        <v>4</v>
      </c>
    </row>
    <row r="31" spans="1:9" ht="34.5" customHeight="1" x14ac:dyDescent="0.25">
      <c r="A31" s="77">
        <f>CO_ATT_INPUTS!A33</f>
        <v>15</v>
      </c>
      <c r="B31" s="77" t="str">
        <f>CO_ATT_INPUTS!B33</f>
        <v>22CC015</v>
      </c>
      <c r="C31" s="59" t="str">
        <f>CO_ATT_INPUTS!C33</f>
        <v>722822115015</v>
      </c>
      <c r="D31" s="69" t="str">
        <f>CO_ATT_INPUTS!D33</f>
        <v>GOPINATH S</v>
      </c>
      <c r="E31" s="82">
        <v>5</v>
      </c>
      <c r="F31" s="82">
        <v>5</v>
      </c>
      <c r="G31" s="82">
        <v>5</v>
      </c>
      <c r="H31" s="82">
        <v>5</v>
      </c>
      <c r="I31" s="82">
        <v>5</v>
      </c>
    </row>
    <row r="32" spans="1:9" ht="34.5" customHeight="1" x14ac:dyDescent="0.25">
      <c r="A32" s="77">
        <f>CO_ATT_INPUTS!A34</f>
        <v>16</v>
      </c>
      <c r="B32" s="77" t="str">
        <f>CO_ATT_INPUTS!B34</f>
        <v>22CC016</v>
      </c>
      <c r="C32" s="59" t="str">
        <f>CO_ATT_INPUTS!C34</f>
        <v>722822115016</v>
      </c>
      <c r="D32" s="69" t="str">
        <f>CO_ATT_INPUTS!D34</f>
        <v>HARIBABU T</v>
      </c>
      <c r="E32" s="82">
        <v>5</v>
      </c>
      <c r="F32" s="82">
        <v>5</v>
      </c>
      <c r="G32" s="82">
        <v>5</v>
      </c>
      <c r="H32" s="82">
        <v>5</v>
      </c>
      <c r="I32" s="82">
        <v>5</v>
      </c>
    </row>
    <row r="33" spans="1:9" ht="34.5" customHeight="1" x14ac:dyDescent="0.25">
      <c r="A33" s="77">
        <f>CO_ATT_INPUTS!A35</f>
        <v>17</v>
      </c>
      <c r="B33" s="77" t="str">
        <f>CO_ATT_INPUTS!B35</f>
        <v>22CC017</v>
      </c>
      <c r="C33" s="59" t="str">
        <f>CO_ATT_INPUTS!C35</f>
        <v>722822115017</v>
      </c>
      <c r="D33" s="69" t="str">
        <f>CO_ATT_INPUTS!D35</f>
        <v>HARIBRAGAADESH T A</v>
      </c>
      <c r="E33" s="82">
        <v>5</v>
      </c>
      <c r="F33" s="82">
        <v>5</v>
      </c>
      <c r="G33" s="82">
        <v>5</v>
      </c>
      <c r="H33" s="82">
        <v>5</v>
      </c>
      <c r="I33" s="82">
        <v>5</v>
      </c>
    </row>
    <row r="34" spans="1:9" ht="34.5" customHeight="1" x14ac:dyDescent="0.25">
      <c r="A34" s="77">
        <f>CO_ATT_INPUTS!A36</f>
        <v>18</v>
      </c>
      <c r="B34" s="77" t="str">
        <f>CO_ATT_INPUTS!B36</f>
        <v>22CC018</v>
      </c>
      <c r="C34" s="59" t="str">
        <f>CO_ATT_INPUTS!C36</f>
        <v>722822115018</v>
      </c>
      <c r="D34" s="69" t="str">
        <f>CO_ATT_INPUTS!D36</f>
        <v>HARITHA R</v>
      </c>
      <c r="E34" s="82">
        <v>4</v>
      </c>
      <c r="F34" s="82">
        <v>4</v>
      </c>
      <c r="G34" s="82">
        <v>4</v>
      </c>
      <c r="H34" s="82">
        <v>4</v>
      </c>
      <c r="I34" s="82">
        <v>4</v>
      </c>
    </row>
    <row r="35" spans="1:9" ht="34.5" customHeight="1" x14ac:dyDescent="0.25">
      <c r="A35" s="77">
        <f>CO_ATT_INPUTS!A37</f>
        <v>19</v>
      </c>
      <c r="B35" s="77" t="str">
        <f>CO_ATT_INPUTS!B37</f>
        <v>22CC019</v>
      </c>
      <c r="C35" s="59" t="str">
        <f>CO_ATT_INPUTS!C37</f>
        <v>722822115019</v>
      </c>
      <c r="D35" s="69" t="str">
        <f>CO_ATT_INPUTS!D37</f>
        <v>JANANI M</v>
      </c>
      <c r="E35" s="82">
        <v>4</v>
      </c>
      <c r="F35" s="82">
        <v>4</v>
      </c>
      <c r="G35" s="82">
        <v>4</v>
      </c>
      <c r="H35" s="82">
        <v>4</v>
      </c>
      <c r="I35" s="82">
        <v>4</v>
      </c>
    </row>
    <row r="36" spans="1:9" ht="34.5" customHeight="1" x14ac:dyDescent="0.25">
      <c r="A36" s="77">
        <f>CO_ATT_INPUTS!A38</f>
        <v>20</v>
      </c>
      <c r="B36" s="77" t="str">
        <f>CO_ATT_INPUTS!B38</f>
        <v>22CC020</v>
      </c>
      <c r="C36" s="59" t="str">
        <f>CO_ATT_INPUTS!C38</f>
        <v>722822115020</v>
      </c>
      <c r="D36" s="69" t="str">
        <f>CO_ATT_INPUTS!D38</f>
        <v>KABINESH S</v>
      </c>
      <c r="E36" s="82">
        <v>5</v>
      </c>
      <c r="F36" s="82">
        <v>5</v>
      </c>
      <c r="G36" s="82">
        <v>5</v>
      </c>
      <c r="H36" s="82">
        <v>5</v>
      </c>
      <c r="I36" s="82">
        <v>5</v>
      </c>
    </row>
    <row r="37" spans="1:9" ht="34.5" customHeight="1" x14ac:dyDescent="0.25">
      <c r="A37" s="77">
        <f>CO_ATT_INPUTS!A39</f>
        <v>21</v>
      </c>
      <c r="B37" s="77" t="str">
        <f>CO_ATT_INPUTS!B39</f>
        <v>22CC021</v>
      </c>
      <c r="C37" s="59" t="str">
        <f>CO_ATT_INPUTS!C39</f>
        <v>722822115021</v>
      </c>
      <c r="D37" s="69" t="str">
        <f>CO_ATT_INPUTS!D39</f>
        <v>KAMALESH R</v>
      </c>
      <c r="E37" s="82">
        <v>5</v>
      </c>
      <c r="F37" s="82">
        <v>5</v>
      </c>
      <c r="G37" s="82">
        <v>5</v>
      </c>
      <c r="H37" s="82">
        <v>5</v>
      </c>
      <c r="I37" s="82">
        <v>5</v>
      </c>
    </row>
    <row r="38" spans="1:9" ht="34.5" customHeight="1" x14ac:dyDescent="0.25">
      <c r="A38" s="77">
        <f>CO_ATT_INPUTS!A40</f>
        <v>22</v>
      </c>
      <c r="B38" s="77" t="str">
        <f>CO_ATT_INPUTS!B40</f>
        <v>22CC022</v>
      </c>
      <c r="C38" s="59" t="str">
        <f>CO_ATT_INPUTS!C40</f>
        <v>722822115022</v>
      </c>
      <c r="D38" s="69" t="str">
        <f>CO_ATT_INPUTS!D40</f>
        <v>KARTHICK M G</v>
      </c>
      <c r="E38" s="82">
        <v>4</v>
      </c>
      <c r="F38" s="82">
        <v>4</v>
      </c>
      <c r="G38" s="82">
        <v>4</v>
      </c>
      <c r="H38" s="82">
        <v>4</v>
      </c>
      <c r="I38" s="82">
        <v>4</v>
      </c>
    </row>
    <row r="39" spans="1:9" ht="34.5" customHeight="1" x14ac:dyDescent="0.25">
      <c r="A39" s="77">
        <f>CO_ATT_INPUTS!A41</f>
        <v>23</v>
      </c>
      <c r="B39" s="77" t="str">
        <f>CO_ATT_INPUTS!B41</f>
        <v>22CC023</v>
      </c>
      <c r="C39" s="59" t="str">
        <f>CO_ATT_INPUTS!C41</f>
        <v>722822115023</v>
      </c>
      <c r="D39" s="69" t="str">
        <f>CO_ATT_INPUTS!D41</f>
        <v>KARTHIK S</v>
      </c>
      <c r="E39" s="82">
        <v>5</v>
      </c>
      <c r="F39" s="82">
        <v>5</v>
      </c>
      <c r="G39" s="82">
        <v>5</v>
      </c>
      <c r="H39" s="82">
        <v>5</v>
      </c>
      <c r="I39" s="82">
        <v>5</v>
      </c>
    </row>
    <row r="40" spans="1:9" ht="34.5" customHeight="1" x14ac:dyDescent="0.25">
      <c r="A40" s="77">
        <f>CO_ATT_INPUTS!A42</f>
        <v>24</v>
      </c>
      <c r="B40" s="77" t="str">
        <f>CO_ATT_INPUTS!B42</f>
        <v>22CC024</v>
      </c>
      <c r="C40" s="59" t="str">
        <f>CO_ATT_INPUTS!C42</f>
        <v>722822115024</v>
      </c>
      <c r="D40" s="69" t="str">
        <f>CO_ATT_INPUTS!D42</f>
        <v>KATHIRVEL R</v>
      </c>
      <c r="E40" s="82">
        <v>3</v>
      </c>
      <c r="F40" s="82">
        <v>3</v>
      </c>
      <c r="G40" s="82">
        <v>3</v>
      </c>
      <c r="H40" s="82">
        <v>3</v>
      </c>
      <c r="I40" s="82">
        <v>4</v>
      </c>
    </row>
    <row r="41" spans="1:9" ht="34.5" customHeight="1" x14ac:dyDescent="0.25">
      <c r="A41" s="77">
        <f>CO_ATT_INPUTS!A43</f>
        <v>25</v>
      </c>
      <c r="B41" s="77" t="str">
        <f>CO_ATT_INPUTS!B43</f>
        <v>22CC025</v>
      </c>
      <c r="C41" s="59" t="str">
        <f>CO_ATT_INPUTS!C43</f>
        <v>722822115025</v>
      </c>
      <c r="D41" s="69" t="str">
        <f>CO_ATT_INPUTS!D43</f>
        <v>KAVIYA A</v>
      </c>
      <c r="E41" s="82">
        <v>5</v>
      </c>
      <c r="F41" s="82">
        <v>5</v>
      </c>
      <c r="G41" s="82">
        <v>5</v>
      </c>
      <c r="H41" s="82">
        <v>5</v>
      </c>
      <c r="I41" s="82">
        <v>5</v>
      </c>
    </row>
    <row r="42" spans="1:9" ht="34.5" customHeight="1" x14ac:dyDescent="0.25">
      <c r="A42" s="77">
        <f>CO_ATT_INPUTS!A44</f>
        <v>26</v>
      </c>
      <c r="B42" s="77" t="str">
        <f>CO_ATT_INPUTS!B44</f>
        <v>22CC026</v>
      </c>
      <c r="C42" s="59" t="str">
        <f>CO_ATT_INPUTS!C44</f>
        <v>722822115026</v>
      </c>
      <c r="D42" s="69" t="str">
        <f>CO_ATT_INPUTS!D44</f>
        <v>LOGESHWARAN V</v>
      </c>
      <c r="E42" s="82">
        <v>5</v>
      </c>
      <c r="F42" s="82">
        <v>4</v>
      </c>
      <c r="G42" s="82">
        <v>4</v>
      </c>
      <c r="H42" s="82">
        <v>4</v>
      </c>
      <c r="I42" s="82">
        <v>3</v>
      </c>
    </row>
    <row r="43" spans="1:9" ht="34.5" customHeight="1" x14ac:dyDescent="0.25">
      <c r="A43" s="77">
        <f>CO_ATT_INPUTS!A45</f>
        <v>27</v>
      </c>
      <c r="B43" s="77" t="str">
        <f>CO_ATT_INPUTS!B45</f>
        <v>22CC027</v>
      </c>
      <c r="C43" s="59" t="str">
        <f>CO_ATT_INPUTS!C45</f>
        <v>722822115027</v>
      </c>
      <c r="D43" s="69" t="str">
        <f>CO_ATT_INPUTS!D45</f>
        <v>MADHAN A</v>
      </c>
      <c r="E43" s="82">
        <v>5</v>
      </c>
      <c r="F43" s="82">
        <v>5</v>
      </c>
      <c r="G43" s="82">
        <v>5</v>
      </c>
      <c r="H43" s="82">
        <v>5</v>
      </c>
      <c r="I43" s="82">
        <v>5</v>
      </c>
    </row>
    <row r="44" spans="1:9" ht="34.5" customHeight="1" x14ac:dyDescent="0.25">
      <c r="A44" s="77">
        <f>CO_ATT_INPUTS!A46</f>
        <v>28</v>
      </c>
      <c r="B44" s="77" t="str">
        <f>CO_ATT_INPUTS!B46</f>
        <v>22CC028</v>
      </c>
      <c r="C44" s="59" t="str">
        <f>CO_ATT_INPUTS!C46</f>
        <v>722822115028</v>
      </c>
      <c r="D44" s="69" t="str">
        <f>CO_ATT_INPUTS!D46</f>
        <v>MANGAIYARKARASI R</v>
      </c>
      <c r="E44" s="82">
        <v>5</v>
      </c>
      <c r="F44" s="82">
        <v>5</v>
      </c>
      <c r="G44" s="82">
        <v>5</v>
      </c>
      <c r="H44" s="82">
        <v>5</v>
      </c>
      <c r="I44" s="82">
        <v>5</v>
      </c>
    </row>
    <row r="45" spans="1:9" ht="34.5" customHeight="1" x14ac:dyDescent="0.25">
      <c r="A45" s="77">
        <f>CO_ATT_INPUTS!A47</f>
        <v>29</v>
      </c>
      <c r="B45" s="77" t="str">
        <f>CO_ATT_INPUTS!B47</f>
        <v>22CC029</v>
      </c>
      <c r="C45" s="59" t="str">
        <f>CO_ATT_INPUTS!C47</f>
        <v>722822115029</v>
      </c>
      <c r="D45" s="69" t="str">
        <f>CO_ATT_INPUTS!D47</f>
        <v>MOHAMED AFSAR A</v>
      </c>
      <c r="E45" s="82">
        <v>5</v>
      </c>
      <c r="F45" s="82">
        <v>5</v>
      </c>
      <c r="G45" s="82">
        <v>5</v>
      </c>
      <c r="H45" s="82">
        <v>5</v>
      </c>
      <c r="I45" s="82">
        <v>5</v>
      </c>
    </row>
    <row r="46" spans="1:9" ht="34.5" customHeight="1" x14ac:dyDescent="0.25">
      <c r="A46" s="77">
        <f>CO_ATT_INPUTS!A48</f>
        <v>30</v>
      </c>
      <c r="B46" s="77" t="str">
        <f>CO_ATT_INPUTS!B48</f>
        <v>22CC030</v>
      </c>
      <c r="C46" s="59" t="str">
        <f>CO_ATT_INPUTS!C48</f>
        <v>722822115030</v>
      </c>
      <c r="D46" s="69" t="str">
        <f>CO_ATT_INPUTS!D48</f>
        <v>MUTHU RAJA S</v>
      </c>
      <c r="E46" s="82">
        <v>5</v>
      </c>
      <c r="F46" s="82">
        <v>5</v>
      </c>
      <c r="G46" s="82">
        <v>5</v>
      </c>
      <c r="H46" s="82">
        <v>5</v>
      </c>
      <c r="I46" s="82">
        <v>5</v>
      </c>
    </row>
    <row r="47" spans="1:9" ht="34.5" customHeight="1" x14ac:dyDescent="0.25">
      <c r="A47" s="77">
        <f>CO_ATT_INPUTS!A49</f>
        <v>31</v>
      </c>
      <c r="B47" s="77" t="str">
        <f>CO_ATT_INPUTS!B49</f>
        <v>22CC031</v>
      </c>
      <c r="C47" s="59" t="str">
        <f>CO_ATT_INPUTS!C49</f>
        <v>722822115031</v>
      </c>
      <c r="D47" s="69" t="str">
        <f>CO_ATT_INPUTS!D49</f>
        <v>MUTHUVEL A</v>
      </c>
      <c r="E47" s="82">
        <v>5</v>
      </c>
      <c r="F47" s="82">
        <v>5</v>
      </c>
      <c r="G47" s="82">
        <v>5</v>
      </c>
      <c r="H47" s="82">
        <v>5</v>
      </c>
      <c r="I47" s="82">
        <v>5</v>
      </c>
    </row>
    <row r="48" spans="1:9" ht="34.5" customHeight="1" x14ac:dyDescent="0.25">
      <c r="A48" s="77">
        <f>CO_ATT_INPUTS!A50</f>
        <v>32</v>
      </c>
      <c r="B48" s="77" t="str">
        <f>CO_ATT_INPUTS!B50</f>
        <v>22CC032</v>
      </c>
      <c r="C48" s="59" t="str">
        <f>CO_ATT_INPUTS!C50</f>
        <v>722822115032</v>
      </c>
      <c r="D48" s="69" t="str">
        <f>CO_ATT_INPUTS!D50</f>
        <v>NARAYANI S</v>
      </c>
      <c r="E48" s="82">
        <v>5</v>
      </c>
      <c r="F48" s="82">
        <v>5</v>
      </c>
      <c r="G48" s="82">
        <v>5</v>
      </c>
      <c r="H48" s="82">
        <v>5</v>
      </c>
      <c r="I48" s="82">
        <v>5</v>
      </c>
    </row>
    <row r="49" spans="1:9" ht="34.5" customHeight="1" x14ac:dyDescent="0.25">
      <c r="A49" s="77">
        <f>CO_ATT_INPUTS!A51</f>
        <v>33</v>
      </c>
      <c r="B49" s="77" t="str">
        <f>CO_ATT_INPUTS!B51</f>
        <v>22CC033</v>
      </c>
      <c r="C49" s="59" t="str">
        <f>CO_ATT_INPUTS!C51</f>
        <v>722822115033</v>
      </c>
      <c r="D49" s="69" t="str">
        <f>CO_ATT_INPUTS!D51</f>
        <v>NAVEEN K S</v>
      </c>
      <c r="E49" s="82">
        <v>4</v>
      </c>
      <c r="F49" s="82">
        <v>5</v>
      </c>
      <c r="G49" s="82">
        <v>5</v>
      </c>
      <c r="H49" s="82">
        <v>5</v>
      </c>
      <c r="I49" s="82">
        <v>5</v>
      </c>
    </row>
    <row r="50" spans="1:9" ht="34.5" customHeight="1" x14ac:dyDescent="0.25">
      <c r="A50" s="77">
        <f>CO_ATT_INPUTS!A52</f>
        <v>34</v>
      </c>
      <c r="B50" s="77" t="str">
        <f>CO_ATT_INPUTS!B52</f>
        <v>22CC034</v>
      </c>
      <c r="C50" s="59" t="str">
        <f>CO_ATT_INPUTS!C52</f>
        <v>722822115034</v>
      </c>
      <c r="D50" s="69" t="str">
        <f>CO_ATT_INPUTS!D52</f>
        <v>NIRMALKUMAR M</v>
      </c>
      <c r="E50" s="82">
        <v>5</v>
      </c>
      <c r="F50" s="82">
        <v>5</v>
      </c>
      <c r="G50" s="82">
        <v>5</v>
      </c>
      <c r="H50" s="82">
        <v>5</v>
      </c>
      <c r="I50" s="82">
        <v>5</v>
      </c>
    </row>
    <row r="51" spans="1:9" ht="34.5" customHeight="1" x14ac:dyDescent="0.25">
      <c r="A51" s="77">
        <f>CO_ATT_INPUTS!A53</f>
        <v>35</v>
      </c>
      <c r="B51" s="77" t="str">
        <f>CO_ATT_INPUTS!B53</f>
        <v>22CC035</v>
      </c>
      <c r="C51" s="59" t="str">
        <f>CO_ATT_INPUTS!C53</f>
        <v>722822115035</v>
      </c>
      <c r="D51" s="69" t="str">
        <f>CO_ATT_INPUTS!D53</f>
        <v>PRAKASH KUMAR M</v>
      </c>
      <c r="E51" s="82">
        <v>5</v>
      </c>
      <c r="F51" s="82">
        <v>5</v>
      </c>
      <c r="G51" s="82">
        <v>5</v>
      </c>
      <c r="H51" s="82">
        <v>5</v>
      </c>
      <c r="I51" s="82">
        <v>5</v>
      </c>
    </row>
    <row r="52" spans="1:9" ht="34.5" customHeight="1" x14ac:dyDescent="0.25">
      <c r="A52" s="77">
        <f>CO_ATT_INPUTS!A54</f>
        <v>36</v>
      </c>
      <c r="B52" s="77" t="str">
        <f>CO_ATT_INPUTS!B54</f>
        <v>22CC036</v>
      </c>
      <c r="C52" s="59" t="str">
        <f>CO_ATT_INPUTS!C54</f>
        <v>722822115036</v>
      </c>
      <c r="D52" s="69" t="str">
        <f>CO_ATT_INPUTS!D54</f>
        <v>PRASANNAKUMAR V G</v>
      </c>
      <c r="E52" s="82">
        <v>5</v>
      </c>
      <c r="F52" s="82">
        <v>5</v>
      </c>
      <c r="G52" s="82">
        <v>5</v>
      </c>
      <c r="H52" s="82">
        <v>4</v>
      </c>
      <c r="I52" s="82">
        <v>4</v>
      </c>
    </row>
    <row r="53" spans="1:9" ht="34.5" customHeight="1" x14ac:dyDescent="0.25">
      <c r="A53" s="77">
        <f>CO_ATT_INPUTS!A55</f>
        <v>37</v>
      </c>
      <c r="B53" s="77" t="str">
        <f>CO_ATT_INPUTS!B55</f>
        <v>22CC037</v>
      </c>
      <c r="C53" s="59" t="str">
        <f>CO_ATT_INPUTS!C55</f>
        <v>722822115037</v>
      </c>
      <c r="D53" s="69" t="str">
        <f>CO_ATT_INPUTS!D55</f>
        <v>PUGALENTHI A S</v>
      </c>
      <c r="E53" s="82">
        <v>5</v>
      </c>
      <c r="F53" s="82">
        <v>5</v>
      </c>
      <c r="G53" s="82">
        <v>5</v>
      </c>
      <c r="H53" s="82">
        <v>5</v>
      </c>
      <c r="I53" s="82">
        <v>5</v>
      </c>
    </row>
    <row r="54" spans="1:9" ht="34.5" customHeight="1" x14ac:dyDescent="0.25">
      <c r="A54" s="77">
        <f>CO_ATT_INPUTS!A56</f>
        <v>38</v>
      </c>
      <c r="B54" s="77" t="str">
        <f>CO_ATT_INPUTS!B56</f>
        <v>22CC038</v>
      </c>
      <c r="C54" s="59" t="str">
        <f>CO_ATT_INPUTS!C56</f>
        <v>722822115038</v>
      </c>
      <c r="D54" s="69" t="str">
        <f>CO_ATT_INPUTS!D56</f>
        <v>RAJESH KUMAR M</v>
      </c>
      <c r="E54" s="82">
        <v>5</v>
      </c>
      <c r="F54" s="82">
        <v>5</v>
      </c>
      <c r="G54" s="82">
        <v>5</v>
      </c>
      <c r="H54" s="82">
        <v>5</v>
      </c>
      <c r="I54" s="82">
        <v>5</v>
      </c>
    </row>
    <row r="55" spans="1:9" ht="34.5" customHeight="1" x14ac:dyDescent="0.25">
      <c r="A55" s="77">
        <f>CO_ATT_INPUTS!A57</f>
        <v>39</v>
      </c>
      <c r="B55" s="77" t="str">
        <f>CO_ATT_INPUTS!B57</f>
        <v>22CC039</v>
      </c>
      <c r="C55" s="59" t="str">
        <f>CO_ATT_INPUTS!C57</f>
        <v>722822115039</v>
      </c>
      <c r="D55" s="69" t="str">
        <f>CO_ATT_INPUTS!D57</f>
        <v>RENUKA K</v>
      </c>
      <c r="E55" s="82">
        <v>5</v>
      </c>
      <c r="F55" s="82">
        <v>5</v>
      </c>
      <c r="G55" s="82">
        <v>5</v>
      </c>
      <c r="H55" s="82">
        <v>5</v>
      </c>
      <c r="I55" s="82">
        <v>5</v>
      </c>
    </row>
    <row r="56" spans="1:9" ht="34.5" customHeight="1" x14ac:dyDescent="0.25">
      <c r="A56" s="77">
        <f>CO_ATT_INPUTS!A58</f>
        <v>40</v>
      </c>
      <c r="B56" s="77" t="str">
        <f>CO_ATT_INPUTS!B58</f>
        <v>22CC040</v>
      </c>
      <c r="C56" s="59" t="str">
        <f>CO_ATT_INPUTS!C58</f>
        <v>722822115040</v>
      </c>
      <c r="D56" s="69" t="str">
        <f>CO_ATT_INPUTS!D58</f>
        <v>RISHAB S</v>
      </c>
      <c r="E56" s="82">
        <v>5</v>
      </c>
      <c r="F56" s="82">
        <v>5</v>
      </c>
      <c r="G56" s="82">
        <v>5</v>
      </c>
      <c r="H56" s="82">
        <v>5</v>
      </c>
      <c r="I56" s="82">
        <v>5</v>
      </c>
    </row>
    <row r="57" spans="1:9" ht="34.5" customHeight="1" x14ac:dyDescent="0.25">
      <c r="A57" s="77">
        <f>CO_ATT_INPUTS!A59</f>
        <v>41</v>
      </c>
      <c r="B57" s="77" t="str">
        <f>CO_ATT_INPUTS!B59</f>
        <v>22CC041</v>
      </c>
      <c r="C57" s="59" t="str">
        <f>CO_ATT_INPUTS!C59</f>
        <v>722822115041</v>
      </c>
      <c r="D57" s="69" t="str">
        <f>CO_ATT_INPUTS!D59</f>
        <v>RITHIKA S</v>
      </c>
      <c r="E57" s="82">
        <v>5</v>
      </c>
      <c r="F57" s="82">
        <v>5</v>
      </c>
      <c r="G57" s="82">
        <v>5</v>
      </c>
      <c r="H57" s="82">
        <v>5</v>
      </c>
      <c r="I57" s="82">
        <v>5</v>
      </c>
    </row>
    <row r="58" spans="1:9" ht="34.5" customHeight="1" x14ac:dyDescent="0.25">
      <c r="A58" s="77">
        <f>CO_ATT_INPUTS!A60</f>
        <v>42</v>
      </c>
      <c r="B58" s="77" t="str">
        <f>CO_ATT_INPUTS!B60</f>
        <v>22CC042</v>
      </c>
      <c r="C58" s="59" t="str">
        <f>CO_ATT_INPUTS!C60</f>
        <v>722822115042</v>
      </c>
      <c r="D58" s="69" t="str">
        <f>CO_ATT_INPUTS!D60</f>
        <v>RITHISH S</v>
      </c>
      <c r="E58" s="82">
        <v>5</v>
      </c>
      <c r="F58" s="82">
        <v>5</v>
      </c>
      <c r="G58" s="82">
        <v>5</v>
      </c>
      <c r="H58" s="82">
        <v>5</v>
      </c>
      <c r="I58" s="82">
        <v>5</v>
      </c>
    </row>
    <row r="59" spans="1:9" ht="34.5" customHeight="1" x14ac:dyDescent="0.25">
      <c r="A59" s="77">
        <f>CO_ATT_INPUTS!A61</f>
        <v>43</v>
      </c>
      <c r="B59" s="77" t="str">
        <f>CO_ATT_INPUTS!B61</f>
        <v>22CC043</v>
      </c>
      <c r="C59" s="59" t="str">
        <f>CO_ATT_INPUTS!C61</f>
        <v>722822115043</v>
      </c>
      <c r="D59" s="69" t="str">
        <f>CO_ATT_INPUTS!D61</f>
        <v>ROHIT K S</v>
      </c>
      <c r="E59" s="82">
        <v>5</v>
      </c>
      <c r="F59" s="82">
        <v>5</v>
      </c>
      <c r="G59" s="82">
        <v>5</v>
      </c>
      <c r="H59" s="82">
        <v>5</v>
      </c>
      <c r="I59" s="82">
        <v>5</v>
      </c>
    </row>
    <row r="60" spans="1:9" ht="34.5" customHeight="1" x14ac:dyDescent="0.25">
      <c r="A60" s="77">
        <f>CO_ATT_INPUTS!A62</f>
        <v>44</v>
      </c>
      <c r="B60" s="77" t="str">
        <f>CO_ATT_INPUTS!B62</f>
        <v>22CC044</v>
      </c>
      <c r="C60" s="59" t="str">
        <f>CO_ATT_INPUTS!C62</f>
        <v>722822115044</v>
      </c>
      <c r="D60" s="69" t="str">
        <f>CO_ATT_INPUTS!D62</f>
        <v>SAKTHI VIGNESH S</v>
      </c>
      <c r="E60" s="82">
        <v>5</v>
      </c>
      <c r="F60" s="82">
        <v>5</v>
      </c>
      <c r="G60" s="82">
        <v>1</v>
      </c>
      <c r="H60" s="82">
        <v>5</v>
      </c>
      <c r="I60" s="82">
        <v>5</v>
      </c>
    </row>
    <row r="61" spans="1:9" ht="34.5" customHeight="1" x14ac:dyDescent="0.25">
      <c r="A61" s="77">
        <f>CO_ATT_INPUTS!A63</f>
        <v>45</v>
      </c>
      <c r="B61" s="77" t="str">
        <f>CO_ATT_INPUTS!B63</f>
        <v>22CC045</v>
      </c>
      <c r="C61" s="59" t="str">
        <f>CO_ATT_INPUTS!C63</f>
        <v>722822115045</v>
      </c>
      <c r="D61" s="69" t="str">
        <f>CO_ATT_INPUTS!D63</f>
        <v>SAKTHIVEL M</v>
      </c>
      <c r="E61" s="82">
        <v>4</v>
      </c>
      <c r="F61" s="82">
        <v>4</v>
      </c>
      <c r="G61" s="82">
        <v>4</v>
      </c>
      <c r="H61" s="82">
        <v>4</v>
      </c>
      <c r="I61" s="82">
        <v>4</v>
      </c>
    </row>
    <row r="62" spans="1:9" ht="34.5" customHeight="1" x14ac:dyDescent="0.25">
      <c r="A62" s="77">
        <f>CO_ATT_INPUTS!A64</f>
        <v>46</v>
      </c>
      <c r="B62" s="77" t="str">
        <f>CO_ATT_INPUTS!B64</f>
        <v>22CC046</v>
      </c>
      <c r="C62" s="59" t="str">
        <f>CO_ATT_INPUTS!C64</f>
        <v>722822115046</v>
      </c>
      <c r="D62" s="69" t="str">
        <f>CO_ATT_INPUTS!D64</f>
        <v>SAMRAAT M</v>
      </c>
      <c r="E62" s="82">
        <v>5</v>
      </c>
      <c r="F62" s="82">
        <v>4</v>
      </c>
      <c r="G62" s="82">
        <v>5</v>
      </c>
      <c r="H62" s="82">
        <v>4</v>
      </c>
      <c r="I62" s="82">
        <v>5</v>
      </c>
    </row>
    <row r="63" spans="1:9" ht="34.5" customHeight="1" x14ac:dyDescent="0.25">
      <c r="A63" s="77">
        <f>CO_ATT_INPUTS!A65</f>
        <v>47</v>
      </c>
      <c r="B63" s="77" t="str">
        <f>CO_ATT_INPUTS!B65</f>
        <v>22CC047</v>
      </c>
      <c r="C63" s="59" t="str">
        <f>CO_ATT_INPUTS!C65</f>
        <v>722822115047</v>
      </c>
      <c r="D63" s="69" t="str">
        <f>CO_ATT_INPUTS!D65</f>
        <v>SHANMUGAPRIYA M</v>
      </c>
      <c r="E63" s="82">
        <v>4</v>
      </c>
      <c r="F63" s="82">
        <v>4</v>
      </c>
      <c r="G63" s="82">
        <v>5</v>
      </c>
      <c r="H63" s="82">
        <v>4</v>
      </c>
      <c r="I63" s="82">
        <v>5</v>
      </c>
    </row>
    <row r="64" spans="1:9" ht="34.5" customHeight="1" x14ac:dyDescent="0.25">
      <c r="A64" s="77">
        <f>CO_ATT_INPUTS!A66</f>
        <v>48</v>
      </c>
      <c r="B64" s="77" t="str">
        <f>CO_ATT_INPUTS!B66</f>
        <v>22CC048</v>
      </c>
      <c r="C64" s="59" t="str">
        <f>CO_ATT_INPUTS!C66</f>
        <v>722822115048</v>
      </c>
      <c r="D64" s="69" t="str">
        <f>CO_ATT_INPUTS!D66</f>
        <v>SHRINAYA S K</v>
      </c>
      <c r="E64" s="82">
        <v>5</v>
      </c>
      <c r="F64" s="82">
        <v>5</v>
      </c>
      <c r="G64" s="82">
        <v>5</v>
      </c>
      <c r="H64" s="82">
        <v>5</v>
      </c>
      <c r="I64" s="82">
        <v>5</v>
      </c>
    </row>
    <row r="65" spans="1:9" ht="34.5" customHeight="1" x14ac:dyDescent="0.25">
      <c r="A65" s="77">
        <f>CO_ATT_INPUTS!A67</f>
        <v>49</v>
      </c>
      <c r="B65" s="77" t="str">
        <f>CO_ATT_INPUTS!B67</f>
        <v>22CC049</v>
      </c>
      <c r="C65" s="59" t="str">
        <f>CO_ATT_INPUTS!C67</f>
        <v>722822115049</v>
      </c>
      <c r="D65" s="69" t="str">
        <f>CO_ATT_INPUTS!D67</f>
        <v>SIDDARTHAN S</v>
      </c>
      <c r="E65" s="82">
        <v>5</v>
      </c>
      <c r="F65" s="82">
        <v>5</v>
      </c>
      <c r="G65" s="82">
        <v>5</v>
      </c>
      <c r="H65" s="82">
        <v>5</v>
      </c>
      <c r="I65" s="82">
        <v>5</v>
      </c>
    </row>
    <row r="66" spans="1:9" ht="34.5" customHeight="1" x14ac:dyDescent="0.25">
      <c r="A66" s="77">
        <f>CO_ATT_INPUTS!A68</f>
        <v>50</v>
      </c>
      <c r="B66" s="77" t="str">
        <f>CO_ATT_INPUTS!B68</f>
        <v>22CC050</v>
      </c>
      <c r="C66" s="59" t="str">
        <f>CO_ATT_INPUTS!C68</f>
        <v>722822115050</v>
      </c>
      <c r="D66" s="69" t="str">
        <f>CO_ATT_INPUTS!D68</f>
        <v>SIVANANTHAM A</v>
      </c>
      <c r="E66" s="82">
        <v>5</v>
      </c>
      <c r="F66" s="82">
        <v>5</v>
      </c>
      <c r="G66" s="82">
        <v>4</v>
      </c>
      <c r="H66" s="82">
        <v>5</v>
      </c>
      <c r="I66" s="82">
        <v>4</v>
      </c>
    </row>
    <row r="67" spans="1:9" ht="34.5" customHeight="1" x14ac:dyDescent="0.25">
      <c r="A67" s="77">
        <f>CO_ATT_INPUTS!A69</f>
        <v>51</v>
      </c>
      <c r="B67" s="77" t="str">
        <f>CO_ATT_INPUTS!B69</f>
        <v>22CC051</v>
      </c>
      <c r="C67" s="59" t="str">
        <f>CO_ATT_INPUTS!C69</f>
        <v>722822115051</v>
      </c>
      <c r="D67" s="69" t="str">
        <f>CO_ATT_INPUTS!D69</f>
        <v>SOFIYA NIVEDHINI  J</v>
      </c>
      <c r="E67" s="82">
        <v>4</v>
      </c>
      <c r="F67" s="82">
        <v>4</v>
      </c>
      <c r="G67" s="82">
        <v>4</v>
      </c>
      <c r="H67" s="82">
        <v>4</v>
      </c>
      <c r="I67" s="82">
        <v>4</v>
      </c>
    </row>
    <row r="68" spans="1:9" ht="34.5" customHeight="1" x14ac:dyDescent="0.25">
      <c r="A68" s="77">
        <f>CO_ATT_INPUTS!A70</f>
        <v>52</v>
      </c>
      <c r="B68" s="77" t="str">
        <f>CO_ATT_INPUTS!B70</f>
        <v>22CC052</v>
      </c>
      <c r="C68" s="59" t="str">
        <f>CO_ATT_INPUTS!C70</f>
        <v>722822115052</v>
      </c>
      <c r="D68" s="69" t="str">
        <f>CO_ATT_INPUTS!D70</f>
        <v>SOWBHARNIKA  P G</v>
      </c>
      <c r="E68" s="82">
        <v>5</v>
      </c>
      <c r="F68" s="82">
        <v>5</v>
      </c>
      <c r="G68" s="82">
        <v>5</v>
      </c>
      <c r="H68" s="82">
        <v>5</v>
      </c>
      <c r="I68" s="82">
        <v>5</v>
      </c>
    </row>
    <row r="69" spans="1:9" ht="34.5" customHeight="1" x14ac:dyDescent="0.25">
      <c r="A69" s="77">
        <f>CO_ATT_INPUTS!A71</f>
        <v>53</v>
      </c>
      <c r="B69" s="77" t="str">
        <f>CO_ATT_INPUTS!B71</f>
        <v>22CC053</v>
      </c>
      <c r="C69" s="59" t="str">
        <f>CO_ATT_INPUTS!C71</f>
        <v>722822115053</v>
      </c>
      <c r="D69" s="69" t="str">
        <f>CO_ATT_INPUTS!D71</f>
        <v>SREEMATHI S</v>
      </c>
      <c r="E69" s="82">
        <v>5</v>
      </c>
      <c r="F69" s="82">
        <v>5</v>
      </c>
      <c r="G69" s="82">
        <v>5</v>
      </c>
      <c r="H69" s="82">
        <v>5</v>
      </c>
      <c r="I69" s="82">
        <v>5</v>
      </c>
    </row>
    <row r="70" spans="1:9" ht="34.5" customHeight="1" x14ac:dyDescent="0.25">
      <c r="A70" s="77">
        <f>CO_ATT_INPUTS!A72</f>
        <v>54</v>
      </c>
      <c r="B70" s="77" t="str">
        <f>CO_ATT_INPUTS!B72</f>
        <v>22CC054</v>
      </c>
      <c r="C70" s="59" t="str">
        <f>CO_ATT_INPUTS!C72</f>
        <v>722822115054</v>
      </c>
      <c r="D70" s="69" t="str">
        <f>CO_ATT_INPUTS!D72</f>
        <v>SRINIDHI P S</v>
      </c>
      <c r="E70" s="82">
        <v>5</v>
      </c>
      <c r="F70" s="82">
        <v>5</v>
      </c>
      <c r="G70" s="82">
        <v>5</v>
      </c>
      <c r="H70" s="82">
        <v>5</v>
      </c>
      <c r="I70" s="82">
        <v>5</v>
      </c>
    </row>
    <row r="71" spans="1:9" ht="34.5" customHeight="1" x14ac:dyDescent="0.25">
      <c r="A71" s="77">
        <f>CO_ATT_INPUTS!A73</f>
        <v>55</v>
      </c>
      <c r="B71" s="77" t="str">
        <f>CO_ATT_INPUTS!B73</f>
        <v>22CC055</v>
      </c>
      <c r="C71" s="59" t="str">
        <f>CO_ATT_INPUTS!C73</f>
        <v>722822115055</v>
      </c>
      <c r="D71" s="69" t="str">
        <f>CO_ATT_INPUTS!D73</f>
        <v>SUGIRTHA VARDHINI  M</v>
      </c>
      <c r="E71" s="82">
        <v>5</v>
      </c>
      <c r="F71" s="82">
        <v>5</v>
      </c>
      <c r="G71" s="82">
        <v>5</v>
      </c>
      <c r="H71" s="82">
        <v>5</v>
      </c>
      <c r="I71" s="82">
        <v>5</v>
      </c>
    </row>
    <row r="72" spans="1:9" ht="34.5" customHeight="1" x14ac:dyDescent="0.25">
      <c r="A72" s="77">
        <f>CO_ATT_INPUTS!A74</f>
        <v>56</v>
      </c>
      <c r="B72" s="77" t="str">
        <f>CO_ATT_INPUTS!B74</f>
        <v>22CC056</v>
      </c>
      <c r="C72" s="59" t="str">
        <f>CO_ATT_INPUTS!C74</f>
        <v>722822115056</v>
      </c>
      <c r="D72" s="69" t="str">
        <f>CO_ATT_INPUTS!D74</f>
        <v>SURRYA BHAARATHI S A</v>
      </c>
      <c r="E72" s="82">
        <v>4</v>
      </c>
      <c r="F72" s="82">
        <v>4</v>
      </c>
      <c r="G72" s="82">
        <v>4</v>
      </c>
      <c r="H72" s="82">
        <v>4</v>
      </c>
      <c r="I72" s="82">
        <v>4</v>
      </c>
    </row>
    <row r="73" spans="1:9" ht="34.5" customHeight="1" x14ac:dyDescent="0.25">
      <c r="A73" s="77">
        <f>CO_ATT_INPUTS!A75</f>
        <v>57</v>
      </c>
      <c r="B73" s="77" t="str">
        <f>CO_ATT_INPUTS!B75</f>
        <v>22CC057</v>
      </c>
      <c r="C73" s="59" t="str">
        <f>CO_ATT_INPUTS!C75</f>
        <v>722822115057</v>
      </c>
      <c r="D73" s="69" t="str">
        <f>CO_ATT_INPUTS!D75</f>
        <v>SWETHA S</v>
      </c>
      <c r="E73" s="82">
        <v>5</v>
      </c>
      <c r="F73" s="82">
        <v>5</v>
      </c>
      <c r="G73" s="82">
        <v>5</v>
      </c>
      <c r="H73" s="82">
        <v>5</v>
      </c>
      <c r="I73" s="82">
        <v>5</v>
      </c>
    </row>
    <row r="74" spans="1:9" ht="34.5" customHeight="1" x14ac:dyDescent="0.25">
      <c r="A74" s="77">
        <f>CO_ATT_INPUTS!A76</f>
        <v>58</v>
      </c>
      <c r="B74" s="77" t="str">
        <f>CO_ATT_INPUTS!B76</f>
        <v>22CC058</v>
      </c>
      <c r="C74" s="59" t="str">
        <f>CO_ATT_INPUTS!C76</f>
        <v>722822115058</v>
      </c>
      <c r="D74" s="69" t="str">
        <f>CO_ATT_INPUTS!D76</f>
        <v>TAMILKUMARAN N</v>
      </c>
      <c r="E74" s="82">
        <v>5</v>
      </c>
      <c r="F74" s="82">
        <v>4</v>
      </c>
      <c r="G74" s="82">
        <v>5</v>
      </c>
      <c r="H74" s="82">
        <v>5</v>
      </c>
      <c r="I74" s="82">
        <v>5</v>
      </c>
    </row>
    <row r="75" spans="1:9" ht="34.5" customHeight="1" x14ac:dyDescent="0.25">
      <c r="A75" s="77">
        <f>CO_ATT_INPUTS!A77</f>
        <v>59</v>
      </c>
      <c r="B75" s="77" t="str">
        <f>CO_ATT_INPUTS!B77</f>
        <v>22CC059</v>
      </c>
      <c r="C75" s="59" t="str">
        <f>CO_ATT_INPUTS!C77</f>
        <v>722822115059</v>
      </c>
      <c r="D75" s="69" t="str">
        <f>CO_ATT_INPUTS!D77</f>
        <v>VEDHA KAVYA SRI P</v>
      </c>
      <c r="E75" s="82">
        <v>4</v>
      </c>
      <c r="F75" s="82">
        <v>4</v>
      </c>
      <c r="G75" s="82">
        <v>4</v>
      </c>
      <c r="H75" s="82">
        <v>4</v>
      </c>
      <c r="I75" s="82">
        <v>4</v>
      </c>
    </row>
    <row r="76" spans="1:9" ht="34.5" customHeight="1" x14ac:dyDescent="0.25">
      <c r="A76" s="77">
        <f>CO_ATT_INPUTS!A78</f>
        <v>60</v>
      </c>
      <c r="B76" s="77" t="str">
        <f>CO_ATT_INPUTS!B78</f>
        <v>22CC060</v>
      </c>
      <c r="C76" s="59" t="str">
        <f>CO_ATT_INPUTS!C78</f>
        <v>722822115060</v>
      </c>
      <c r="D76" s="69" t="str">
        <f>CO_ATT_INPUTS!D78</f>
        <v>VISHAL KUMAR S</v>
      </c>
      <c r="E76" s="82">
        <v>4</v>
      </c>
      <c r="F76" s="82">
        <v>4</v>
      </c>
      <c r="G76" s="82">
        <v>4</v>
      </c>
      <c r="H76" s="82">
        <v>4</v>
      </c>
      <c r="I76" s="82">
        <v>4</v>
      </c>
    </row>
    <row r="77" spans="1:9" ht="34.5" customHeight="1" x14ac:dyDescent="0.25">
      <c r="A77" s="77">
        <f>CO_ATT_INPUTS!A79</f>
        <v>61</v>
      </c>
      <c r="B77" s="77" t="str">
        <f>CO_ATT_INPUTS!B79</f>
        <v>22CC061</v>
      </c>
      <c r="C77" s="59" t="str">
        <f>CO_ATT_INPUTS!C79</f>
        <v>722822115061</v>
      </c>
      <c r="D77" s="69" t="str">
        <f>CO_ATT_INPUTS!D79</f>
        <v>YALINI S</v>
      </c>
      <c r="E77" s="82">
        <v>4</v>
      </c>
      <c r="F77" s="82">
        <v>4</v>
      </c>
      <c r="G77" s="82">
        <v>4</v>
      </c>
      <c r="H77" s="82">
        <v>4</v>
      </c>
      <c r="I77" s="82">
        <v>4</v>
      </c>
    </row>
    <row r="78" spans="1:9" ht="34.5" customHeight="1" x14ac:dyDescent="0.25">
      <c r="A78" s="77">
        <f>CO_ATT_INPUTS!A80</f>
        <v>62</v>
      </c>
      <c r="B78" s="77" t="str">
        <f>CO_ATT_INPUTS!B80</f>
        <v>22CC062</v>
      </c>
      <c r="C78" s="59" t="str">
        <f>CO_ATT_INPUTS!C80</f>
        <v>722822115062</v>
      </c>
      <c r="D78" s="69" t="str">
        <f>CO_ATT_INPUTS!D80</f>
        <v>YASHWANTH B</v>
      </c>
      <c r="E78" s="82">
        <v>5</v>
      </c>
      <c r="F78" s="82">
        <v>5</v>
      </c>
      <c r="G78" s="82">
        <v>4</v>
      </c>
      <c r="H78" s="82">
        <v>4</v>
      </c>
      <c r="I78" s="82">
        <v>3</v>
      </c>
    </row>
    <row r="79" spans="1:9" ht="34.5" customHeight="1" x14ac:dyDescent="0.25">
      <c r="A79" s="77">
        <f>CO_ATT_INPUTS!A81</f>
        <v>63</v>
      </c>
      <c r="B79" s="77" t="str">
        <f>CO_ATT_INPUTS!B81</f>
        <v>22CC063</v>
      </c>
      <c r="C79" s="59" t="str">
        <f>CO_ATT_INPUTS!C81</f>
        <v>722822115063</v>
      </c>
      <c r="D79" s="69" t="str">
        <f>CO_ATT_INPUTS!D81</f>
        <v>YUKESH R</v>
      </c>
      <c r="E79" s="82">
        <v>5</v>
      </c>
      <c r="F79" s="82">
        <v>5</v>
      </c>
      <c r="G79" s="82">
        <v>5</v>
      </c>
      <c r="H79" s="82">
        <v>5</v>
      </c>
      <c r="I79" s="82">
        <v>5</v>
      </c>
    </row>
    <row r="80" spans="1:9" ht="34.5" customHeight="1" x14ac:dyDescent="0.25">
      <c r="A80" s="77">
        <f>CO_ATT_INPUTS!A82</f>
        <v>64</v>
      </c>
      <c r="B80" s="77" t="str">
        <f>CO_ATT_INPUTS!B82</f>
        <v>22CC301</v>
      </c>
      <c r="C80" s="59" t="str">
        <f>CO_ATT_INPUTS!C82</f>
        <v>722822115301</v>
      </c>
      <c r="D80" s="69" t="str">
        <f>CO_ATT_INPUTS!D82</f>
        <v>AJITH DAS S</v>
      </c>
      <c r="E80" s="82">
        <v>4</v>
      </c>
      <c r="F80" s="82">
        <v>5</v>
      </c>
      <c r="G80" s="82">
        <v>5</v>
      </c>
      <c r="H80" s="82">
        <v>5</v>
      </c>
      <c r="I80" s="82">
        <v>4</v>
      </c>
    </row>
    <row r="81" spans="1:9" ht="34.5" customHeight="1" x14ac:dyDescent="0.25">
      <c r="A81" s="77">
        <f>CO_ATT_INPUTS!A83</f>
        <v>65</v>
      </c>
      <c r="B81" s="77" t="str">
        <f>CO_ATT_INPUTS!B83</f>
        <v>22CC302</v>
      </c>
      <c r="C81" s="59" t="str">
        <f>CO_ATT_INPUTS!C83</f>
        <v>722822115302</v>
      </c>
      <c r="D81" s="69" t="str">
        <f>CO_ATT_INPUTS!D83</f>
        <v>RAKESH M</v>
      </c>
      <c r="E81" s="82">
        <v>5</v>
      </c>
      <c r="F81" s="82">
        <v>5</v>
      </c>
      <c r="G81" s="82">
        <v>5</v>
      </c>
      <c r="H81" s="82">
        <v>5</v>
      </c>
      <c r="I81" s="82">
        <v>5</v>
      </c>
    </row>
    <row r="82" spans="1:9" ht="34.5" hidden="1" customHeight="1" x14ac:dyDescent="0.25">
      <c r="A82" s="77">
        <f>CO_ATT_INPUTS!A84</f>
        <v>66</v>
      </c>
      <c r="B82" s="77">
        <f>CO_ATT_INPUTS!B84</f>
        <v>0</v>
      </c>
      <c r="C82" s="59">
        <f>CO_ATT_INPUTS!C84</f>
        <v>0</v>
      </c>
      <c r="D82" s="69">
        <f>CO_ATT_INPUTS!D84</f>
        <v>0</v>
      </c>
      <c r="E82" s="82"/>
      <c r="F82" s="82"/>
      <c r="G82" s="82"/>
      <c r="H82" s="82"/>
      <c r="I82" s="82"/>
    </row>
    <row r="83" spans="1:9" ht="34.5" hidden="1" customHeight="1" x14ac:dyDescent="0.25">
      <c r="A83" s="77">
        <f>CO_ATT_INPUTS!A85</f>
        <v>67</v>
      </c>
      <c r="B83" s="77">
        <f>CO_ATT_INPUTS!B85</f>
        <v>0</v>
      </c>
      <c r="C83" s="59">
        <f>CO_ATT_INPUTS!C85</f>
        <v>0</v>
      </c>
      <c r="D83" s="69">
        <f>CO_ATT_INPUTS!D85</f>
        <v>0</v>
      </c>
      <c r="E83" s="82"/>
      <c r="F83" s="82"/>
      <c r="G83" s="82"/>
      <c r="H83" s="82"/>
      <c r="I83" s="82"/>
    </row>
    <row r="84" spans="1:9" ht="34.5" hidden="1" customHeight="1" x14ac:dyDescent="0.25">
      <c r="A84" s="77">
        <f>CO_ATT_INPUTS!A86</f>
        <v>68</v>
      </c>
      <c r="B84" s="77">
        <f>CO_ATT_INPUTS!B86</f>
        <v>0</v>
      </c>
      <c r="C84" s="59">
        <f>CO_ATT_INPUTS!C86</f>
        <v>0</v>
      </c>
      <c r="D84" s="69">
        <f>CO_ATT_INPUTS!D86</f>
        <v>0</v>
      </c>
      <c r="E84" s="82"/>
      <c r="F84" s="82"/>
      <c r="G84" s="82"/>
      <c r="H84" s="82"/>
      <c r="I84" s="82"/>
    </row>
    <row r="85" spans="1:9" ht="34.5" hidden="1" customHeight="1" x14ac:dyDescent="0.25">
      <c r="A85" s="77">
        <f>CO_ATT_INPUTS!A87</f>
        <v>69</v>
      </c>
      <c r="B85" s="77">
        <f>CO_ATT_INPUTS!B87</f>
        <v>0</v>
      </c>
      <c r="C85" s="59">
        <f>CO_ATT_INPUTS!C87</f>
        <v>0</v>
      </c>
      <c r="D85" s="69">
        <f>CO_ATT_INPUTS!D87</f>
        <v>0</v>
      </c>
      <c r="E85" s="82"/>
      <c r="F85" s="82"/>
      <c r="G85" s="82"/>
      <c r="H85" s="82"/>
      <c r="I85" s="82"/>
    </row>
    <row r="86" spans="1:9" ht="34.5" hidden="1" customHeight="1" x14ac:dyDescent="0.25">
      <c r="A86" s="77">
        <f>CO_ATT_INPUTS!A88</f>
        <v>70</v>
      </c>
      <c r="B86" s="77">
        <f>CO_ATT_INPUTS!B88</f>
        <v>0</v>
      </c>
      <c r="C86" s="59">
        <f>CO_ATT_INPUTS!C88</f>
        <v>0</v>
      </c>
      <c r="D86" s="69">
        <f>CO_ATT_INPUTS!D88</f>
        <v>0</v>
      </c>
      <c r="E86" s="82"/>
      <c r="F86" s="82"/>
      <c r="G86" s="82"/>
      <c r="H86" s="82"/>
      <c r="I86" s="82"/>
    </row>
    <row r="87" spans="1:9" ht="34.5" hidden="1" customHeight="1" x14ac:dyDescent="0.25">
      <c r="A87" s="77">
        <f>CO_ATT_INPUTS!A89</f>
        <v>71</v>
      </c>
      <c r="B87" s="77">
        <f>CO_ATT_INPUTS!B89</f>
        <v>0</v>
      </c>
      <c r="C87" s="59">
        <f>CO_ATT_INPUTS!C89</f>
        <v>0</v>
      </c>
      <c r="D87" s="69">
        <f>CO_ATT_INPUTS!D89</f>
        <v>0</v>
      </c>
      <c r="E87" s="82"/>
      <c r="F87" s="82"/>
      <c r="G87" s="82"/>
      <c r="H87" s="82"/>
      <c r="I87" s="82"/>
    </row>
    <row r="88" spans="1:9" ht="34.5" hidden="1" customHeight="1" x14ac:dyDescent="0.25">
      <c r="A88" s="77">
        <f>CO_ATT_INPUTS!A90</f>
        <v>72</v>
      </c>
      <c r="B88" s="77">
        <f>CO_ATT_INPUTS!B90</f>
        <v>0</v>
      </c>
      <c r="C88" s="59">
        <f>CO_ATT_INPUTS!C90</f>
        <v>0</v>
      </c>
      <c r="D88" s="69">
        <f>CO_ATT_INPUTS!D90</f>
        <v>0</v>
      </c>
      <c r="E88" s="82"/>
      <c r="F88" s="82"/>
      <c r="G88" s="82"/>
      <c r="H88" s="82"/>
      <c r="I88" s="82"/>
    </row>
    <row r="89" spans="1:9" ht="34.5" hidden="1" customHeight="1" x14ac:dyDescent="0.25">
      <c r="A89" s="77">
        <f>CO_ATT_INPUTS!A91</f>
        <v>73</v>
      </c>
      <c r="B89" s="77">
        <f>CO_ATT_INPUTS!B91</f>
        <v>0</v>
      </c>
      <c r="C89" s="59">
        <f>CO_ATT_INPUTS!C91</f>
        <v>0</v>
      </c>
      <c r="D89" s="69">
        <f>CO_ATT_INPUTS!D91</f>
        <v>0</v>
      </c>
      <c r="E89" s="82"/>
      <c r="F89" s="82"/>
      <c r="G89" s="82"/>
      <c r="H89" s="82"/>
      <c r="I89" s="82"/>
    </row>
    <row r="90" spans="1:9" ht="34.5" hidden="1" customHeight="1" x14ac:dyDescent="0.25">
      <c r="A90" s="77">
        <f>CO_ATT_INPUTS!A92</f>
        <v>74</v>
      </c>
      <c r="B90" s="77">
        <f>CO_ATT_INPUTS!B92</f>
        <v>0</v>
      </c>
      <c r="C90" s="59">
        <f>CO_ATT_INPUTS!C92</f>
        <v>0</v>
      </c>
      <c r="D90" s="69">
        <f>CO_ATT_INPUTS!D92</f>
        <v>0</v>
      </c>
      <c r="E90" s="82"/>
      <c r="F90" s="82"/>
      <c r="G90" s="82"/>
      <c r="H90" s="82"/>
      <c r="I90" s="82"/>
    </row>
    <row r="91" spans="1:9" ht="34.5" hidden="1" customHeight="1" x14ac:dyDescent="0.25">
      <c r="A91" s="77">
        <f>CO_ATT_INPUTS!A93</f>
        <v>75</v>
      </c>
      <c r="B91" s="77">
        <f>CO_ATT_INPUTS!B93</f>
        <v>0</v>
      </c>
      <c r="C91" s="59">
        <f>CO_ATT_INPUTS!C93</f>
        <v>0</v>
      </c>
      <c r="D91" s="69">
        <f>CO_ATT_INPUTS!D93</f>
        <v>0</v>
      </c>
      <c r="E91" s="82"/>
      <c r="F91" s="82"/>
      <c r="G91" s="82"/>
      <c r="H91" s="82"/>
      <c r="I91" s="82"/>
    </row>
    <row r="92" spans="1:9" ht="34.5" hidden="1" customHeight="1" x14ac:dyDescent="0.25">
      <c r="A92" s="77">
        <f>CO_ATT_INPUTS!A94</f>
        <v>76</v>
      </c>
      <c r="B92" s="77">
        <f>CO_ATT_INPUTS!B94</f>
        <v>0</v>
      </c>
      <c r="C92" s="59">
        <f>CO_ATT_INPUTS!C94</f>
        <v>0</v>
      </c>
      <c r="D92" s="69">
        <f>CO_ATT_INPUTS!D94</f>
        <v>0</v>
      </c>
      <c r="E92" s="82"/>
      <c r="F92" s="82"/>
      <c r="G92" s="82"/>
      <c r="H92" s="82"/>
      <c r="I92" s="82"/>
    </row>
    <row r="93" spans="1:9" ht="34.5" hidden="1" customHeight="1" x14ac:dyDescent="0.25">
      <c r="A93" s="77">
        <f>CO_ATT_INPUTS!A95</f>
        <v>77</v>
      </c>
      <c r="B93" s="77">
        <f>CO_ATT_INPUTS!B95</f>
        <v>0</v>
      </c>
      <c r="C93" s="59">
        <f>CO_ATT_INPUTS!C95</f>
        <v>0</v>
      </c>
      <c r="D93" s="69">
        <f>CO_ATT_INPUTS!D95</f>
        <v>0</v>
      </c>
      <c r="E93" s="82"/>
      <c r="F93" s="82"/>
      <c r="G93" s="82"/>
      <c r="H93" s="82"/>
      <c r="I93" s="82"/>
    </row>
    <row r="94" spans="1:9" ht="34.5" hidden="1" customHeight="1" x14ac:dyDescent="0.25">
      <c r="A94" s="77">
        <f>CO_ATT_INPUTS!A96</f>
        <v>78</v>
      </c>
      <c r="B94" s="77">
        <f>CO_ATT_INPUTS!B96</f>
        <v>0</v>
      </c>
      <c r="C94" s="59">
        <f>CO_ATT_INPUTS!C96</f>
        <v>0</v>
      </c>
      <c r="D94" s="69">
        <f>CO_ATT_INPUTS!D96</f>
        <v>0</v>
      </c>
      <c r="E94" s="82"/>
      <c r="F94" s="82"/>
      <c r="G94" s="82"/>
      <c r="H94" s="82"/>
      <c r="I94" s="82"/>
    </row>
    <row r="95" spans="1:9" ht="34.5" hidden="1" customHeight="1" x14ac:dyDescent="0.25">
      <c r="A95" s="77">
        <f>CO_ATT_INPUTS!A97</f>
        <v>79</v>
      </c>
      <c r="B95" s="77">
        <f>CO_ATT_INPUTS!B97</f>
        <v>0</v>
      </c>
      <c r="C95" s="59">
        <f>CO_ATT_INPUTS!C97</f>
        <v>0</v>
      </c>
      <c r="D95" s="69">
        <f>CO_ATT_INPUTS!D97</f>
        <v>0</v>
      </c>
      <c r="E95" s="82"/>
      <c r="F95" s="82"/>
      <c r="G95" s="82"/>
      <c r="H95" s="82"/>
      <c r="I95" s="82"/>
    </row>
    <row r="96" spans="1:9" ht="34.5" hidden="1" customHeight="1" x14ac:dyDescent="0.25">
      <c r="A96" s="77">
        <f>CO_ATT_INPUTS!A98</f>
        <v>80</v>
      </c>
      <c r="B96" s="77">
        <f>CO_ATT_INPUTS!B98</f>
        <v>0</v>
      </c>
      <c r="C96" s="59">
        <f>CO_ATT_INPUTS!C98</f>
        <v>0</v>
      </c>
      <c r="D96" s="69">
        <f>CO_ATT_INPUTS!D98</f>
        <v>0</v>
      </c>
      <c r="E96" s="82"/>
      <c r="F96" s="82"/>
      <c r="G96" s="82"/>
      <c r="H96" s="82"/>
      <c r="I96" s="82"/>
    </row>
    <row r="97" spans="1:9" ht="34.5" hidden="1" customHeight="1" x14ac:dyDescent="0.25">
      <c r="A97" s="77">
        <f>CO_ATT_INPUTS!A99</f>
        <v>81</v>
      </c>
      <c r="B97" s="77">
        <f>CO_ATT_INPUTS!B99</f>
        <v>0</v>
      </c>
      <c r="C97" s="59">
        <f>CO_ATT_INPUTS!C99</f>
        <v>0</v>
      </c>
      <c r="D97" s="69">
        <f>CO_ATT_INPUTS!D99</f>
        <v>0</v>
      </c>
      <c r="E97" s="82"/>
      <c r="F97" s="82"/>
      <c r="G97" s="82"/>
      <c r="H97" s="82"/>
      <c r="I97" s="82"/>
    </row>
    <row r="98" spans="1:9" ht="34.5" hidden="1" customHeight="1" x14ac:dyDescent="0.25">
      <c r="A98" s="77">
        <f>CO_ATT_INPUTS!A100</f>
        <v>82</v>
      </c>
      <c r="B98" s="77">
        <f>CO_ATT_INPUTS!B100</f>
        <v>0</v>
      </c>
      <c r="C98" s="59">
        <f>CO_ATT_INPUTS!C100</f>
        <v>0</v>
      </c>
      <c r="D98" s="69">
        <f>CO_ATT_INPUTS!D100</f>
        <v>0</v>
      </c>
      <c r="E98" s="82"/>
      <c r="F98" s="82"/>
      <c r="G98" s="82"/>
      <c r="H98" s="82"/>
      <c r="I98" s="82"/>
    </row>
    <row r="99" spans="1:9" ht="34.5" hidden="1" customHeight="1" x14ac:dyDescent="0.25">
      <c r="A99" s="77">
        <f>CO_ATT_INPUTS!A101</f>
        <v>83</v>
      </c>
      <c r="B99" s="77">
        <f>CO_ATT_INPUTS!B101</f>
        <v>0</v>
      </c>
      <c r="C99" s="59">
        <f>CO_ATT_INPUTS!C101</f>
        <v>0</v>
      </c>
      <c r="D99" s="69">
        <f>CO_ATT_INPUTS!D101</f>
        <v>0</v>
      </c>
      <c r="E99" s="82"/>
      <c r="F99" s="82"/>
      <c r="G99" s="82"/>
      <c r="H99" s="82"/>
      <c r="I99" s="82"/>
    </row>
    <row r="100" spans="1:9" ht="34.5" hidden="1" customHeight="1" x14ac:dyDescent="0.25">
      <c r="A100" s="77">
        <f>CO_ATT_INPUTS!A102</f>
        <v>84</v>
      </c>
      <c r="B100" s="77">
        <f>CO_ATT_INPUTS!B102</f>
        <v>0</v>
      </c>
      <c r="C100" s="59">
        <f>CO_ATT_INPUTS!C102</f>
        <v>0</v>
      </c>
      <c r="D100" s="69">
        <f>CO_ATT_INPUTS!D102</f>
        <v>0</v>
      </c>
      <c r="E100" s="82"/>
      <c r="F100" s="82"/>
      <c r="G100" s="82"/>
      <c r="H100" s="82"/>
      <c r="I100" s="82"/>
    </row>
    <row r="101" spans="1:9" ht="34.5" hidden="1" customHeight="1" x14ac:dyDescent="0.25">
      <c r="A101" s="77">
        <f>CO_ATT_INPUTS!A103</f>
        <v>85</v>
      </c>
      <c r="B101" s="77">
        <f>CO_ATT_INPUTS!B103</f>
        <v>0</v>
      </c>
      <c r="C101" s="59">
        <f>CO_ATT_INPUTS!C103</f>
        <v>0</v>
      </c>
      <c r="D101" s="69">
        <f>CO_ATT_INPUTS!D103</f>
        <v>0</v>
      </c>
      <c r="E101" s="82"/>
      <c r="F101" s="82"/>
      <c r="G101" s="82"/>
      <c r="H101" s="82"/>
      <c r="I101" s="82"/>
    </row>
    <row r="102" spans="1:9" ht="34.5" hidden="1" customHeight="1" x14ac:dyDescent="0.25">
      <c r="A102" s="77">
        <f>CO_ATT_INPUTS!A104</f>
        <v>86</v>
      </c>
      <c r="B102" s="77">
        <f>CO_ATT_INPUTS!B104</f>
        <v>0</v>
      </c>
      <c r="C102" s="59">
        <f>CO_ATT_INPUTS!C104</f>
        <v>0</v>
      </c>
      <c r="D102" s="69">
        <f>CO_ATT_INPUTS!D104</f>
        <v>0</v>
      </c>
      <c r="E102" s="82"/>
      <c r="F102" s="82"/>
      <c r="G102" s="82"/>
      <c r="H102" s="82"/>
      <c r="I102" s="82"/>
    </row>
    <row r="103" spans="1:9" ht="34.5" hidden="1" customHeight="1" x14ac:dyDescent="0.25">
      <c r="A103" s="77">
        <f>CO_ATT_INPUTS!A105</f>
        <v>87</v>
      </c>
      <c r="B103" s="77">
        <f>CO_ATT_INPUTS!B105</f>
        <v>0</v>
      </c>
      <c r="C103" s="59">
        <f>CO_ATT_INPUTS!C105</f>
        <v>0</v>
      </c>
      <c r="D103" s="69">
        <f>CO_ATT_INPUTS!D105</f>
        <v>0</v>
      </c>
      <c r="E103" s="82"/>
      <c r="F103" s="82"/>
      <c r="G103" s="82"/>
      <c r="H103" s="82"/>
      <c r="I103" s="82"/>
    </row>
    <row r="104" spans="1:9" ht="34.5" hidden="1" customHeight="1" x14ac:dyDescent="0.25">
      <c r="A104" s="77">
        <f>CO_ATT_INPUTS!A106</f>
        <v>88</v>
      </c>
      <c r="B104" s="77">
        <f>CO_ATT_INPUTS!B106</f>
        <v>0</v>
      </c>
      <c r="C104" s="59">
        <f>CO_ATT_INPUTS!C106</f>
        <v>0</v>
      </c>
      <c r="D104" s="69">
        <f>CO_ATT_INPUTS!D106</f>
        <v>0</v>
      </c>
      <c r="E104" s="82"/>
      <c r="F104" s="82"/>
      <c r="G104" s="82"/>
      <c r="H104" s="82"/>
      <c r="I104" s="82"/>
    </row>
    <row r="105" spans="1:9" ht="34.5" hidden="1" customHeight="1" x14ac:dyDescent="0.25">
      <c r="A105" s="77">
        <f>CO_ATT_INPUTS!A107</f>
        <v>89</v>
      </c>
      <c r="B105" s="77">
        <f>CO_ATT_INPUTS!B107</f>
        <v>0</v>
      </c>
      <c r="C105" s="59">
        <f>CO_ATT_INPUTS!C107</f>
        <v>0</v>
      </c>
      <c r="D105" s="69">
        <f>CO_ATT_INPUTS!D107</f>
        <v>0</v>
      </c>
      <c r="E105" s="82"/>
      <c r="F105" s="82"/>
      <c r="G105" s="82"/>
      <c r="H105" s="82"/>
      <c r="I105" s="82"/>
    </row>
    <row r="106" spans="1:9" ht="34.5" hidden="1" customHeight="1" x14ac:dyDescent="0.25">
      <c r="A106" s="77">
        <f>CO_ATT_INPUTS!A108</f>
        <v>90</v>
      </c>
      <c r="B106" s="77">
        <f>CO_ATT_INPUTS!B108</f>
        <v>0</v>
      </c>
      <c r="C106" s="59">
        <f>CO_ATT_INPUTS!C108</f>
        <v>0</v>
      </c>
      <c r="D106" s="69">
        <f>CO_ATT_INPUTS!D108</f>
        <v>0</v>
      </c>
      <c r="E106" s="82"/>
      <c r="F106" s="82"/>
      <c r="G106" s="82"/>
      <c r="H106" s="82"/>
      <c r="I106" s="82"/>
    </row>
    <row r="107" spans="1:9" ht="34.5" hidden="1" customHeight="1" x14ac:dyDescent="0.25">
      <c r="A107" s="77">
        <f>CO_ATT_INPUTS!A109</f>
        <v>91</v>
      </c>
      <c r="B107" s="77">
        <f>CO_ATT_INPUTS!B109</f>
        <v>0</v>
      </c>
      <c r="C107" s="59">
        <f>CO_ATT_INPUTS!C109</f>
        <v>0</v>
      </c>
      <c r="D107" s="69">
        <f>CO_ATT_INPUTS!D109</f>
        <v>0</v>
      </c>
      <c r="E107" s="82"/>
      <c r="F107" s="82"/>
      <c r="G107" s="82"/>
      <c r="H107" s="82"/>
      <c r="I107" s="82"/>
    </row>
    <row r="108" spans="1:9" ht="34.5" hidden="1" customHeight="1" x14ac:dyDescent="0.25">
      <c r="A108" s="77">
        <f>CO_ATT_INPUTS!A110</f>
        <v>92</v>
      </c>
      <c r="B108" s="77">
        <f>CO_ATT_INPUTS!B110</f>
        <v>0</v>
      </c>
      <c r="C108" s="59">
        <f>CO_ATT_INPUTS!C110</f>
        <v>0</v>
      </c>
      <c r="D108" s="69">
        <f>CO_ATT_INPUTS!D110</f>
        <v>0</v>
      </c>
      <c r="E108" s="82"/>
      <c r="F108" s="82"/>
      <c r="G108" s="82"/>
      <c r="H108" s="82"/>
      <c r="I108" s="82"/>
    </row>
    <row r="109" spans="1:9" ht="34.5" hidden="1" customHeight="1" x14ac:dyDescent="0.25">
      <c r="A109" s="77">
        <f>CO_ATT_INPUTS!A111</f>
        <v>93</v>
      </c>
      <c r="B109" s="77">
        <f>CO_ATT_INPUTS!B111</f>
        <v>0</v>
      </c>
      <c r="C109" s="59">
        <f>CO_ATT_INPUTS!C111</f>
        <v>0</v>
      </c>
      <c r="D109" s="69">
        <f>CO_ATT_INPUTS!D111</f>
        <v>0</v>
      </c>
      <c r="E109" s="82"/>
      <c r="F109" s="82"/>
      <c r="G109" s="82"/>
      <c r="H109" s="82"/>
      <c r="I109" s="82"/>
    </row>
    <row r="110" spans="1:9" ht="34.5" hidden="1" customHeight="1" x14ac:dyDescent="0.25">
      <c r="A110" s="77">
        <f>CO_ATT_INPUTS!A112</f>
        <v>94</v>
      </c>
      <c r="B110" s="77">
        <f>CO_ATT_INPUTS!B112</f>
        <v>0</v>
      </c>
      <c r="C110" s="59">
        <f>CO_ATT_INPUTS!C112</f>
        <v>0</v>
      </c>
      <c r="D110" s="69">
        <f>CO_ATT_INPUTS!D112</f>
        <v>0</v>
      </c>
      <c r="E110" s="82"/>
      <c r="F110" s="82"/>
      <c r="G110" s="82"/>
      <c r="H110" s="82"/>
      <c r="I110" s="82"/>
    </row>
    <row r="111" spans="1:9" ht="34.5" hidden="1" customHeight="1" x14ac:dyDescent="0.25">
      <c r="A111" s="77">
        <f>CO_ATT_INPUTS!A113</f>
        <v>95</v>
      </c>
      <c r="B111" s="77">
        <f>CO_ATT_INPUTS!B113</f>
        <v>0</v>
      </c>
      <c r="C111" s="59">
        <f>CO_ATT_INPUTS!C113</f>
        <v>0</v>
      </c>
      <c r="D111" s="69">
        <f>CO_ATT_INPUTS!D113</f>
        <v>0</v>
      </c>
      <c r="E111" s="82"/>
      <c r="F111" s="82"/>
      <c r="G111" s="82"/>
      <c r="H111" s="82"/>
      <c r="I111" s="82"/>
    </row>
    <row r="112" spans="1:9" ht="34.5" hidden="1" customHeight="1" x14ac:dyDescent="0.25">
      <c r="A112" s="77">
        <f>CO_ATT_INPUTS!A114</f>
        <v>96</v>
      </c>
      <c r="B112" s="77">
        <f>CO_ATT_INPUTS!B114</f>
        <v>0</v>
      </c>
      <c r="C112" s="59">
        <f>CO_ATT_INPUTS!C114</f>
        <v>0</v>
      </c>
      <c r="D112" s="69">
        <f>CO_ATT_INPUTS!D114</f>
        <v>0</v>
      </c>
      <c r="E112" s="82"/>
      <c r="F112" s="82"/>
      <c r="G112" s="82"/>
      <c r="H112" s="82"/>
      <c r="I112" s="82"/>
    </row>
    <row r="113" spans="1:9" ht="34.5" hidden="1" customHeight="1" x14ac:dyDescent="0.25">
      <c r="A113" s="77">
        <f>CO_ATT_INPUTS!A115</f>
        <v>97</v>
      </c>
      <c r="B113" s="77">
        <f>CO_ATT_INPUTS!B115</f>
        <v>0</v>
      </c>
      <c r="C113" s="59">
        <f>CO_ATT_INPUTS!C115</f>
        <v>0</v>
      </c>
      <c r="D113" s="69">
        <f>CO_ATT_INPUTS!D115</f>
        <v>0</v>
      </c>
      <c r="E113" s="82"/>
      <c r="F113" s="82"/>
      <c r="G113" s="82"/>
      <c r="H113" s="82"/>
      <c r="I113" s="82"/>
    </row>
    <row r="114" spans="1:9" ht="34.5" hidden="1" customHeight="1" x14ac:dyDescent="0.25">
      <c r="A114" s="77">
        <f>CO_ATT_INPUTS!A116</f>
        <v>98</v>
      </c>
      <c r="B114" s="77">
        <f>CO_ATT_INPUTS!B116</f>
        <v>0</v>
      </c>
      <c r="C114" s="59">
        <f>CO_ATT_INPUTS!C116</f>
        <v>0</v>
      </c>
      <c r="D114" s="69">
        <f>CO_ATT_INPUTS!D116</f>
        <v>0</v>
      </c>
      <c r="E114" s="82"/>
      <c r="F114" s="82"/>
      <c r="G114" s="82"/>
      <c r="H114" s="82"/>
      <c r="I114" s="82"/>
    </row>
    <row r="115" spans="1:9" ht="34.5" hidden="1" customHeight="1" x14ac:dyDescent="0.25">
      <c r="A115" s="77">
        <f>CO_ATT_INPUTS!A117</f>
        <v>99</v>
      </c>
      <c r="B115" s="77">
        <f>CO_ATT_INPUTS!B117</f>
        <v>0</v>
      </c>
      <c r="C115" s="59">
        <f>CO_ATT_INPUTS!C117</f>
        <v>0</v>
      </c>
      <c r="D115" s="69">
        <f>CO_ATT_INPUTS!D117</f>
        <v>0</v>
      </c>
      <c r="E115" s="82"/>
      <c r="F115" s="82"/>
      <c r="G115" s="82"/>
      <c r="H115" s="82"/>
      <c r="I115" s="82"/>
    </row>
    <row r="116" spans="1:9" ht="34.5" hidden="1" customHeight="1" x14ac:dyDescent="0.25">
      <c r="A116" s="77">
        <f>CO_ATT_INPUTS!A118</f>
        <v>100</v>
      </c>
      <c r="B116" s="77">
        <f>CO_ATT_INPUTS!B118</f>
        <v>0</v>
      </c>
      <c r="C116" s="59">
        <f>CO_ATT_INPUTS!C118</f>
        <v>0</v>
      </c>
      <c r="D116" s="69">
        <f>CO_ATT_INPUTS!D118</f>
        <v>0</v>
      </c>
      <c r="E116" s="82"/>
      <c r="F116" s="82"/>
      <c r="G116" s="82"/>
      <c r="H116" s="82"/>
      <c r="I116" s="82"/>
    </row>
    <row r="117" spans="1:9" ht="34.5" hidden="1" customHeight="1" x14ac:dyDescent="0.25">
      <c r="A117" s="77">
        <f>CO_ATT_INPUTS!A119</f>
        <v>101</v>
      </c>
      <c r="B117" s="77">
        <f>CO_ATT_INPUTS!B119</f>
        <v>0</v>
      </c>
      <c r="C117" s="59">
        <f>CO_ATT_INPUTS!C119</f>
        <v>0</v>
      </c>
      <c r="D117" s="69">
        <f>CO_ATT_INPUTS!D119</f>
        <v>0</v>
      </c>
      <c r="E117" s="82"/>
      <c r="F117" s="82"/>
      <c r="G117" s="82"/>
      <c r="H117" s="82"/>
      <c r="I117" s="82"/>
    </row>
    <row r="118" spans="1:9" ht="34.5" hidden="1" customHeight="1" x14ac:dyDescent="0.25">
      <c r="A118" s="77">
        <f>CO_ATT_INPUTS!A120</f>
        <v>102</v>
      </c>
      <c r="B118" s="77">
        <f>CO_ATT_INPUTS!B120</f>
        <v>0</v>
      </c>
      <c r="C118" s="59">
        <f>CO_ATT_INPUTS!C120</f>
        <v>0</v>
      </c>
      <c r="D118" s="69">
        <f>CO_ATT_INPUTS!D120</f>
        <v>0</v>
      </c>
      <c r="E118" s="82"/>
      <c r="F118" s="82"/>
      <c r="G118" s="82"/>
      <c r="H118" s="82"/>
      <c r="I118" s="82"/>
    </row>
    <row r="119" spans="1:9" ht="34.5" hidden="1" customHeight="1" x14ac:dyDescent="0.25">
      <c r="A119" s="77">
        <f>CO_ATT_INPUTS!A121</f>
        <v>103</v>
      </c>
      <c r="B119" s="77">
        <f>CO_ATT_INPUTS!B121</f>
        <v>0</v>
      </c>
      <c r="C119" s="59">
        <f>CO_ATT_INPUTS!C121</f>
        <v>0</v>
      </c>
      <c r="D119" s="69">
        <f>CO_ATT_INPUTS!D121</f>
        <v>0</v>
      </c>
      <c r="E119" s="82"/>
      <c r="F119" s="82"/>
      <c r="G119" s="82"/>
      <c r="H119" s="82"/>
      <c r="I119" s="82"/>
    </row>
    <row r="120" spans="1:9" ht="34.5" hidden="1" customHeight="1" x14ac:dyDescent="0.25">
      <c r="A120" s="77">
        <f>CO_ATT_INPUTS!A122</f>
        <v>104</v>
      </c>
      <c r="B120" s="77">
        <f>CO_ATT_INPUTS!B122</f>
        <v>0</v>
      </c>
      <c r="C120" s="59">
        <f>CO_ATT_INPUTS!C122</f>
        <v>0</v>
      </c>
      <c r="D120" s="69">
        <f>CO_ATT_INPUTS!D122</f>
        <v>0</v>
      </c>
      <c r="E120" s="82"/>
      <c r="F120" s="82"/>
      <c r="G120" s="82"/>
      <c r="H120" s="82"/>
      <c r="I120" s="82"/>
    </row>
    <row r="121" spans="1:9" ht="34.5" hidden="1" customHeight="1" x14ac:dyDescent="0.25">
      <c r="A121" s="77">
        <f>CO_ATT_INPUTS!A123</f>
        <v>105</v>
      </c>
      <c r="B121" s="77">
        <f>CO_ATT_INPUTS!B123</f>
        <v>0</v>
      </c>
      <c r="C121" s="59">
        <f>CO_ATT_INPUTS!C123</f>
        <v>0</v>
      </c>
      <c r="D121" s="69">
        <f>CO_ATT_INPUTS!D123</f>
        <v>0</v>
      </c>
      <c r="E121" s="82"/>
      <c r="F121" s="82"/>
      <c r="G121" s="82"/>
      <c r="H121" s="82"/>
      <c r="I121" s="82"/>
    </row>
    <row r="122" spans="1:9" ht="34.5" hidden="1" customHeight="1" x14ac:dyDescent="0.25">
      <c r="A122" s="77">
        <f>CO_ATT_INPUTS!A124</f>
        <v>106</v>
      </c>
      <c r="B122" s="77">
        <f>CO_ATT_INPUTS!B124</f>
        <v>0</v>
      </c>
      <c r="C122" s="59">
        <f>CO_ATT_INPUTS!C124</f>
        <v>0</v>
      </c>
      <c r="D122" s="69">
        <f>CO_ATT_INPUTS!D124</f>
        <v>0</v>
      </c>
      <c r="E122" s="82"/>
      <c r="F122" s="82"/>
      <c r="G122" s="82"/>
      <c r="H122" s="82"/>
      <c r="I122" s="82"/>
    </row>
    <row r="123" spans="1:9" ht="34.5" hidden="1" customHeight="1" x14ac:dyDescent="0.25">
      <c r="A123" s="77">
        <f>CO_ATT_INPUTS!A125</f>
        <v>107</v>
      </c>
      <c r="B123" s="77">
        <f>CO_ATT_INPUTS!B125</f>
        <v>0</v>
      </c>
      <c r="C123" s="59">
        <f>CO_ATT_INPUTS!C125</f>
        <v>0</v>
      </c>
      <c r="D123" s="69">
        <f>CO_ATT_INPUTS!D125</f>
        <v>0</v>
      </c>
      <c r="E123" s="82"/>
      <c r="F123" s="82"/>
      <c r="G123" s="82"/>
      <c r="H123" s="82"/>
      <c r="I123" s="82"/>
    </row>
    <row r="124" spans="1:9" ht="34.5" hidden="1" customHeight="1" x14ac:dyDescent="0.25">
      <c r="A124" s="77">
        <f>CO_ATT_INPUTS!A126</f>
        <v>108</v>
      </c>
      <c r="B124" s="77">
        <f>CO_ATT_INPUTS!B126</f>
        <v>0</v>
      </c>
      <c r="C124" s="59">
        <f>CO_ATT_INPUTS!C126</f>
        <v>0</v>
      </c>
      <c r="D124" s="69">
        <f>CO_ATT_INPUTS!D126</f>
        <v>0</v>
      </c>
      <c r="E124" s="82"/>
      <c r="F124" s="82"/>
      <c r="G124" s="82"/>
      <c r="H124" s="82"/>
      <c r="I124" s="82"/>
    </row>
    <row r="125" spans="1:9" ht="34.5" hidden="1" customHeight="1" x14ac:dyDescent="0.25">
      <c r="A125" s="77">
        <f>CO_ATT_INPUTS!A127</f>
        <v>109</v>
      </c>
      <c r="B125" s="77">
        <f>CO_ATT_INPUTS!B127</f>
        <v>0</v>
      </c>
      <c r="C125" s="59">
        <f>CO_ATT_INPUTS!C127</f>
        <v>0</v>
      </c>
      <c r="D125" s="69">
        <f>CO_ATT_INPUTS!D127</f>
        <v>0</v>
      </c>
      <c r="E125" s="82"/>
      <c r="F125" s="82"/>
      <c r="G125" s="82"/>
      <c r="H125" s="82"/>
      <c r="I125" s="82"/>
    </row>
    <row r="126" spans="1:9" ht="34.5" hidden="1" customHeight="1" x14ac:dyDescent="0.25">
      <c r="A126" s="77">
        <f>CO_ATT_INPUTS!A128</f>
        <v>110</v>
      </c>
      <c r="B126" s="77">
        <f>CO_ATT_INPUTS!B128</f>
        <v>0</v>
      </c>
      <c r="C126" s="59">
        <f>CO_ATT_INPUTS!C128</f>
        <v>0</v>
      </c>
      <c r="D126" s="69">
        <f>CO_ATT_INPUTS!D128</f>
        <v>0</v>
      </c>
      <c r="E126" s="82"/>
      <c r="F126" s="82"/>
      <c r="G126" s="82"/>
      <c r="H126" s="82"/>
      <c r="I126" s="82"/>
    </row>
    <row r="127" spans="1:9" ht="34.5" hidden="1" customHeight="1" x14ac:dyDescent="0.25">
      <c r="A127" s="77">
        <f>CO_ATT_INPUTS!A129</f>
        <v>111</v>
      </c>
      <c r="B127" s="77">
        <f>CO_ATT_INPUTS!B129</f>
        <v>0</v>
      </c>
      <c r="C127" s="59">
        <f>CO_ATT_INPUTS!C129</f>
        <v>0</v>
      </c>
      <c r="D127" s="69">
        <f>CO_ATT_INPUTS!D129</f>
        <v>0</v>
      </c>
      <c r="E127" s="82"/>
      <c r="F127" s="82"/>
      <c r="G127" s="82"/>
      <c r="H127" s="82"/>
      <c r="I127" s="82"/>
    </row>
    <row r="128" spans="1:9" ht="34.5" hidden="1" customHeight="1" x14ac:dyDescent="0.25">
      <c r="A128" s="77">
        <f>CO_ATT_INPUTS!A130</f>
        <v>112</v>
      </c>
      <c r="B128" s="77">
        <f>CO_ATT_INPUTS!B130</f>
        <v>0</v>
      </c>
      <c r="C128" s="59">
        <f>CO_ATT_INPUTS!C130</f>
        <v>0</v>
      </c>
      <c r="D128" s="69">
        <f>CO_ATT_INPUTS!D130</f>
        <v>0</v>
      </c>
      <c r="E128" s="82"/>
      <c r="F128" s="82"/>
      <c r="G128" s="82"/>
      <c r="H128" s="82"/>
      <c r="I128" s="82"/>
    </row>
    <row r="129" spans="1:9" ht="34.5" hidden="1" customHeight="1" x14ac:dyDescent="0.25">
      <c r="A129" s="77">
        <f>CO_ATT_INPUTS!A131</f>
        <v>113</v>
      </c>
      <c r="B129" s="77">
        <f>CO_ATT_INPUTS!B131</f>
        <v>0</v>
      </c>
      <c r="C129" s="59">
        <f>CO_ATT_INPUTS!C131</f>
        <v>0</v>
      </c>
      <c r="D129" s="69">
        <f>CO_ATT_INPUTS!D131</f>
        <v>0</v>
      </c>
      <c r="E129" s="82"/>
      <c r="F129" s="82"/>
      <c r="G129" s="82"/>
      <c r="H129" s="82"/>
      <c r="I129" s="82"/>
    </row>
    <row r="130" spans="1:9" ht="34.5" hidden="1" customHeight="1" x14ac:dyDescent="0.25">
      <c r="A130" s="77">
        <f>CO_ATT_INPUTS!A132</f>
        <v>114</v>
      </c>
      <c r="B130" s="77">
        <f>CO_ATT_INPUTS!B132</f>
        <v>0</v>
      </c>
      <c r="C130" s="59">
        <f>CO_ATT_INPUTS!C132</f>
        <v>0</v>
      </c>
      <c r="D130" s="69">
        <f>CO_ATT_INPUTS!D132</f>
        <v>0</v>
      </c>
      <c r="E130" s="82"/>
      <c r="F130" s="82"/>
      <c r="G130" s="82"/>
      <c r="H130" s="82"/>
      <c r="I130" s="82"/>
    </row>
    <row r="131" spans="1:9" ht="34.5" hidden="1" customHeight="1" x14ac:dyDescent="0.25">
      <c r="A131" s="77">
        <f>CO_ATT_INPUTS!A133</f>
        <v>115</v>
      </c>
      <c r="B131" s="77">
        <f>CO_ATT_INPUTS!B133</f>
        <v>0</v>
      </c>
      <c r="C131" s="59">
        <f>CO_ATT_INPUTS!C133</f>
        <v>0</v>
      </c>
      <c r="D131" s="69">
        <f>CO_ATT_INPUTS!D133</f>
        <v>0</v>
      </c>
      <c r="E131" s="82"/>
      <c r="F131" s="82"/>
      <c r="G131" s="82"/>
      <c r="H131" s="82"/>
      <c r="I131" s="82"/>
    </row>
    <row r="132" spans="1:9" ht="34.5" hidden="1" customHeight="1" x14ac:dyDescent="0.25">
      <c r="A132" s="77">
        <f>CO_ATT_INPUTS!A134</f>
        <v>116</v>
      </c>
      <c r="B132" s="77">
        <f>CO_ATT_INPUTS!B134</f>
        <v>0</v>
      </c>
      <c r="C132" s="59">
        <f>CO_ATT_INPUTS!C134</f>
        <v>0</v>
      </c>
      <c r="D132" s="69">
        <f>CO_ATT_INPUTS!D134</f>
        <v>0</v>
      </c>
      <c r="E132" s="82"/>
      <c r="F132" s="82"/>
      <c r="G132" s="82"/>
      <c r="H132" s="82"/>
      <c r="I132" s="82"/>
    </row>
    <row r="133" spans="1:9" ht="34.5" hidden="1" customHeight="1" x14ac:dyDescent="0.25">
      <c r="A133" s="77">
        <f>CO_ATT_INPUTS!A135</f>
        <v>117</v>
      </c>
      <c r="B133" s="77">
        <f>CO_ATT_INPUTS!B135</f>
        <v>0</v>
      </c>
      <c r="C133" s="59">
        <f>CO_ATT_INPUTS!C135</f>
        <v>0</v>
      </c>
      <c r="D133" s="69">
        <f>CO_ATT_INPUTS!D135</f>
        <v>0</v>
      </c>
      <c r="E133" s="82"/>
      <c r="F133" s="82"/>
      <c r="G133" s="82"/>
      <c r="H133" s="82"/>
      <c r="I133" s="82"/>
    </row>
    <row r="134" spans="1:9" ht="34.5" hidden="1" customHeight="1" x14ac:dyDescent="0.25">
      <c r="A134" s="77">
        <f>CO_ATT_INPUTS!A136</f>
        <v>118</v>
      </c>
      <c r="B134" s="77">
        <f>CO_ATT_INPUTS!B136</f>
        <v>0</v>
      </c>
      <c r="C134" s="59">
        <f>CO_ATT_INPUTS!C136</f>
        <v>0</v>
      </c>
      <c r="D134" s="69">
        <f>CO_ATT_INPUTS!D136</f>
        <v>0</v>
      </c>
      <c r="E134" s="82"/>
      <c r="F134" s="82"/>
      <c r="G134" s="82"/>
      <c r="H134" s="82"/>
      <c r="I134" s="82"/>
    </row>
    <row r="135" spans="1:9" ht="34.5" hidden="1" customHeight="1" x14ac:dyDescent="0.25">
      <c r="A135" s="77">
        <f>CO_ATT_INPUTS!A137</f>
        <v>119</v>
      </c>
      <c r="B135" s="77">
        <f>CO_ATT_INPUTS!B137</f>
        <v>0</v>
      </c>
      <c r="C135" s="59">
        <f>CO_ATT_INPUTS!C137</f>
        <v>0</v>
      </c>
      <c r="D135" s="69">
        <f>CO_ATT_INPUTS!D137</f>
        <v>0</v>
      </c>
      <c r="E135" s="82"/>
      <c r="F135" s="82"/>
      <c r="G135" s="82"/>
      <c r="H135" s="82"/>
      <c r="I135" s="82"/>
    </row>
    <row r="136" spans="1:9" ht="34.5" hidden="1" customHeight="1" x14ac:dyDescent="0.25">
      <c r="A136" s="77">
        <f>CO_ATT_INPUTS!A138</f>
        <v>120</v>
      </c>
      <c r="B136" s="77">
        <f>CO_ATT_INPUTS!B138</f>
        <v>0</v>
      </c>
      <c r="C136" s="59">
        <f>CO_ATT_INPUTS!C138</f>
        <v>0</v>
      </c>
      <c r="D136" s="69">
        <f>CO_ATT_INPUTS!D138</f>
        <v>0</v>
      </c>
      <c r="E136" s="82"/>
      <c r="F136" s="82"/>
      <c r="G136" s="82"/>
      <c r="H136" s="82"/>
      <c r="I136" s="82"/>
    </row>
    <row r="137" spans="1:9" ht="34.5" hidden="1" customHeight="1" x14ac:dyDescent="0.25">
      <c r="A137" s="77">
        <f>CO_ATT_INPUTS!A139</f>
        <v>121</v>
      </c>
      <c r="B137" s="77">
        <f>CO_ATT_INPUTS!B139</f>
        <v>0</v>
      </c>
      <c r="C137" s="59">
        <f>CO_ATT_INPUTS!C139</f>
        <v>0</v>
      </c>
      <c r="D137" s="69">
        <f>CO_ATT_INPUTS!D139</f>
        <v>0</v>
      </c>
      <c r="E137" s="82"/>
      <c r="F137" s="82"/>
      <c r="G137" s="82"/>
      <c r="H137" s="82"/>
      <c r="I137" s="82"/>
    </row>
    <row r="138" spans="1:9" ht="34.5" hidden="1" customHeight="1" x14ac:dyDescent="0.25">
      <c r="A138" s="77">
        <f>CO_ATT_INPUTS!A140</f>
        <v>122</v>
      </c>
      <c r="B138" s="77">
        <f>CO_ATT_INPUTS!B140</f>
        <v>0</v>
      </c>
      <c r="C138" s="59">
        <f>CO_ATT_INPUTS!C140</f>
        <v>0</v>
      </c>
      <c r="D138" s="69">
        <f>CO_ATT_INPUTS!D140</f>
        <v>0</v>
      </c>
      <c r="E138" s="82"/>
      <c r="F138" s="82"/>
      <c r="G138" s="82"/>
      <c r="H138" s="82"/>
      <c r="I138" s="82"/>
    </row>
    <row r="139" spans="1:9" ht="34.5" hidden="1" customHeight="1" x14ac:dyDescent="0.25">
      <c r="A139" s="77">
        <f>CO_ATT_INPUTS!A141</f>
        <v>123</v>
      </c>
      <c r="B139" s="77">
        <f>CO_ATT_INPUTS!B141</f>
        <v>0</v>
      </c>
      <c r="C139" s="59">
        <f>CO_ATT_INPUTS!C141</f>
        <v>0</v>
      </c>
      <c r="D139" s="69">
        <f>CO_ATT_INPUTS!D141</f>
        <v>0</v>
      </c>
      <c r="E139" s="82"/>
      <c r="F139" s="82"/>
      <c r="G139" s="82"/>
      <c r="H139" s="82"/>
      <c r="I139" s="82"/>
    </row>
    <row r="140" spans="1:9" ht="34.5" hidden="1" customHeight="1" x14ac:dyDescent="0.25">
      <c r="A140" s="77">
        <f>CO_ATT_INPUTS!A142</f>
        <v>124</v>
      </c>
      <c r="B140" s="77">
        <f>CO_ATT_INPUTS!B142</f>
        <v>0</v>
      </c>
      <c r="C140" s="59">
        <f>CO_ATT_INPUTS!C142</f>
        <v>0</v>
      </c>
      <c r="D140" s="69">
        <f>CO_ATT_INPUTS!D142</f>
        <v>0</v>
      </c>
      <c r="E140" s="82"/>
      <c r="F140" s="82"/>
      <c r="G140" s="82"/>
      <c r="H140" s="82"/>
      <c r="I140" s="82"/>
    </row>
    <row r="141" spans="1:9" ht="34.5" hidden="1" customHeight="1" x14ac:dyDescent="0.25">
      <c r="A141" s="77">
        <f>CO_ATT_INPUTS!A143</f>
        <v>125</v>
      </c>
      <c r="B141" s="77">
        <f>CO_ATT_INPUTS!B143</f>
        <v>0</v>
      </c>
      <c r="C141" s="59">
        <f>CO_ATT_INPUTS!C143</f>
        <v>0</v>
      </c>
      <c r="D141" s="69">
        <f>CO_ATT_INPUTS!D143</f>
        <v>0</v>
      </c>
      <c r="E141" s="82"/>
      <c r="F141" s="82"/>
      <c r="G141" s="82"/>
      <c r="H141" s="82"/>
      <c r="I141" s="82"/>
    </row>
    <row r="142" spans="1:9" ht="34.5" hidden="1" customHeight="1" x14ac:dyDescent="0.25">
      <c r="A142" s="77">
        <f>CO_ATT_INPUTS!A144</f>
        <v>126</v>
      </c>
      <c r="B142" s="77">
        <f>CO_ATT_INPUTS!B144</f>
        <v>0</v>
      </c>
      <c r="C142" s="59">
        <f>CO_ATT_INPUTS!C144</f>
        <v>0</v>
      </c>
      <c r="D142" s="69">
        <f>CO_ATT_INPUTS!D144</f>
        <v>0</v>
      </c>
      <c r="E142" s="82"/>
      <c r="F142" s="82"/>
      <c r="G142" s="82"/>
      <c r="H142" s="82"/>
      <c r="I142" s="82"/>
    </row>
    <row r="143" spans="1:9" ht="34.5" hidden="1" customHeight="1" x14ac:dyDescent="0.25">
      <c r="A143" s="77">
        <f>CO_ATT_INPUTS!A145</f>
        <v>127</v>
      </c>
      <c r="B143" s="77">
        <f>CO_ATT_INPUTS!B145</f>
        <v>0</v>
      </c>
      <c r="C143" s="59">
        <f>CO_ATT_INPUTS!C145</f>
        <v>0</v>
      </c>
      <c r="D143" s="69">
        <f>CO_ATT_INPUTS!D145</f>
        <v>0</v>
      </c>
      <c r="E143" s="82"/>
      <c r="F143" s="82"/>
      <c r="G143" s="82"/>
      <c r="H143" s="82"/>
      <c r="I143" s="82"/>
    </row>
    <row r="144" spans="1:9" ht="34.5" hidden="1" customHeight="1" x14ac:dyDescent="0.25">
      <c r="A144" s="77">
        <f>CO_ATT_INPUTS!A146</f>
        <v>128</v>
      </c>
      <c r="B144" s="77">
        <f>CO_ATT_INPUTS!B146</f>
        <v>0</v>
      </c>
      <c r="C144" s="59">
        <f>CO_ATT_INPUTS!C146</f>
        <v>0</v>
      </c>
      <c r="D144" s="69">
        <f>CO_ATT_INPUTS!D146</f>
        <v>0</v>
      </c>
      <c r="E144" s="82"/>
      <c r="F144" s="82"/>
      <c r="G144" s="82"/>
      <c r="H144" s="82"/>
      <c r="I144" s="82"/>
    </row>
    <row r="145" spans="1:9" ht="34.5" hidden="1" customHeight="1" x14ac:dyDescent="0.25">
      <c r="A145" s="77">
        <f>CO_ATT_INPUTS!A147</f>
        <v>129</v>
      </c>
      <c r="B145" s="77">
        <f>CO_ATT_INPUTS!B147</f>
        <v>0</v>
      </c>
      <c r="C145" s="59">
        <f>CO_ATT_INPUTS!C147</f>
        <v>0</v>
      </c>
      <c r="D145" s="69">
        <f>CO_ATT_INPUTS!D147</f>
        <v>0</v>
      </c>
      <c r="E145" s="82"/>
      <c r="F145" s="82"/>
      <c r="G145" s="82"/>
      <c r="H145" s="82"/>
      <c r="I145" s="82"/>
    </row>
    <row r="146" spans="1:9" ht="34.5" hidden="1" customHeight="1" x14ac:dyDescent="0.25">
      <c r="A146" s="77">
        <f>CO_ATT_INPUTS!A148</f>
        <v>130</v>
      </c>
      <c r="B146" s="77">
        <f>CO_ATT_INPUTS!B148</f>
        <v>0</v>
      </c>
      <c r="C146" s="59">
        <f>CO_ATT_INPUTS!C148</f>
        <v>0</v>
      </c>
      <c r="D146" s="69">
        <f>CO_ATT_INPUTS!D148</f>
        <v>0</v>
      </c>
      <c r="E146" s="82"/>
      <c r="F146" s="82"/>
      <c r="G146" s="82"/>
      <c r="H146" s="82"/>
      <c r="I146" s="82"/>
    </row>
    <row r="147" spans="1:9" ht="34.5" hidden="1" customHeight="1" x14ac:dyDescent="0.25">
      <c r="A147" s="77">
        <f>CO_ATT_INPUTS!A149</f>
        <v>131</v>
      </c>
      <c r="B147" s="77">
        <f>CO_ATT_INPUTS!B149</f>
        <v>0</v>
      </c>
      <c r="C147" s="59">
        <f>CO_ATT_INPUTS!C149</f>
        <v>0</v>
      </c>
      <c r="D147" s="69">
        <f>CO_ATT_INPUTS!D149</f>
        <v>0</v>
      </c>
      <c r="E147" s="82"/>
      <c r="F147" s="82"/>
      <c r="G147" s="82"/>
      <c r="H147" s="82"/>
      <c r="I147" s="82"/>
    </row>
    <row r="148" spans="1:9" ht="34.5" hidden="1" customHeight="1" x14ac:dyDescent="0.25">
      <c r="A148" s="77">
        <f>CO_ATT_INPUTS!A150</f>
        <v>132</v>
      </c>
      <c r="B148" s="77">
        <f>CO_ATT_INPUTS!B150</f>
        <v>0</v>
      </c>
      <c r="C148" s="59">
        <f>CO_ATT_INPUTS!C150</f>
        <v>0</v>
      </c>
      <c r="D148" s="69">
        <f>CO_ATT_INPUTS!D150</f>
        <v>0</v>
      </c>
      <c r="E148" s="82"/>
      <c r="F148" s="82"/>
      <c r="G148" s="82"/>
      <c r="H148" s="82"/>
      <c r="I148" s="82"/>
    </row>
    <row r="149" spans="1:9" ht="34.5" hidden="1" customHeight="1" x14ac:dyDescent="0.25">
      <c r="A149" s="77">
        <f>CO_ATT_INPUTS!A151</f>
        <v>133</v>
      </c>
      <c r="B149" s="77">
        <f>CO_ATT_INPUTS!B151</f>
        <v>0</v>
      </c>
      <c r="C149" s="59">
        <f>CO_ATT_INPUTS!C151</f>
        <v>0</v>
      </c>
      <c r="D149" s="69">
        <f>CO_ATT_INPUTS!D151</f>
        <v>0</v>
      </c>
      <c r="E149" s="82"/>
      <c r="F149" s="82"/>
      <c r="G149" s="82"/>
      <c r="H149" s="82"/>
      <c r="I149" s="82"/>
    </row>
    <row r="150" spans="1:9" ht="34.5" hidden="1" customHeight="1" x14ac:dyDescent="0.25">
      <c r="A150" s="77">
        <f>CO_ATT_INPUTS!A152</f>
        <v>134</v>
      </c>
      <c r="B150" s="77">
        <f>CO_ATT_INPUTS!B152</f>
        <v>0</v>
      </c>
      <c r="C150" s="59">
        <f>CO_ATT_INPUTS!C152</f>
        <v>0</v>
      </c>
      <c r="D150" s="69">
        <f>CO_ATT_INPUTS!D152</f>
        <v>0</v>
      </c>
      <c r="E150" s="82"/>
      <c r="F150" s="82"/>
      <c r="G150" s="82"/>
      <c r="H150" s="82"/>
      <c r="I150" s="82"/>
    </row>
    <row r="151" spans="1:9" ht="34.5" hidden="1" customHeight="1" x14ac:dyDescent="0.25">
      <c r="A151" s="77">
        <f>CO_ATT_INPUTS!A153</f>
        <v>135</v>
      </c>
      <c r="B151" s="77">
        <f>CO_ATT_INPUTS!B153</f>
        <v>0</v>
      </c>
      <c r="C151" s="59">
        <f>CO_ATT_INPUTS!C153</f>
        <v>0</v>
      </c>
      <c r="D151" s="69">
        <f>CO_ATT_INPUTS!D153</f>
        <v>0</v>
      </c>
      <c r="E151" s="82"/>
      <c r="F151" s="82"/>
      <c r="G151" s="82"/>
      <c r="H151" s="82"/>
      <c r="I151" s="82"/>
    </row>
    <row r="152" spans="1:9" ht="34.5" hidden="1" customHeight="1" x14ac:dyDescent="0.25">
      <c r="A152" s="77">
        <f>CO_ATT_INPUTS!A154</f>
        <v>136</v>
      </c>
      <c r="B152" s="77">
        <f>CO_ATT_INPUTS!B154</f>
        <v>0</v>
      </c>
      <c r="C152" s="59">
        <f>CO_ATT_INPUTS!C154</f>
        <v>0</v>
      </c>
      <c r="D152" s="69">
        <f>CO_ATT_INPUTS!D154</f>
        <v>0</v>
      </c>
      <c r="E152" s="82"/>
      <c r="F152" s="82"/>
      <c r="G152" s="82"/>
      <c r="H152" s="82"/>
      <c r="I152" s="82"/>
    </row>
    <row r="153" spans="1:9" ht="34.5" hidden="1" customHeight="1" x14ac:dyDescent="0.25">
      <c r="A153" s="77">
        <f>CO_ATT_INPUTS!A155</f>
        <v>137</v>
      </c>
      <c r="B153" s="77">
        <f>CO_ATT_INPUTS!B155</f>
        <v>0</v>
      </c>
      <c r="C153" s="59">
        <f>CO_ATT_INPUTS!C155</f>
        <v>0</v>
      </c>
      <c r="D153" s="69">
        <f>CO_ATT_INPUTS!D155</f>
        <v>0</v>
      </c>
      <c r="E153" s="82"/>
      <c r="F153" s="82"/>
      <c r="G153" s="82"/>
      <c r="H153" s="82"/>
      <c r="I153" s="82"/>
    </row>
    <row r="154" spans="1:9" ht="34.5" hidden="1" customHeight="1" x14ac:dyDescent="0.25">
      <c r="A154" s="77">
        <f>CO_ATT_INPUTS!A156</f>
        <v>138</v>
      </c>
      <c r="B154" s="77">
        <f>CO_ATT_INPUTS!B156</f>
        <v>0</v>
      </c>
      <c r="C154" s="59">
        <f>CO_ATT_INPUTS!C156</f>
        <v>0</v>
      </c>
      <c r="D154" s="69">
        <f>CO_ATT_INPUTS!D156</f>
        <v>0</v>
      </c>
      <c r="E154" s="82"/>
      <c r="F154" s="82"/>
      <c r="G154" s="82"/>
      <c r="H154" s="82"/>
      <c r="I154" s="82"/>
    </row>
    <row r="155" spans="1:9" ht="34.5" hidden="1" customHeight="1" x14ac:dyDescent="0.25">
      <c r="A155" s="77">
        <f>CO_ATT_INPUTS!A157</f>
        <v>139</v>
      </c>
      <c r="B155" s="77">
        <f>CO_ATT_INPUTS!B157</f>
        <v>0</v>
      </c>
      <c r="C155" s="59">
        <f>CO_ATT_INPUTS!C157</f>
        <v>0</v>
      </c>
      <c r="D155" s="69">
        <f>CO_ATT_INPUTS!D157</f>
        <v>0</v>
      </c>
      <c r="E155" s="82"/>
      <c r="F155" s="82"/>
      <c r="G155" s="82"/>
      <c r="H155" s="82"/>
      <c r="I155" s="82"/>
    </row>
    <row r="156" spans="1:9" ht="34.5" hidden="1" customHeight="1" x14ac:dyDescent="0.25">
      <c r="A156" s="77">
        <f>CO_ATT_INPUTS!A158</f>
        <v>140</v>
      </c>
      <c r="B156" s="77">
        <f>CO_ATT_INPUTS!B158</f>
        <v>0</v>
      </c>
      <c r="C156" s="59">
        <f>CO_ATT_INPUTS!C158</f>
        <v>0</v>
      </c>
      <c r="D156" s="69">
        <f>CO_ATT_INPUTS!D158</f>
        <v>0</v>
      </c>
      <c r="E156" s="82"/>
      <c r="F156" s="82"/>
      <c r="G156" s="82"/>
      <c r="H156" s="82"/>
      <c r="I156" s="82"/>
    </row>
    <row r="157" spans="1:9" ht="34.5" hidden="1" customHeight="1" x14ac:dyDescent="0.25">
      <c r="A157" s="77">
        <f>CO_ATT_INPUTS!A159</f>
        <v>141</v>
      </c>
      <c r="B157" s="77">
        <f>CO_ATT_INPUTS!B159</f>
        <v>0</v>
      </c>
      <c r="C157" s="59">
        <f>CO_ATT_INPUTS!C159</f>
        <v>0</v>
      </c>
      <c r="D157" s="69">
        <f>CO_ATT_INPUTS!D159</f>
        <v>0</v>
      </c>
      <c r="E157" s="82"/>
      <c r="F157" s="82"/>
      <c r="G157" s="82"/>
      <c r="H157" s="82"/>
      <c r="I157" s="82"/>
    </row>
    <row r="158" spans="1:9" ht="34.5" hidden="1" customHeight="1" x14ac:dyDescent="0.25">
      <c r="A158" s="77">
        <f>CO_ATT_INPUTS!A160</f>
        <v>142</v>
      </c>
      <c r="B158" s="77">
        <f>CO_ATT_INPUTS!B160</f>
        <v>0</v>
      </c>
      <c r="C158" s="59">
        <f>CO_ATT_INPUTS!C160</f>
        <v>0</v>
      </c>
      <c r="D158" s="69">
        <f>CO_ATT_INPUTS!D160</f>
        <v>0</v>
      </c>
      <c r="E158" s="82"/>
      <c r="F158" s="82"/>
      <c r="G158" s="82"/>
      <c r="H158" s="82"/>
      <c r="I158" s="82"/>
    </row>
    <row r="159" spans="1:9" ht="34.5" hidden="1" customHeight="1" x14ac:dyDescent="0.25">
      <c r="A159" s="77">
        <f>CO_ATT_INPUTS!A161</f>
        <v>143</v>
      </c>
      <c r="B159" s="77">
        <f>CO_ATT_INPUTS!B161</f>
        <v>0</v>
      </c>
      <c r="C159" s="59">
        <f>CO_ATT_INPUTS!C161</f>
        <v>0</v>
      </c>
      <c r="D159" s="69">
        <f>CO_ATT_INPUTS!D161</f>
        <v>0</v>
      </c>
      <c r="E159" s="82"/>
      <c r="F159" s="82"/>
      <c r="G159" s="82"/>
      <c r="H159" s="82"/>
      <c r="I159" s="82"/>
    </row>
    <row r="160" spans="1:9" ht="34.5" hidden="1" customHeight="1" x14ac:dyDescent="0.25">
      <c r="A160" s="77">
        <f>CO_ATT_INPUTS!A162</f>
        <v>144</v>
      </c>
      <c r="B160" s="77">
        <f>CO_ATT_INPUTS!B162</f>
        <v>0</v>
      </c>
      <c r="C160" s="59">
        <f>CO_ATT_INPUTS!C162</f>
        <v>0</v>
      </c>
      <c r="D160" s="69">
        <f>CO_ATT_INPUTS!D162</f>
        <v>0</v>
      </c>
      <c r="E160" s="82"/>
      <c r="F160" s="82"/>
      <c r="G160" s="82"/>
      <c r="H160" s="82"/>
      <c r="I160" s="82"/>
    </row>
    <row r="161" spans="1:9" ht="34.5" hidden="1" customHeight="1" x14ac:dyDescent="0.25">
      <c r="A161" s="77">
        <f>CO_ATT_INPUTS!A163</f>
        <v>145</v>
      </c>
      <c r="B161" s="77">
        <f>CO_ATT_INPUTS!B163</f>
        <v>0</v>
      </c>
      <c r="C161" s="59">
        <f>CO_ATT_INPUTS!C163</f>
        <v>0</v>
      </c>
      <c r="D161" s="69">
        <f>CO_ATT_INPUTS!D163</f>
        <v>0</v>
      </c>
      <c r="E161" s="82"/>
      <c r="F161" s="82"/>
      <c r="G161" s="82"/>
      <c r="H161" s="82"/>
      <c r="I161" s="82"/>
    </row>
    <row r="162" spans="1:9" ht="34.5" hidden="1" customHeight="1" x14ac:dyDescent="0.25">
      <c r="A162" s="77">
        <f>CO_ATT_INPUTS!A164</f>
        <v>146</v>
      </c>
      <c r="B162" s="77">
        <f>CO_ATT_INPUTS!B164</f>
        <v>0</v>
      </c>
      <c r="C162" s="59">
        <f>CO_ATT_INPUTS!C164</f>
        <v>0</v>
      </c>
      <c r="D162" s="69">
        <f>CO_ATT_INPUTS!D164</f>
        <v>0</v>
      </c>
      <c r="E162" s="82"/>
      <c r="F162" s="82"/>
      <c r="G162" s="82"/>
      <c r="H162" s="82"/>
      <c r="I162" s="82"/>
    </row>
    <row r="163" spans="1:9" ht="34.5" hidden="1" customHeight="1" x14ac:dyDescent="0.25">
      <c r="A163" s="77">
        <f>CO_ATT_INPUTS!A165</f>
        <v>147</v>
      </c>
      <c r="B163" s="77">
        <f>CO_ATT_INPUTS!B165</f>
        <v>0</v>
      </c>
      <c r="C163" s="59">
        <f>CO_ATT_INPUTS!C165</f>
        <v>0</v>
      </c>
      <c r="D163" s="69">
        <f>CO_ATT_INPUTS!D165</f>
        <v>0</v>
      </c>
      <c r="E163" s="82"/>
      <c r="F163" s="82"/>
      <c r="G163" s="82"/>
      <c r="H163" s="82"/>
      <c r="I163" s="82"/>
    </row>
    <row r="164" spans="1:9" ht="34.5" hidden="1" customHeight="1" x14ac:dyDescent="0.25">
      <c r="A164" s="77">
        <f>CO_ATT_INPUTS!A166</f>
        <v>148</v>
      </c>
      <c r="B164" s="77">
        <f>CO_ATT_INPUTS!B166</f>
        <v>0</v>
      </c>
      <c r="C164" s="59">
        <f>CO_ATT_INPUTS!C166</f>
        <v>0</v>
      </c>
      <c r="D164" s="69">
        <f>CO_ATT_INPUTS!D166</f>
        <v>0</v>
      </c>
      <c r="E164" s="82"/>
      <c r="F164" s="82"/>
      <c r="G164" s="82"/>
      <c r="H164" s="82"/>
      <c r="I164" s="82"/>
    </row>
    <row r="165" spans="1:9" ht="34.5" hidden="1" customHeight="1" x14ac:dyDescent="0.25">
      <c r="A165" s="77">
        <f>CO_ATT_INPUTS!A167</f>
        <v>149</v>
      </c>
      <c r="B165" s="77">
        <f>CO_ATT_INPUTS!B167</f>
        <v>0</v>
      </c>
      <c r="C165" s="59">
        <f>CO_ATT_INPUTS!C167</f>
        <v>0</v>
      </c>
      <c r="D165" s="69">
        <f>CO_ATT_INPUTS!D167</f>
        <v>0</v>
      </c>
      <c r="E165" s="82"/>
      <c r="F165" s="82"/>
      <c r="G165" s="82"/>
      <c r="H165" s="82"/>
      <c r="I165" s="82"/>
    </row>
    <row r="166" spans="1:9" ht="34.5" hidden="1" customHeight="1" x14ac:dyDescent="0.25">
      <c r="A166" s="77">
        <f>CO_ATT_INPUTS!A168</f>
        <v>150</v>
      </c>
      <c r="B166" s="77">
        <f>CO_ATT_INPUTS!B168</f>
        <v>0</v>
      </c>
      <c r="C166" s="59">
        <f>CO_ATT_INPUTS!C168</f>
        <v>0</v>
      </c>
      <c r="D166" s="69">
        <f>CO_ATT_INPUTS!D168</f>
        <v>0</v>
      </c>
      <c r="E166" s="82"/>
      <c r="F166" s="82"/>
      <c r="G166" s="82"/>
      <c r="H166" s="82"/>
      <c r="I166" s="82"/>
    </row>
    <row r="167" spans="1:9" ht="34.5" hidden="1" customHeight="1" x14ac:dyDescent="0.25">
      <c r="A167" s="77">
        <f>CO_ATT_INPUTS!A169</f>
        <v>151</v>
      </c>
      <c r="B167" s="77">
        <f>CO_ATT_INPUTS!B169</f>
        <v>0</v>
      </c>
      <c r="C167" s="59">
        <f>CO_ATT_INPUTS!C169</f>
        <v>0</v>
      </c>
      <c r="D167" s="69">
        <f>CO_ATT_INPUTS!D169</f>
        <v>0</v>
      </c>
      <c r="E167" s="82"/>
      <c r="F167" s="82"/>
      <c r="G167" s="82"/>
      <c r="H167" s="82"/>
      <c r="I167" s="82"/>
    </row>
    <row r="168" spans="1:9" ht="34.5" hidden="1" customHeight="1" x14ac:dyDescent="0.25">
      <c r="A168" s="77">
        <f>CO_ATT_INPUTS!A170</f>
        <v>152</v>
      </c>
      <c r="B168" s="77">
        <f>CO_ATT_INPUTS!B170</f>
        <v>0</v>
      </c>
      <c r="C168" s="59">
        <f>CO_ATT_INPUTS!C170</f>
        <v>0</v>
      </c>
      <c r="D168" s="69">
        <f>CO_ATT_INPUTS!D170</f>
        <v>0</v>
      </c>
      <c r="E168" s="82"/>
      <c r="F168" s="82"/>
      <c r="G168" s="82"/>
      <c r="H168" s="82"/>
      <c r="I168" s="82"/>
    </row>
    <row r="169" spans="1:9" ht="34.5" hidden="1" customHeight="1" x14ac:dyDescent="0.25">
      <c r="A169" s="77">
        <f>CO_ATT_INPUTS!A171</f>
        <v>153</v>
      </c>
      <c r="B169" s="77">
        <f>CO_ATT_INPUTS!B171</f>
        <v>0</v>
      </c>
      <c r="C169" s="59">
        <f>CO_ATT_INPUTS!C171</f>
        <v>0</v>
      </c>
      <c r="D169" s="69">
        <f>CO_ATT_INPUTS!D171</f>
        <v>0</v>
      </c>
      <c r="E169" s="82"/>
      <c r="F169" s="82"/>
      <c r="G169" s="82"/>
      <c r="H169" s="82"/>
      <c r="I169" s="82"/>
    </row>
    <row r="170" spans="1:9" ht="34.5" hidden="1" customHeight="1" x14ac:dyDescent="0.25">
      <c r="A170" s="77">
        <f>CO_ATT_INPUTS!A172</f>
        <v>154</v>
      </c>
      <c r="B170" s="77">
        <f>CO_ATT_INPUTS!B172</f>
        <v>0</v>
      </c>
      <c r="C170" s="59">
        <f>CO_ATT_INPUTS!C172</f>
        <v>0</v>
      </c>
      <c r="D170" s="69">
        <f>CO_ATT_INPUTS!D172</f>
        <v>0</v>
      </c>
      <c r="E170" s="82"/>
      <c r="F170" s="82"/>
      <c r="G170" s="82"/>
      <c r="H170" s="82"/>
      <c r="I170" s="82"/>
    </row>
    <row r="171" spans="1:9" ht="34.5" hidden="1" customHeight="1" x14ac:dyDescent="0.25">
      <c r="A171" s="77">
        <f>CO_ATT_INPUTS!A173</f>
        <v>155</v>
      </c>
      <c r="B171" s="77">
        <f>CO_ATT_INPUTS!B173</f>
        <v>0</v>
      </c>
      <c r="C171" s="59">
        <f>CO_ATT_INPUTS!C173</f>
        <v>0</v>
      </c>
      <c r="D171" s="69">
        <f>CO_ATT_INPUTS!D173</f>
        <v>0</v>
      </c>
      <c r="E171" s="82"/>
      <c r="F171" s="82"/>
      <c r="G171" s="82"/>
      <c r="H171" s="82"/>
      <c r="I171" s="82"/>
    </row>
    <row r="172" spans="1:9" ht="34.5" hidden="1" customHeight="1" x14ac:dyDescent="0.25">
      <c r="A172" s="77">
        <f>CO_ATT_INPUTS!A174</f>
        <v>156</v>
      </c>
      <c r="B172" s="77">
        <f>CO_ATT_INPUTS!B174</f>
        <v>0</v>
      </c>
      <c r="C172" s="59">
        <f>CO_ATT_INPUTS!C174</f>
        <v>0</v>
      </c>
      <c r="D172" s="69">
        <f>CO_ATT_INPUTS!D174</f>
        <v>0</v>
      </c>
      <c r="E172" s="82"/>
      <c r="F172" s="82"/>
      <c r="G172" s="82"/>
      <c r="H172" s="82"/>
      <c r="I172" s="82"/>
    </row>
    <row r="173" spans="1:9" ht="34.5" hidden="1" customHeight="1" x14ac:dyDescent="0.25">
      <c r="A173" s="77">
        <f>CO_ATT_INPUTS!A175</f>
        <v>157</v>
      </c>
      <c r="B173" s="77">
        <f>CO_ATT_INPUTS!B175</f>
        <v>0</v>
      </c>
      <c r="C173" s="59">
        <f>CO_ATT_INPUTS!C175</f>
        <v>0</v>
      </c>
      <c r="D173" s="69">
        <f>CO_ATT_INPUTS!D175</f>
        <v>0</v>
      </c>
      <c r="E173" s="82"/>
      <c r="F173" s="82"/>
      <c r="G173" s="82"/>
      <c r="H173" s="82"/>
      <c r="I173" s="82"/>
    </row>
    <row r="174" spans="1:9" ht="34.5" hidden="1" customHeight="1" x14ac:dyDescent="0.25">
      <c r="A174" s="77">
        <f>CO_ATT_INPUTS!A176</f>
        <v>158</v>
      </c>
      <c r="B174" s="77">
        <f>CO_ATT_INPUTS!B176</f>
        <v>0</v>
      </c>
      <c r="C174" s="59">
        <f>CO_ATT_INPUTS!C176</f>
        <v>0</v>
      </c>
      <c r="D174" s="69">
        <f>CO_ATT_INPUTS!D176</f>
        <v>0</v>
      </c>
      <c r="E174" s="82"/>
      <c r="F174" s="82"/>
      <c r="G174" s="82"/>
      <c r="H174" s="82"/>
      <c r="I174" s="82"/>
    </row>
    <row r="175" spans="1:9" ht="34.5" hidden="1" customHeight="1" x14ac:dyDescent="0.25">
      <c r="A175" s="77">
        <f>CO_ATT_INPUTS!A177</f>
        <v>159</v>
      </c>
      <c r="B175" s="77">
        <f>CO_ATT_INPUTS!B177</f>
        <v>0</v>
      </c>
      <c r="C175" s="59">
        <f>CO_ATT_INPUTS!C177</f>
        <v>0</v>
      </c>
      <c r="D175" s="69">
        <f>CO_ATT_INPUTS!D177</f>
        <v>0</v>
      </c>
      <c r="E175" s="82"/>
      <c r="F175" s="82"/>
      <c r="G175" s="82"/>
      <c r="H175" s="82"/>
      <c r="I175" s="82"/>
    </row>
    <row r="176" spans="1:9" ht="34.5" hidden="1" customHeight="1" x14ac:dyDescent="0.25">
      <c r="A176" s="77">
        <f>CO_ATT_INPUTS!A178</f>
        <v>160</v>
      </c>
      <c r="B176" s="77">
        <f>CO_ATT_INPUTS!B178</f>
        <v>0</v>
      </c>
      <c r="C176" s="59">
        <f>CO_ATT_INPUTS!C178</f>
        <v>0</v>
      </c>
      <c r="D176" s="69">
        <f>CO_ATT_INPUTS!D178</f>
        <v>0</v>
      </c>
      <c r="E176" s="82"/>
      <c r="F176" s="82"/>
      <c r="G176" s="82"/>
      <c r="H176" s="82"/>
      <c r="I176" s="82"/>
    </row>
    <row r="177" spans="1:9" ht="34.5" hidden="1" customHeight="1" x14ac:dyDescent="0.25">
      <c r="A177" s="77">
        <f>CO_ATT_INPUTS!A179</f>
        <v>161</v>
      </c>
      <c r="B177" s="77">
        <f>CO_ATT_INPUTS!B179</f>
        <v>0</v>
      </c>
      <c r="C177" s="59">
        <f>CO_ATT_INPUTS!C179</f>
        <v>0</v>
      </c>
      <c r="D177" s="69">
        <f>CO_ATT_INPUTS!D179</f>
        <v>0</v>
      </c>
      <c r="E177" s="82"/>
      <c r="F177" s="82"/>
      <c r="G177" s="82"/>
      <c r="H177" s="82"/>
      <c r="I177" s="82"/>
    </row>
    <row r="178" spans="1:9" ht="34.5" hidden="1" customHeight="1" x14ac:dyDescent="0.25">
      <c r="A178" s="77">
        <f>CO_ATT_INPUTS!A180</f>
        <v>162</v>
      </c>
      <c r="B178" s="77">
        <f>CO_ATT_INPUTS!B180</f>
        <v>0</v>
      </c>
      <c r="C178" s="59">
        <f>CO_ATT_INPUTS!C180</f>
        <v>0</v>
      </c>
      <c r="D178" s="69">
        <f>CO_ATT_INPUTS!D180</f>
        <v>0</v>
      </c>
      <c r="E178" s="82"/>
      <c r="F178" s="82"/>
      <c r="G178" s="82"/>
      <c r="H178" s="82"/>
      <c r="I178" s="82"/>
    </row>
    <row r="179" spans="1:9" ht="34.5" hidden="1" customHeight="1" x14ac:dyDescent="0.25">
      <c r="A179" s="77">
        <f>CO_ATT_INPUTS!A181</f>
        <v>163</v>
      </c>
      <c r="B179" s="77">
        <f>CO_ATT_INPUTS!B181</f>
        <v>0</v>
      </c>
      <c r="C179" s="59">
        <f>CO_ATT_INPUTS!C181</f>
        <v>0</v>
      </c>
      <c r="D179" s="69">
        <f>CO_ATT_INPUTS!D181</f>
        <v>0</v>
      </c>
      <c r="E179" s="82"/>
      <c r="F179" s="82"/>
      <c r="G179" s="82"/>
      <c r="H179" s="82"/>
      <c r="I179" s="82"/>
    </row>
    <row r="180" spans="1:9" ht="34.5" hidden="1" customHeight="1" x14ac:dyDescent="0.25">
      <c r="A180" s="77">
        <f>CO_ATT_INPUTS!A182</f>
        <v>164</v>
      </c>
      <c r="B180" s="77">
        <f>CO_ATT_INPUTS!B182</f>
        <v>0</v>
      </c>
      <c r="C180" s="59">
        <f>CO_ATT_INPUTS!C182</f>
        <v>0</v>
      </c>
      <c r="D180" s="69">
        <f>CO_ATT_INPUTS!D182</f>
        <v>0</v>
      </c>
      <c r="E180" s="82"/>
      <c r="F180" s="82"/>
      <c r="G180" s="82"/>
      <c r="H180" s="82"/>
      <c r="I180" s="82"/>
    </row>
    <row r="181" spans="1:9" ht="34.5" hidden="1" customHeight="1" x14ac:dyDescent="0.25">
      <c r="A181" s="77">
        <f>CO_ATT_INPUTS!A183</f>
        <v>165</v>
      </c>
      <c r="B181" s="77">
        <f>CO_ATT_INPUTS!B183</f>
        <v>0</v>
      </c>
      <c r="C181" s="59">
        <f>CO_ATT_INPUTS!C183</f>
        <v>0</v>
      </c>
      <c r="D181" s="69">
        <f>CO_ATT_INPUTS!D183</f>
        <v>0</v>
      </c>
      <c r="E181" s="82"/>
      <c r="F181" s="82"/>
      <c r="G181" s="82"/>
      <c r="H181" s="82"/>
      <c r="I181" s="82"/>
    </row>
    <row r="182" spans="1:9" ht="34.5" hidden="1" customHeight="1" x14ac:dyDescent="0.25">
      <c r="A182" s="77">
        <f>CO_ATT_INPUTS!A184</f>
        <v>166</v>
      </c>
      <c r="B182" s="77">
        <f>CO_ATT_INPUTS!B184</f>
        <v>0</v>
      </c>
      <c r="C182" s="59">
        <f>CO_ATT_INPUTS!C184</f>
        <v>0</v>
      </c>
      <c r="D182" s="69">
        <f>CO_ATT_INPUTS!D184</f>
        <v>0</v>
      </c>
      <c r="E182" s="82"/>
      <c r="F182" s="82"/>
      <c r="G182" s="82"/>
      <c r="H182" s="82"/>
      <c r="I182" s="82"/>
    </row>
    <row r="183" spans="1:9" ht="34.5" hidden="1" customHeight="1" x14ac:dyDescent="0.25">
      <c r="A183" s="77">
        <f>CO_ATT_INPUTS!A185</f>
        <v>167</v>
      </c>
      <c r="B183" s="77">
        <f>CO_ATT_INPUTS!B185</f>
        <v>0</v>
      </c>
      <c r="C183" s="59">
        <f>CO_ATT_INPUTS!C185</f>
        <v>0</v>
      </c>
      <c r="D183" s="69">
        <f>CO_ATT_INPUTS!D185</f>
        <v>0</v>
      </c>
      <c r="E183" s="82"/>
      <c r="F183" s="82"/>
      <c r="G183" s="82"/>
      <c r="H183" s="82"/>
      <c r="I183" s="82"/>
    </row>
    <row r="184" spans="1:9" ht="34.5" hidden="1" customHeight="1" x14ac:dyDescent="0.25">
      <c r="A184" s="77">
        <f>CO_ATT_INPUTS!A186</f>
        <v>168</v>
      </c>
      <c r="B184" s="77">
        <f>CO_ATT_INPUTS!B186</f>
        <v>0</v>
      </c>
      <c r="C184" s="59">
        <f>CO_ATT_INPUTS!C186</f>
        <v>0</v>
      </c>
      <c r="D184" s="69">
        <f>CO_ATT_INPUTS!D186</f>
        <v>0</v>
      </c>
      <c r="E184" s="82"/>
      <c r="F184" s="82"/>
      <c r="G184" s="82"/>
      <c r="H184" s="82"/>
      <c r="I184" s="82"/>
    </row>
    <row r="185" spans="1:9" ht="34.5" hidden="1" customHeight="1" x14ac:dyDescent="0.25">
      <c r="A185" s="77">
        <f>CO_ATT_INPUTS!A187</f>
        <v>169</v>
      </c>
      <c r="B185" s="77">
        <f>CO_ATT_INPUTS!B187</f>
        <v>0</v>
      </c>
      <c r="C185" s="59">
        <f>CO_ATT_INPUTS!C187</f>
        <v>0</v>
      </c>
      <c r="D185" s="69">
        <f>CO_ATT_INPUTS!D187</f>
        <v>0</v>
      </c>
      <c r="E185" s="82"/>
      <c r="F185" s="82"/>
      <c r="G185" s="82"/>
      <c r="H185" s="82"/>
      <c r="I185" s="82"/>
    </row>
    <row r="186" spans="1:9" ht="34.5" hidden="1" customHeight="1" x14ac:dyDescent="0.25">
      <c r="A186" s="77">
        <f>CO_ATT_INPUTS!A188</f>
        <v>170</v>
      </c>
      <c r="B186" s="77">
        <f>CO_ATT_INPUTS!B188</f>
        <v>0</v>
      </c>
      <c r="C186" s="59">
        <f>CO_ATT_INPUTS!C188</f>
        <v>0</v>
      </c>
      <c r="D186" s="69">
        <f>CO_ATT_INPUTS!D188</f>
        <v>0</v>
      </c>
      <c r="E186" s="82"/>
      <c r="F186" s="82"/>
      <c r="G186" s="82"/>
      <c r="H186" s="82"/>
      <c r="I186" s="82"/>
    </row>
    <row r="187" spans="1:9" ht="34.5" hidden="1" customHeight="1" x14ac:dyDescent="0.25">
      <c r="A187" s="77">
        <f>CO_ATT_INPUTS!A189</f>
        <v>171</v>
      </c>
      <c r="B187" s="77">
        <f>CO_ATT_INPUTS!B189</f>
        <v>0</v>
      </c>
      <c r="C187" s="59">
        <f>CO_ATT_INPUTS!C189</f>
        <v>0</v>
      </c>
      <c r="D187" s="69">
        <f>CO_ATT_INPUTS!D189</f>
        <v>0</v>
      </c>
      <c r="E187" s="82"/>
      <c r="F187" s="82"/>
      <c r="G187" s="82"/>
      <c r="H187" s="82"/>
      <c r="I187" s="82"/>
    </row>
    <row r="188" spans="1:9" ht="34.5" hidden="1" customHeight="1" x14ac:dyDescent="0.25">
      <c r="A188" s="77">
        <f>CO_ATT_INPUTS!A190</f>
        <v>172</v>
      </c>
      <c r="B188" s="77">
        <f>CO_ATT_INPUTS!B190</f>
        <v>0</v>
      </c>
      <c r="C188" s="59">
        <f>CO_ATT_INPUTS!C190</f>
        <v>0</v>
      </c>
      <c r="D188" s="69">
        <f>CO_ATT_INPUTS!D190</f>
        <v>0</v>
      </c>
      <c r="E188" s="82"/>
      <c r="F188" s="82"/>
      <c r="G188" s="82"/>
      <c r="H188" s="82"/>
      <c r="I188" s="82"/>
    </row>
    <row r="189" spans="1:9" ht="34.5" hidden="1" customHeight="1" x14ac:dyDescent="0.25">
      <c r="A189" s="77">
        <f>CO_ATT_INPUTS!A191</f>
        <v>173</v>
      </c>
      <c r="B189" s="77">
        <f>CO_ATT_INPUTS!B191</f>
        <v>0</v>
      </c>
      <c r="C189" s="59">
        <f>CO_ATT_INPUTS!C191</f>
        <v>0</v>
      </c>
      <c r="D189" s="69">
        <f>CO_ATT_INPUTS!D191</f>
        <v>0</v>
      </c>
      <c r="E189" s="82"/>
      <c r="F189" s="82"/>
      <c r="G189" s="82"/>
      <c r="H189" s="82"/>
      <c r="I189" s="82"/>
    </row>
    <row r="190" spans="1:9" ht="34.5" hidden="1" customHeight="1" x14ac:dyDescent="0.25">
      <c r="A190" s="77">
        <f>CO_ATT_INPUTS!A192</f>
        <v>174</v>
      </c>
      <c r="B190" s="77">
        <f>CO_ATT_INPUTS!B192</f>
        <v>0</v>
      </c>
      <c r="C190" s="59">
        <f>CO_ATT_INPUTS!C192</f>
        <v>0</v>
      </c>
      <c r="D190" s="69">
        <f>CO_ATT_INPUTS!D192</f>
        <v>0</v>
      </c>
      <c r="E190" s="82"/>
      <c r="F190" s="82"/>
      <c r="G190" s="82"/>
      <c r="H190" s="82"/>
      <c r="I190" s="82"/>
    </row>
    <row r="191" spans="1:9" ht="34.5" hidden="1" customHeight="1" x14ac:dyDescent="0.25">
      <c r="A191" s="77">
        <f>CO_ATT_INPUTS!A193</f>
        <v>175</v>
      </c>
      <c r="B191" s="77">
        <f>CO_ATT_INPUTS!B193</f>
        <v>0</v>
      </c>
      <c r="C191" s="59">
        <f>CO_ATT_INPUTS!C193</f>
        <v>0</v>
      </c>
      <c r="D191" s="69">
        <f>CO_ATT_INPUTS!D193</f>
        <v>0</v>
      </c>
      <c r="E191" s="82"/>
      <c r="F191" s="82"/>
      <c r="G191" s="82"/>
      <c r="H191" s="82"/>
      <c r="I191" s="82"/>
    </row>
    <row r="192" spans="1:9" ht="34.5" hidden="1" customHeight="1" x14ac:dyDescent="0.25">
      <c r="A192" s="77">
        <f>CO_ATT_INPUTS!A194</f>
        <v>176</v>
      </c>
      <c r="B192" s="77">
        <f>CO_ATT_INPUTS!B194</f>
        <v>0</v>
      </c>
      <c r="C192" s="59">
        <f>CO_ATT_INPUTS!C194</f>
        <v>0</v>
      </c>
      <c r="D192" s="69">
        <f>CO_ATT_INPUTS!D194</f>
        <v>0</v>
      </c>
      <c r="E192" s="82"/>
      <c r="F192" s="82"/>
      <c r="G192" s="82"/>
      <c r="H192" s="82"/>
      <c r="I192" s="82"/>
    </row>
    <row r="193" spans="1:9" ht="34.5" hidden="1" customHeight="1" x14ac:dyDescent="0.25">
      <c r="A193" s="77">
        <f>CO_ATT_INPUTS!A195</f>
        <v>177</v>
      </c>
      <c r="B193" s="77">
        <f>CO_ATT_INPUTS!B195</f>
        <v>0</v>
      </c>
      <c r="C193" s="59">
        <f>CO_ATT_INPUTS!C195</f>
        <v>0</v>
      </c>
      <c r="D193" s="69">
        <f>CO_ATT_INPUTS!D195</f>
        <v>0</v>
      </c>
      <c r="E193" s="82"/>
      <c r="F193" s="82"/>
      <c r="G193" s="82"/>
      <c r="H193" s="82"/>
      <c r="I193" s="82"/>
    </row>
    <row r="194" spans="1:9" ht="34.5" hidden="1" customHeight="1" x14ac:dyDescent="0.25">
      <c r="A194" s="77">
        <f>CO_ATT_INPUTS!A196</f>
        <v>178</v>
      </c>
      <c r="B194" s="77">
        <f>CO_ATT_INPUTS!B196</f>
        <v>0</v>
      </c>
      <c r="C194" s="59">
        <f>CO_ATT_INPUTS!C196</f>
        <v>0</v>
      </c>
      <c r="D194" s="69">
        <f>CO_ATT_INPUTS!D196</f>
        <v>0</v>
      </c>
      <c r="E194" s="82"/>
      <c r="F194" s="82"/>
      <c r="G194" s="82"/>
      <c r="H194" s="82"/>
      <c r="I194" s="82"/>
    </row>
    <row r="195" spans="1:9" ht="34.5" hidden="1" customHeight="1" x14ac:dyDescent="0.25">
      <c r="A195" s="77">
        <f>CO_ATT_INPUTS!A197</f>
        <v>179</v>
      </c>
      <c r="B195" s="77">
        <f>CO_ATT_INPUTS!B197</f>
        <v>0</v>
      </c>
      <c r="C195" s="59">
        <f>CO_ATT_INPUTS!C197</f>
        <v>0</v>
      </c>
      <c r="D195" s="69">
        <f>CO_ATT_INPUTS!D197</f>
        <v>0</v>
      </c>
      <c r="E195" s="82"/>
      <c r="F195" s="82"/>
      <c r="G195" s="82"/>
      <c r="H195" s="82"/>
      <c r="I195" s="82"/>
    </row>
    <row r="196" spans="1:9" ht="34.5" hidden="1" customHeight="1" x14ac:dyDescent="0.25">
      <c r="A196" s="77">
        <f>CO_ATT_INPUTS!A198</f>
        <v>180</v>
      </c>
      <c r="B196" s="77">
        <f>CO_ATT_INPUTS!B198</f>
        <v>0</v>
      </c>
      <c r="C196" s="59">
        <f>CO_ATT_INPUTS!C198</f>
        <v>0</v>
      </c>
      <c r="D196" s="69">
        <f>CO_ATT_INPUTS!D198</f>
        <v>0</v>
      </c>
      <c r="E196" s="82"/>
      <c r="F196" s="82"/>
      <c r="G196" s="82"/>
      <c r="H196" s="82"/>
      <c r="I196" s="82"/>
    </row>
    <row r="197" spans="1:9" ht="34.5" hidden="1" customHeight="1" x14ac:dyDescent="0.25">
      <c r="A197" s="77">
        <f>CO_ATT_INPUTS!A199</f>
        <v>181</v>
      </c>
      <c r="B197" s="77">
        <f>CO_ATT_INPUTS!B199</f>
        <v>0</v>
      </c>
      <c r="C197" s="59">
        <f>CO_ATT_INPUTS!C199</f>
        <v>0</v>
      </c>
      <c r="D197" s="69">
        <f>CO_ATT_INPUTS!D199</f>
        <v>0</v>
      </c>
      <c r="E197" s="82"/>
      <c r="F197" s="82"/>
      <c r="G197" s="82"/>
      <c r="H197" s="82"/>
      <c r="I197" s="82"/>
    </row>
    <row r="198" spans="1:9" ht="34.5" hidden="1" customHeight="1" x14ac:dyDescent="0.25">
      <c r="A198" s="77">
        <f>CO_ATT_INPUTS!A200</f>
        <v>182</v>
      </c>
      <c r="B198" s="77">
        <f>CO_ATT_INPUTS!B200</f>
        <v>0</v>
      </c>
      <c r="C198" s="59">
        <f>CO_ATT_INPUTS!C200</f>
        <v>0</v>
      </c>
      <c r="D198" s="69">
        <f>CO_ATT_INPUTS!D200</f>
        <v>0</v>
      </c>
      <c r="E198" s="82"/>
      <c r="F198" s="82"/>
      <c r="G198" s="82"/>
      <c r="H198" s="82"/>
      <c r="I198" s="82"/>
    </row>
    <row r="199" spans="1:9" ht="34.5" hidden="1" customHeight="1" x14ac:dyDescent="0.25">
      <c r="A199" s="77">
        <f>CO_ATT_INPUTS!A201</f>
        <v>183</v>
      </c>
      <c r="B199" s="77">
        <f>CO_ATT_INPUTS!B201</f>
        <v>0</v>
      </c>
      <c r="C199" s="59">
        <f>CO_ATT_INPUTS!C201</f>
        <v>0</v>
      </c>
      <c r="D199" s="69">
        <f>CO_ATT_INPUTS!D201</f>
        <v>0</v>
      </c>
      <c r="E199" s="82"/>
      <c r="F199" s="82"/>
      <c r="G199" s="82"/>
      <c r="H199" s="82"/>
      <c r="I199" s="82"/>
    </row>
    <row r="200" spans="1:9" ht="34.5" hidden="1" customHeight="1" x14ac:dyDescent="0.25">
      <c r="A200" s="77">
        <f>CO_ATT_INPUTS!A202</f>
        <v>184</v>
      </c>
      <c r="B200" s="77">
        <f>CO_ATT_INPUTS!B202</f>
        <v>0</v>
      </c>
      <c r="C200" s="59">
        <f>CO_ATT_INPUTS!C202</f>
        <v>0</v>
      </c>
      <c r="D200" s="69">
        <f>CO_ATT_INPUTS!D202</f>
        <v>0</v>
      </c>
      <c r="E200" s="82"/>
      <c r="F200" s="82"/>
      <c r="G200" s="82"/>
      <c r="H200" s="82"/>
      <c r="I200" s="82"/>
    </row>
    <row r="201" spans="1:9" ht="34.5" hidden="1" customHeight="1" x14ac:dyDescent="0.25">
      <c r="A201" s="77">
        <f>CO_ATT_INPUTS!A203</f>
        <v>185</v>
      </c>
      <c r="B201" s="77">
        <f>CO_ATT_INPUTS!B203</f>
        <v>0</v>
      </c>
      <c r="C201" s="59">
        <f>CO_ATT_INPUTS!C203</f>
        <v>0</v>
      </c>
      <c r="D201" s="69">
        <f>CO_ATT_INPUTS!D203</f>
        <v>0</v>
      </c>
      <c r="E201" s="82"/>
      <c r="F201" s="82"/>
      <c r="G201" s="82"/>
      <c r="H201" s="82"/>
      <c r="I201" s="82"/>
    </row>
    <row r="202" spans="1:9" ht="34.5" hidden="1" customHeight="1" x14ac:dyDescent="0.25">
      <c r="A202" s="77">
        <f>CO_ATT_INPUTS!A204</f>
        <v>186</v>
      </c>
      <c r="B202" s="77">
        <f>CO_ATT_INPUTS!B204</f>
        <v>0</v>
      </c>
      <c r="C202" s="59">
        <f>CO_ATT_INPUTS!C204</f>
        <v>0</v>
      </c>
      <c r="D202" s="69">
        <f>CO_ATT_INPUTS!D204</f>
        <v>0</v>
      </c>
      <c r="E202" s="82"/>
      <c r="F202" s="82"/>
      <c r="G202" s="82"/>
      <c r="H202" s="82"/>
      <c r="I202" s="82"/>
    </row>
    <row r="203" spans="1:9" ht="34.5" hidden="1" customHeight="1" x14ac:dyDescent="0.25">
      <c r="A203" s="77">
        <f>CO_ATT_INPUTS!A205</f>
        <v>187</v>
      </c>
      <c r="B203" s="77">
        <f>CO_ATT_INPUTS!B205</f>
        <v>0</v>
      </c>
      <c r="C203" s="59">
        <f>CO_ATT_INPUTS!C205</f>
        <v>0</v>
      </c>
      <c r="D203" s="69">
        <f>CO_ATT_INPUTS!D205</f>
        <v>0</v>
      </c>
      <c r="E203" s="82"/>
      <c r="F203" s="82"/>
      <c r="G203" s="82"/>
      <c r="H203" s="82"/>
      <c r="I203" s="82"/>
    </row>
    <row r="204" spans="1:9" ht="34.5" hidden="1" customHeight="1" x14ac:dyDescent="0.25">
      <c r="A204" s="77">
        <f>CO_ATT_INPUTS!A206</f>
        <v>188</v>
      </c>
      <c r="B204" s="77">
        <f>CO_ATT_INPUTS!B206</f>
        <v>0</v>
      </c>
      <c r="C204" s="59">
        <f>CO_ATT_INPUTS!C206</f>
        <v>0</v>
      </c>
      <c r="D204" s="69">
        <f>CO_ATT_INPUTS!D206</f>
        <v>0</v>
      </c>
      <c r="E204" s="82"/>
      <c r="F204" s="82"/>
      <c r="G204" s="82"/>
      <c r="H204" s="82"/>
      <c r="I204" s="82"/>
    </row>
    <row r="205" spans="1:9" ht="34.5" hidden="1" customHeight="1" x14ac:dyDescent="0.25">
      <c r="A205" s="77">
        <f>CO_ATT_INPUTS!A207</f>
        <v>189</v>
      </c>
      <c r="B205" s="77">
        <f>CO_ATT_INPUTS!B207</f>
        <v>0</v>
      </c>
      <c r="C205" s="59">
        <f>CO_ATT_INPUTS!C207</f>
        <v>0</v>
      </c>
      <c r="D205" s="69">
        <f>CO_ATT_INPUTS!D207</f>
        <v>0</v>
      </c>
      <c r="E205" s="82"/>
      <c r="F205" s="82"/>
      <c r="G205" s="82"/>
      <c r="H205" s="82"/>
      <c r="I205" s="82"/>
    </row>
    <row r="206" spans="1:9" ht="34.5" hidden="1" customHeight="1" x14ac:dyDescent="0.25">
      <c r="A206" s="77">
        <f>CO_ATT_INPUTS!A208</f>
        <v>190</v>
      </c>
      <c r="B206" s="77">
        <f>CO_ATT_INPUTS!B208</f>
        <v>0</v>
      </c>
      <c r="C206" s="59">
        <f>CO_ATT_INPUTS!C208</f>
        <v>0</v>
      </c>
      <c r="D206" s="69">
        <f>CO_ATT_INPUTS!D208</f>
        <v>0</v>
      </c>
      <c r="E206" s="82"/>
      <c r="F206" s="82"/>
      <c r="G206" s="82"/>
      <c r="H206" s="82"/>
      <c r="I206" s="82"/>
    </row>
    <row r="207" spans="1:9" ht="34.5" hidden="1" customHeight="1" x14ac:dyDescent="0.25">
      <c r="A207" s="77">
        <f>CO_ATT_INPUTS!A209</f>
        <v>191</v>
      </c>
      <c r="B207" s="77">
        <f>CO_ATT_INPUTS!B209</f>
        <v>0</v>
      </c>
      <c r="C207" s="59">
        <f>CO_ATT_INPUTS!C209</f>
        <v>0</v>
      </c>
      <c r="D207" s="69">
        <f>CO_ATT_INPUTS!D209</f>
        <v>0</v>
      </c>
      <c r="E207" s="82"/>
      <c r="F207" s="82"/>
      <c r="G207" s="82"/>
      <c r="H207" s="82"/>
      <c r="I207" s="82"/>
    </row>
    <row r="208" spans="1:9" ht="34.5" hidden="1" customHeight="1" x14ac:dyDescent="0.25">
      <c r="A208" s="77">
        <f>CO_ATT_INPUTS!A210</f>
        <v>192</v>
      </c>
      <c r="B208" s="77">
        <f>CO_ATT_INPUTS!B210</f>
        <v>0</v>
      </c>
      <c r="C208" s="59">
        <f>CO_ATT_INPUTS!C210</f>
        <v>0</v>
      </c>
      <c r="D208" s="69">
        <f>CO_ATT_INPUTS!D210</f>
        <v>0</v>
      </c>
      <c r="E208" s="82"/>
      <c r="F208" s="82"/>
      <c r="G208" s="82"/>
      <c r="H208" s="82"/>
      <c r="I208" s="82"/>
    </row>
    <row r="209" spans="1:9" ht="34.5" hidden="1" customHeight="1" x14ac:dyDescent="0.25">
      <c r="A209" s="77">
        <f>CO_ATT_INPUTS!A211</f>
        <v>193</v>
      </c>
      <c r="B209" s="77">
        <f>CO_ATT_INPUTS!B211</f>
        <v>0</v>
      </c>
      <c r="C209" s="59">
        <f>CO_ATT_INPUTS!C211</f>
        <v>0</v>
      </c>
      <c r="D209" s="69">
        <f>CO_ATT_INPUTS!D211</f>
        <v>0</v>
      </c>
      <c r="E209" s="82"/>
      <c r="F209" s="82"/>
      <c r="G209" s="82"/>
      <c r="H209" s="82"/>
      <c r="I209" s="82"/>
    </row>
    <row r="210" spans="1:9" ht="34.5" hidden="1" customHeight="1" x14ac:dyDescent="0.25">
      <c r="A210" s="77">
        <f>CO_ATT_INPUTS!A212</f>
        <v>194</v>
      </c>
      <c r="B210" s="77">
        <f>CO_ATT_INPUTS!B212</f>
        <v>0</v>
      </c>
      <c r="C210" s="59">
        <f>CO_ATT_INPUTS!C212</f>
        <v>0</v>
      </c>
      <c r="D210" s="69">
        <f>CO_ATT_INPUTS!D212</f>
        <v>0</v>
      </c>
      <c r="E210" s="82"/>
      <c r="F210" s="82"/>
      <c r="G210" s="82"/>
      <c r="H210" s="82"/>
      <c r="I210" s="82"/>
    </row>
    <row r="211" spans="1:9" ht="34.5" hidden="1" customHeight="1" x14ac:dyDescent="0.25">
      <c r="A211" s="77">
        <f>CO_ATT_INPUTS!A213</f>
        <v>195</v>
      </c>
      <c r="B211" s="77">
        <f>CO_ATT_INPUTS!B213</f>
        <v>0</v>
      </c>
      <c r="C211" s="59">
        <f>CO_ATT_INPUTS!C213</f>
        <v>0</v>
      </c>
      <c r="D211" s="69">
        <f>CO_ATT_INPUTS!D213</f>
        <v>0</v>
      </c>
      <c r="E211" s="82"/>
      <c r="F211" s="82"/>
      <c r="G211" s="82"/>
      <c r="H211" s="82"/>
      <c r="I211" s="82"/>
    </row>
    <row r="212" spans="1:9" ht="34.5" hidden="1" customHeight="1" x14ac:dyDescent="0.25">
      <c r="A212" s="77">
        <f>CO_ATT_INPUTS!A214</f>
        <v>196</v>
      </c>
      <c r="B212" s="77">
        <f>CO_ATT_INPUTS!B214</f>
        <v>0</v>
      </c>
      <c r="C212" s="59">
        <f>CO_ATT_INPUTS!C214</f>
        <v>0</v>
      </c>
      <c r="D212" s="69">
        <f>CO_ATT_INPUTS!D214</f>
        <v>0</v>
      </c>
      <c r="E212" s="82"/>
      <c r="F212" s="82"/>
      <c r="G212" s="82"/>
      <c r="H212" s="82"/>
      <c r="I212" s="82"/>
    </row>
    <row r="213" spans="1:9" ht="34.5" hidden="1" customHeight="1" x14ac:dyDescent="0.25">
      <c r="A213" s="77">
        <f>CO_ATT_INPUTS!A215</f>
        <v>197</v>
      </c>
      <c r="B213" s="77">
        <f>CO_ATT_INPUTS!B215</f>
        <v>0</v>
      </c>
      <c r="C213" s="59">
        <f>CO_ATT_INPUTS!C215</f>
        <v>0</v>
      </c>
      <c r="D213" s="69">
        <f>CO_ATT_INPUTS!D215</f>
        <v>0</v>
      </c>
      <c r="E213" s="82"/>
      <c r="F213" s="82"/>
      <c r="G213" s="82"/>
      <c r="H213" s="82"/>
      <c r="I213" s="82"/>
    </row>
    <row r="214" spans="1:9" ht="34.5" hidden="1" customHeight="1" x14ac:dyDescent="0.25">
      <c r="A214" s="77">
        <f>CO_ATT_INPUTS!A216</f>
        <v>198</v>
      </c>
      <c r="B214" s="77">
        <f>CO_ATT_INPUTS!B216</f>
        <v>0</v>
      </c>
      <c r="C214" s="59">
        <f>CO_ATT_INPUTS!C216</f>
        <v>0</v>
      </c>
      <c r="D214" s="69">
        <f>CO_ATT_INPUTS!D216</f>
        <v>0</v>
      </c>
      <c r="E214" s="82"/>
      <c r="F214" s="82"/>
      <c r="G214" s="82"/>
      <c r="H214" s="82"/>
      <c r="I214" s="82"/>
    </row>
    <row r="215" spans="1:9" ht="34.5" hidden="1" customHeight="1" x14ac:dyDescent="0.25">
      <c r="A215" s="77">
        <f>CO_ATT_INPUTS!A217</f>
        <v>199</v>
      </c>
      <c r="B215" s="77">
        <f>CO_ATT_INPUTS!B217</f>
        <v>0</v>
      </c>
      <c r="C215" s="59">
        <f>CO_ATT_INPUTS!C217</f>
        <v>0</v>
      </c>
      <c r="D215" s="69">
        <f>CO_ATT_INPUTS!D217</f>
        <v>0</v>
      </c>
      <c r="E215" s="82"/>
      <c r="F215" s="82"/>
      <c r="G215" s="82"/>
      <c r="H215" s="82"/>
      <c r="I215" s="82"/>
    </row>
    <row r="216" spans="1:9" ht="34.5" hidden="1" customHeight="1" x14ac:dyDescent="0.25">
      <c r="A216" s="77">
        <f>CO_ATT_INPUTS!A218</f>
        <v>200</v>
      </c>
      <c r="B216" s="77">
        <f>CO_ATT_INPUTS!B218</f>
        <v>0</v>
      </c>
      <c r="C216" s="59">
        <f>CO_ATT_INPUTS!C218</f>
        <v>0</v>
      </c>
      <c r="D216" s="69">
        <f>CO_ATT_INPUTS!D218</f>
        <v>0</v>
      </c>
      <c r="E216" s="82"/>
      <c r="F216" s="82"/>
      <c r="G216" s="82"/>
      <c r="H216" s="82"/>
      <c r="I216" s="82"/>
    </row>
    <row r="217" spans="1:9" ht="34.5" hidden="1" customHeight="1" x14ac:dyDescent="0.25">
      <c r="A217" s="77">
        <f>CO_ATT_INPUTS!A219</f>
        <v>201</v>
      </c>
      <c r="B217" s="77">
        <f>CO_ATT_INPUTS!B219</f>
        <v>0</v>
      </c>
      <c r="C217" s="59">
        <f>CO_ATT_INPUTS!C219</f>
        <v>0</v>
      </c>
      <c r="D217" s="69">
        <f>CO_ATT_INPUTS!D219</f>
        <v>0</v>
      </c>
      <c r="E217" s="82"/>
      <c r="F217" s="82"/>
      <c r="G217" s="82"/>
      <c r="H217" s="82"/>
      <c r="I217" s="82"/>
    </row>
    <row r="218" spans="1:9" ht="34.5" hidden="1" customHeight="1" x14ac:dyDescent="0.25">
      <c r="A218" s="77">
        <f>CO_ATT_INPUTS!A220</f>
        <v>202</v>
      </c>
      <c r="B218" s="77">
        <f>CO_ATT_INPUTS!B220</f>
        <v>0</v>
      </c>
      <c r="C218" s="59">
        <f>CO_ATT_INPUTS!C220</f>
        <v>0</v>
      </c>
      <c r="D218" s="69">
        <f>CO_ATT_INPUTS!D220</f>
        <v>0</v>
      </c>
      <c r="E218" s="82"/>
      <c r="F218" s="82"/>
      <c r="G218" s="82"/>
      <c r="H218" s="82"/>
      <c r="I218" s="82"/>
    </row>
    <row r="219" spans="1:9" ht="34.5" hidden="1" customHeight="1" x14ac:dyDescent="0.25">
      <c r="A219" s="77">
        <f>CO_ATT_INPUTS!A221</f>
        <v>203</v>
      </c>
      <c r="B219" s="77">
        <f>CO_ATT_INPUTS!B221</f>
        <v>0</v>
      </c>
      <c r="C219" s="59">
        <f>CO_ATT_INPUTS!C221</f>
        <v>0</v>
      </c>
      <c r="D219" s="69">
        <f>CO_ATT_INPUTS!D221</f>
        <v>0</v>
      </c>
      <c r="E219" s="82"/>
      <c r="F219" s="82"/>
      <c r="G219" s="82"/>
      <c r="H219" s="82"/>
      <c r="I219" s="82"/>
    </row>
    <row r="220" spans="1:9" ht="34.5" hidden="1" customHeight="1" x14ac:dyDescent="0.25">
      <c r="A220" s="77">
        <f>CO_ATT_INPUTS!A222</f>
        <v>204</v>
      </c>
      <c r="B220" s="77">
        <f>CO_ATT_INPUTS!B222</f>
        <v>0</v>
      </c>
      <c r="C220" s="59">
        <f>CO_ATT_INPUTS!C222</f>
        <v>0</v>
      </c>
      <c r="D220" s="69">
        <f>CO_ATT_INPUTS!D222</f>
        <v>0</v>
      </c>
      <c r="E220" s="82"/>
      <c r="F220" s="82"/>
      <c r="G220" s="82"/>
      <c r="H220" s="82"/>
      <c r="I220" s="82"/>
    </row>
    <row r="221" spans="1:9" ht="34.5" hidden="1" customHeight="1" x14ac:dyDescent="0.25">
      <c r="A221" s="77">
        <f>CO_ATT_INPUTS!A223</f>
        <v>205</v>
      </c>
      <c r="B221" s="77">
        <f>CO_ATT_INPUTS!B223</f>
        <v>0</v>
      </c>
      <c r="C221" s="59">
        <f>CO_ATT_INPUTS!C223</f>
        <v>0</v>
      </c>
      <c r="D221" s="69">
        <f>CO_ATT_INPUTS!D223</f>
        <v>0</v>
      </c>
      <c r="E221" s="82"/>
      <c r="F221" s="82"/>
      <c r="G221" s="82"/>
      <c r="H221" s="82"/>
      <c r="I221" s="82"/>
    </row>
    <row r="222" spans="1:9" ht="34.5" hidden="1" customHeight="1" x14ac:dyDescent="0.25">
      <c r="A222" s="77">
        <f>CO_ATT_INPUTS!A224</f>
        <v>206</v>
      </c>
      <c r="B222" s="77">
        <f>CO_ATT_INPUTS!B224</f>
        <v>0</v>
      </c>
      <c r="C222" s="59">
        <f>CO_ATT_INPUTS!C224</f>
        <v>0</v>
      </c>
      <c r="D222" s="69">
        <f>CO_ATT_INPUTS!D224</f>
        <v>0</v>
      </c>
      <c r="E222" s="82"/>
      <c r="F222" s="82"/>
      <c r="G222" s="82"/>
      <c r="H222" s="82"/>
      <c r="I222" s="82"/>
    </row>
    <row r="223" spans="1:9" ht="34.5" hidden="1" customHeight="1" x14ac:dyDescent="0.25">
      <c r="A223" s="77">
        <f>CO_ATT_INPUTS!A225</f>
        <v>207</v>
      </c>
      <c r="B223" s="77">
        <f>CO_ATT_INPUTS!B225</f>
        <v>0</v>
      </c>
      <c r="C223" s="59">
        <f>CO_ATT_INPUTS!C225</f>
        <v>0</v>
      </c>
      <c r="D223" s="69">
        <f>CO_ATT_INPUTS!D225</f>
        <v>0</v>
      </c>
      <c r="E223" s="82"/>
      <c r="F223" s="82"/>
      <c r="G223" s="82"/>
      <c r="H223" s="82"/>
      <c r="I223" s="82"/>
    </row>
    <row r="224" spans="1:9" ht="34.5" hidden="1" customHeight="1" x14ac:dyDescent="0.25">
      <c r="A224" s="77">
        <f>CO_ATT_INPUTS!A226</f>
        <v>208</v>
      </c>
      <c r="B224" s="77">
        <f>CO_ATT_INPUTS!B226</f>
        <v>0</v>
      </c>
      <c r="C224" s="59">
        <f>CO_ATT_INPUTS!C226</f>
        <v>0</v>
      </c>
      <c r="D224" s="69">
        <f>CO_ATT_INPUTS!D226</f>
        <v>0</v>
      </c>
      <c r="E224" s="82"/>
      <c r="F224" s="82"/>
      <c r="G224" s="82"/>
      <c r="H224" s="82"/>
      <c r="I224" s="82"/>
    </row>
    <row r="225" spans="1:9" ht="34.5" hidden="1" customHeight="1" x14ac:dyDescent="0.25">
      <c r="A225" s="77">
        <f>CO_ATT_INPUTS!A227</f>
        <v>209</v>
      </c>
      <c r="B225" s="77">
        <f>CO_ATT_INPUTS!B227</f>
        <v>0</v>
      </c>
      <c r="C225" s="59">
        <f>CO_ATT_INPUTS!C227</f>
        <v>0</v>
      </c>
      <c r="D225" s="69">
        <f>CO_ATT_INPUTS!D227</f>
        <v>0</v>
      </c>
      <c r="E225" s="82"/>
      <c r="F225" s="82"/>
      <c r="G225" s="82"/>
      <c r="H225" s="82"/>
      <c r="I225" s="82"/>
    </row>
    <row r="226" spans="1:9" ht="34.5" hidden="1" customHeight="1" x14ac:dyDescent="0.25">
      <c r="A226" s="77">
        <f>CO_ATT_INPUTS!A228</f>
        <v>210</v>
      </c>
      <c r="B226" s="77">
        <f>CO_ATT_INPUTS!B228</f>
        <v>0</v>
      </c>
      <c r="C226" s="59">
        <f>CO_ATT_INPUTS!C228</f>
        <v>0</v>
      </c>
      <c r="D226" s="69">
        <f>CO_ATT_INPUTS!D228</f>
        <v>0</v>
      </c>
      <c r="E226" s="82"/>
      <c r="F226" s="82"/>
      <c r="G226" s="82"/>
      <c r="H226" s="82"/>
      <c r="I226" s="82"/>
    </row>
    <row r="227" spans="1:9" ht="34.5" hidden="1" customHeight="1" x14ac:dyDescent="0.25">
      <c r="A227" s="77">
        <f>CO_ATT_INPUTS!A229</f>
        <v>211</v>
      </c>
      <c r="B227" s="77">
        <f>CO_ATT_INPUTS!B229</f>
        <v>0</v>
      </c>
      <c r="C227" s="59">
        <f>CO_ATT_INPUTS!C229</f>
        <v>0</v>
      </c>
      <c r="D227" s="69">
        <f>CO_ATT_INPUTS!D229</f>
        <v>0</v>
      </c>
      <c r="E227" s="82"/>
      <c r="F227" s="82"/>
      <c r="G227" s="82"/>
      <c r="H227" s="82"/>
      <c r="I227" s="82"/>
    </row>
    <row r="228" spans="1:9" ht="34.5" hidden="1" customHeight="1" x14ac:dyDescent="0.25">
      <c r="A228" s="77">
        <f>CO_ATT_INPUTS!A230</f>
        <v>212</v>
      </c>
      <c r="B228" s="77">
        <f>CO_ATT_INPUTS!B230</f>
        <v>0</v>
      </c>
      <c r="C228" s="59">
        <f>CO_ATT_INPUTS!C230</f>
        <v>0</v>
      </c>
      <c r="D228" s="69">
        <f>CO_ATT_INPUTS!D230</f>
        <v>0</v>
      </c>
      <c r="E228" s="82"/>
      <c r="F228" s="82"/>
      <c r="G228" s="82"/>
      <c r="H228" s="82"/>
      <c r="I228" s="82"/>
    </row>
    <row r="229" spans="1:9" ht="34.5" hidden="1" customHeight="1" x14ac:dyDescent="0.25">
      <c r="A229" s="77">
        <f>CO_ATT_INPUTS!A231</f>
        <v>213</v>
      </c>
      <c r="B229" s="77">
        <f>CO_ATT_INPUTS!B231</f>
        <v>0</v>
      </c>
      <c r="C229" s="59">
        <f>CO_ATT_INPUTS!C231</f>
        <v>0</v>
      </c>
      <c r="D229" s="69">
        <f>CO_ATT_INPUTS!D231</f>
        <v>0</v>
      </c>
      <c r="E229" s="82"/>
      <c r="F229" s="82"/>
      <c r="G229" s="82"/>
      <c r="H229" s="82"/>
      <c r="I229" s="82"/>
    </row>
    <row r="230" spans="1:9" ht="34.5" hidden="1" customHeight="1" x14ac:dyDescent="0.25">
      <c r="A230" s="77">
        <f>CO_ATT_INPUTS!A232</f>
        <v>214</v>
      </c>
      <c r="B230" s="77">
        <f>CO_ATT_INPUTS!B232</f>
        <v>0</v>
      </c>
      <c r="C230" s="59">
        <f>CO_ATT_INPUTS!C232</f>
        <v>0</v>
      </c>
      <c r="D230" s="69">
        <f>CO_ATT_INPUTS!D232</f>
        <v>0</v>
      </c>
      <c r="E230" s="82"/>
      <c r="F230" s="82"/>
      <c r="G230" s="82"/>
      <c r="H230" s="82"/>
      <c r="I230" s="82"/>
    </row>
    <row r="231" spans="1:9" ht="34.5" hidden="1" customHeight="1" x14ac:dyDescent="0.25">
      <c r="A231" s="77">
        <f>CO_ATT_INPUTS!A233</f>
        <v>215</v>
      </c>
      <c r="B231" s="77">
        <f>CO_ATT_INPUTS!B233</f>
        <v>0</v>
      </c>
      <c r="C231" s="59">
        <f>CO_ATT_INPUTS!C233</f>
        <v>0</v>
      </c>
      <c r="D231" s="69">
        <f>CO_ATT_INPUTS!D233</f>
        <v>0</v>
      </c>
      <c r="E231" s="82"/>
      <c r="F231" s="82"/>
      <c r="G231" s="82"/>
      <c r="H231" s="82"/>
      <c r="I231" s="82"/>
    </row>
    <row r="232" spans="1:9" ht="34.5" hidden="1" customHeight="1" x14ac:dyDescent="0.25">
      <c r="A232" s="77">
        <f>CO_ATT_INPUTS!A234</f>
        <v>216</v>
      </c>
      <c r="B232" s="77">
        <f>CO_ATT_INPUTS!B234</f>
        <v>0</v>
      </c>
      <c r="C232" s="59">
        <f>CO_ATT_INPUTS!C234</f>
        <v>0</v>
      </c>
      <c r="D232" s="69">
        <f>CO_ATT_INPUTS!D234</f>
        <v>0</v>
      </c>
      <c r="E232" s="82"/>
      <c r="F232" s="82"/>
      <c r="G232" s="82"/>
      <c r="H232" s="82"/>
      <c r="I232" s="82"/>
    </row>
    <row r="233" spans="1:9" ht="34.5" hidden="1" customHeight="1" x14ac:dyDescent="0.25">
      <c r="A233" s="77">
        <f>CO_ATT_INPUTS!A235</f>
        <v>217</v>
      </c>
      <c r="B233" s="77">
        <f>CO_ATT_INPUTS!B235</f>
        <v>0</v>
      </c>
      <c r="C233" s="59">
        <f>CO_ATT_INPUTS!C235</f>
        <v>0</v>
      </c>
      <c r="D233" s="69">
        <f>CO_ATT_INPUTS!D235</f>
        <v>0</v>
      </c>
      <c r="E233" s="82"/>
      <c r="F233" s="82"/>
      <c r="G233" s="82"/>
      <c r="H233" s="82"/>
      <c r="I233" s="82"/>
    </row>
    <row r="234" spans="1:9" ht="34.5" hidden="1" customHeight="1" x14ac:dyDescent="0.25">
      <c r="A234" s="77">
        <f>CO_ATT_INPUTS!A236</f>
        <v>218</v>
      </c>
      <c r="B234" s="77">
        <f>CO_ATT_INPUTS!B236</f>
        <v>0</v>
      </c>
      <c r="C234" s="59">
        <f>CO_ATT_INPUTS!C236</f>
        <v>0</v>
      </c>
      <c r="D234" s="69">
        <f>CO_ATT_INPUTS!D236</f>
        <v>0</v>
      </c>
      <c r="E234" s="82"/>
      <c r="F234" s="82"/>
      <c r="G234" s="82"/>
      <c r="H234" s="82"/>
      <c r="I234" s="82"/>
    </row>
    <row r="235" spans="1:9" ht="34.5" hidden="1" customHeight="1" x14ac:dyDescent="0.25">
      <c r="A235" s="77">
        <f>CO_ATT_INPUTS!A237</f>
        <v>219</v>
      </c>
      <c r="B235" s="77">
        <f>CO_ATT_INPUTS!B237</f>
        <v>0</v>
      </c>
      <c r="C235" s="59">
        <f>CO_ATT_INPUTS!C237</f>
        <v>0</v>
      </c>
      <c r="D235" s="69">
        <f>CO_ATT_INPUTS!D237</f>
        <v>0</v>
      </c>
      <c r="E235" s="82"/>
      <c r="F235" s="82"/>
      <c r="G235" s="82"/>
      <c r="H235" s="82"/>
      <c r="I235" s="82"/>
    </row>
    <row r="236" spans="1:9" ht="34.5" hidden="1" customHeight="1" x14ac:dyDescent="0.25">
      <c r="A236" s="77">
        <f>CO_ATT_INPUTS!A238</f>
        <v>220</v>
      </c>
      <c r="B236" s="77">
        <f>CO_ATT_INPUTS!B238</f>
        <v>0</v>
      </c>
      <c r="C236" s="59">
        <f>CO_ATT_INPUTS!C238</f>
        <v>0</v>
      </c>
      <c r="D236" s="69">
        <f>CO_ATT_INPUTS!D238</f>
        <v>0</v>
      </c>
      <c r="E236" s="82"/>
      <c r="F236" s="82"/>
      <c r="G236" s="82"/>
      <c r="H236" s="82"/>
      <c r="I236" s="82"/>
    </row>
    <row r="237" spans="1:9" ht="34.5" hidden="1" customHeight="1" x14ac:dyDescent="0.25">
      <c r="A237" s="77">
        <f>CO_ATT_INPUTS!A239</f>
        <v>221</v>
      </c>
      <c r="B237" s="77">
        <f>CO_ATT_INPUTS!B239</f>
        <v>0</v>
      </c>
      <c r="C237" s="59">
        <f>CO_ATT_INPUTS!C239</f>
        <v>0</v>
      </c>
      <c r="D237" s="69">
        <f>CO_ATT_INPUTS!D239</f>
        <v>0</v>
      </c>
      <c r="E237" s="82"/>
      <c r="F237" s="82"/>
      <c r="G237" s="82"/>
      <c r="H237" s="82"/>
      <c r="I237" s="82"/>
    </row>
    <row r="238" spans="1:9" ht="34.5" hidden="1" customHeight="1" x14ac:dyDescent="0.25">
      <c r="A238" s="77">
        <f>CO_ATT_INPUTS!A240</f>
        <v>222</v>
      </c>
      <c r="B238" s="77">
        <f>CO_ATT_INPUTS!B240</f>
        <v>0</v>
      </c>
      <c r="C238" s="59">
        <f>CO_ATT_INPUTS!C240</f>
        <v>0</v>
      </c>
      <c r="D238" s="69">
        <f>CO_ATT_INPUTS!D240</f>
        <v>0</v>
      </c>
      <c r="E238" s="82"/>
      <c r="F238" s="82"/>
      <c r="G238" s="82"/>
      <c r="H238" s="82"/>
      <c r="I238" s="82"/>
    </row>
    <row r="239" spans="1:9" ht="34.5" hidden="1" customHeight="1" x14ac:dyDescent="0.25">
      <c r="A239" s="77">
        <f>CO_ATT_INPUTS!A241</f>
        <v>223</v>
      </c>
      <c r="B239" s="77">
        <f>CO_ATT_INPUTS!B241</f>
        <v>0</v>
      </c>
      <c r="C239" s="59">
        <f>CO_ATT_INPUTS!C241</f>
        <v>0</v>
      </c>
      <c r="D239" s="69">
        <f>CO_ATT_INPUTS!D241</f>
        <v>0</v>
      </c>
      <c r="E239" s="82"/>
      <c r="F239" s="82"/>
      <c r="G239" s="82"/>
      <c r="H239" s="82"/>
      <c r="I239" s="82"/>
    </row>
    <row r="240" spans="1:9" ht="34.5" hidden="1" customHeight="1" x14ac:dyDescent="0.25">
      <c r="A240" s="77">
        <f>CO_ATT_INPUTS!A242</f>
        <v>224</v>
      </c>
      <c r="B240" s="77">
        <f>CO_ATT_INPUTS!B242</f>
        <v>0</v>
      </c>
      <c r="C240" s="59">
        <f>CO_ATT_INPUTS!C242</f>
        <v>0</v>
      </c>
      <c r="D240" s="69">
        <f>CO_ATT_INPUTS!D242</f>
        <v>0</v>
      </c>
      <c r="E240" s="82"/>
      <c r="F240" s="82"/>
      <c r="G240" s="82"/>
      <c r="H240" s="82"/>
      <c r="I240" s="82"/>
    </row>
    <row r="241" spans="1:9" ht="34.5" hidden="1" customHeight="1" x14ac:dyDescent="0.25">
      <c r="A241" s="77">
        <f>CO_ATT_INPUTS!A243</f>
        <v>225</v>
      </c>
      <c r="B241" s="77">
        <f>CO_ATT_INPUTS!B243</f>
        <v>0</v>
      </c>
      <c r="C241" s="59">
        <f>CO_ATT_INPUTS!C243</f>
        <v>0</v>
      </c>
      <c r="D241" s="69">
        <f>CO_ATT_INPUTS!D243</f>
        <v>0</v>
      </c>
      <c r="E241" s="82"/>
      <c r="F241" s="82"/>
      <c r="G241" s="82"/>
      <c r="H241" s="82"/>
      <c r="I241" s="82"/>
    </row>
    <row r="242" spans="1:9" ht="34.5" hidden="1" customHeight="1" x14ac:dyDescent="0.25">
      <c r="A242" s="77">
        <f>CO_ATT_INPUTS!A244</f>
        <v>226</v>
      </c>
      <c r="B242" s="77">
        <f>CO_ATT_INPUTS!B244</f>
        <v>0</v>
      </c>
      <c r="C242" s="59">
        <f>CO_ATT_INPUTS!C244</f>
        <v>0</v>
      </c>
      <c r="D242" s="69">
        <f>CO_ATT_INPUTS!D244</f>
        <v>0</v>
      </c>
      <c r="E242" s="82"/>
      <c r="F242" s="82"/>
      <c r="G242" s="82"/>
      <c r="H242" s="82"/>
      <c r="I242" s="82"/>
    </row>
    <row r="243" spans="1:9" ht="34.5" hidden="1" customHeight="1" x14ac:dyDescent="0.25">
      <c r="A243" s="77">
        <f>CO_ATT_INPUTS!A245</f>
        <v>227</v>
      </c>
      <c r="B243" s="77">
        <f>CO_ATT_INPUTS!B245</f>
        <v>0</v>
      </c>
      <c r="C243" s="59">
        <f>CO_ATT_INPUTS!C245</f>
        <v>0</v>
      </c>
      <c r="D243" s="69">
        <f>CO_ATT_INPUTS!D245</f>
        <v>0</v>
      </c>
      <c r="E243" s="82"/>
      <c r="F243" s="82"/>
      <c r="G243" s="82"/>
      <c r="H243" s="82"/>
      <c r="I243" s="82"/>
    </row>
    <row r="244" spans="1:9" ht="34.5" hidden="1" customHeight="1" x14ac:dyDescent="0.25">
      <c r="A244" s="77">
        <f>CO_ATT_INPUTS!A246</f>
        <v>228</v>
      </c>
      <c r="B244" s="77">
        <f>CO_ATT_INPUTS!B246</f>
        <v>0</v>
      </c>
      <c r="C244" s="59">
        <f>CO_ATT_INPUTS!C246</f>
        <v>0</v>
      </c>
      <c r="D244" s="69">
        <f>CO_ATT_INPUTS!D246</f>
        <v>0</v>
      </c>
      <c r="E244" s="82"/>
      <c r="F244" s="82"/>
      <c r="G244" s="82"/>
      <c r="H244" s="82"/>
      <c r="I244" s="82"/>
    </row>
    <row r="245" spans="1:9" ht="34.5" hidden="1" customHeight="1" x14ac:dyDescent="0.25">
      <c r="A245" s="77">
        <f>CO_ATT_INPUTS!A247</f>
        <v>229</v>
      </c>
      <c r="B245" s="77">
        <f>CO_ATT_INPUTS!B247</f>
        <v>0</v>
      </c>
      <c r="C245" s="59">
        <f>CO_ATT_INPUTS!C247</f>
        <v>0</v>
      </c>
      <c r="D245" s="69">
        <f>CO_ATT_INPUTS!D247</f>
        <v>0</v>
      </c>
      <c r="E245" s="82"/>
      <c r="F245" s="82"/>
      <c r="G245" s="82"/>
      <c r="H245" s="82"/>
      <c r="I245" s="82"/>
    </row>
    <row r="246" spans="1:9" ht="34.5" hidden="1" customHeight="1" x14ac:dyDescent="0.25">
      <c r="A246" s="77">
        <f>CO_ATT_INPUTS!A248</f>
        <v>230</v>
      </c>
      <c r="B246" s="77">
        <f>CO_ATT_INPUTS!B248</f>
        <v>0</v>
      </c>
      <c r="C246" s="59">
        <f>CO_ATT_INPUTS!C248</f>
        <v>0</v>
      </c>
      <c r="D246" s="69">
        <f>CO_ATT_INPUTS!D248</f>
        <v>0</v>
      </c>
      <c r="E246" s="82"/>
      <c r="F246" s="82"/>
      <c r="G246" s="82"/>
      <c r="H246" s="82"/>
      <c r="I246" s="82"/>
    </row>
    <row r="247" spans="1:9" ht="34.5" hidden="1" customHeight="1" x14ac:dyDescent="0.25">
      <c r="A247" s="77">
        <f>CO_ATT_INPUTS!A249</f>
        <v>231</v>
      </c>
      <c r="B247" s="77">
        <f>CO_ATT_INPUTS!B249</f>
        <v>0</v>
      </c>
      <c r="C247" s="59">
        <f>CO_ATT_INPUTS!C249</f>
        <v>0</v>
      </c>
      <c r="D247" s="69">
        <f>CO_ATT_INPUTS!D249</f>
        <v>0</v>
      </c>
      <c r="E247" s="82"/>
      <c r="F247" s="82"/>
      <c r="G247" s="82"/>
      <c r="H247" s="82"/>
      <c r="I247" s="82"/>
    </row>
    <row r="248" spans="1:9" ht="34.5" hidden="1" customHeight="1" x14ac:dyDescent="0.25">
      <c r="A248" s="77">
        <f>CO_ATT_INPUTS!A250</f>
        <v>232</v>
      </c>
      <c r="B248" s="77">
        <f>CO_ATT_INPUTS!B250</f>
        <v>0</v>
      </c>
      <c r="C248" s="59">
        <f>CO_ATT_INPUTS!C250</f>
        <v>0</v>
      </c>
      <c r="D248" s="69">
        <f>CO_ATT_INPUTS!D250</f>
        <v>0</v>
      </c>
      <c r="E248" s="82"/>
      <c r="F248" s="82"/>
      <c r="G248" s="82"/>
      <c r="H248" s="82"/>
      <c r="I248" s="82"/>
    </row>
    <row r="249" spans="1:9" ht="34.5" hidden="1" customHeight="1" x14ac:dyDescent="0.25">
      <c r="A249" s="77">
        <f>CO_ATT_INPUTS!A251</f>
        <v>233</v>
      </c>
      <c r="B249" s="77">
        <f>CO_ATT_INPUTS!B251</f>
        <v>0</v>
      </c>
      <c r="C249" s="59">
        <f>CO_ATT_INPUTS!C251</f>
        <v>0</v>
      </c>
      <c r="D249" s="69">
        <f>CO_ATT_INPUTS!D251</f>
        <v>0</v>
      </c>
      <c r="E249" s="82"/>
      <c r="F249" s="82"/>
      <c r="G249" s="82"/>
      <c r="H249" s="82"/>
      <c r="I249" s="82"/>
    </row>
    <row r="250" spans="1:9" ht="34.5" hidden="1" customHeight="1" x14ac:dyDescent="0.25">
      <c r="A250" s="77">
        <f>CO_ATT_INPUTS!A252</f>
        <v>234</v>
      </c>
      <c r="B250" s="77">
        <f>CO_ATT_INPUTS!B252</f>
        <v>0</v>
      </c>
      <c r="C250" s="59">
        <f>CO_ATT_INPUTS!C252</f>
        <v>0</v>
      </c>
      <c r="D250" s="69">
        <f>CO_ATT_INPUTS!D252</f>
        <v>0</v>
      </c>
      <c r="E250" s="82"/>
      <c r="F250" s="82"/>
      <c r="G250" s="82"/>
      <c r="H250" s="82"/>
      <c r="I250" s="82"/>
    </row>
    <row r="251" spans="1:9" ht="34.5" hidden="1" customHeight="1" x14ac:dyDescent="0.25">
      <c r="A251" s="77">
        <f>CO_ATT_INPUTS!A253</f>
        <v>235</v>
      </c>
      <c r="B251" s="77">
        <f>CO_ATT_INPUTS!B253</f>
        <v>0</v>
      </c>
      <c r="C251" s="59">
        <f>CO_ATT_INPUTS!C253</f>
        <v>0</v>
      </c>
      <c r="D251" s="69">
        <f>CO_ATT_INPUTS!D253</f>
        <v>0</v>
      </c>
      <c r="E251" s="82"/>
      <c r="F251" s="82"/>
      <c r="G251" s="82"/>
      <c r="H251" s="82"/>
      <c r="I251" s="82"/>
    </row>
    <row r="252" spans="1:9" ht="34.5" hidden="1" customHeight="1" x14ac:dyDescent="0.25">
      <c r="A252" s="77">
        <f>CO_ATT_INPUTS!A254</f>
        <v>236</v>
      </c>
      <c r="B252" s="77">
        <f>CO_ATT_INPUTS!B254</f>
        <v>0</v>
      </c>
      <c r="C252" s="59">
        <f>CO_ATT_INPUTS!C254</f>
        <v>0</v>
      </c>
      <c r="D252" s="69">
        <f>CO_ATT_INPUTS!D254</f>
        <v>0</v>
      </c>
      <c r="E252" s="82"/>
      <c r="F252" s="82"/>
      <c r="G252" s="82"/>
      <c r="H252" s="82"/>
      <c r="I252" s="82"/>
    </row>
    <row r="253" spans="1:9" ht="34.5" hidden="1" customHeight="1" x14ac:dyDescent="0.25">
      <c r="A253" s="77">
        <f>CO_ATT_INPUTS!A255</f>
        <v>237</v>
      </c>
      <c r="B253" s="77">
        <f>CO_ATT_INPUTS!B255</f>
        <v>0</v>
      </c>
      <c r="C253" s="59">
        <f>CO_ATT_INPUTS!C255</f>
        <v>0</v>
      </c>
      <c r="D253" s="69">
        <f>CO_ATT_INPUTS!D255</f>
        <v>0</v>
      </c>
      <c r="E253" s="82"/>
      <c r="F253" s="82"/>
      <c r="G253" s="82"/>
      <c r="H253" s="82"/>
      <c r="I253" s="82"/>
    </row>
    <row r="254" spans="1:9" ht="34.5" hidden="1" customHeight="1" x14ac:dyDescent="0.25">
      <c r="A254" s="77">
        <f>CO_ATT_INPUTS!A256</f>
        <v>238</v>
      </c>
      <c r="B254" s="77">
        <f>CO_ATT_INPUTS!B256</f>
        <v>0</v>
      </c>
      <c r="C254" s="59">
        <f>CO_ATT_INPUTS!C256</f>
        <v>0</v>
      </c>
      <c r="D254" s="69">
        <f>CO_ATT_INPUTS!D256</f>
        <v>0</v>
      </c>
      <c r="E254" s="82"/>
      <c r="F254" s="82"/>
      <c r="G254" s="82"/>
      <c r="H254" s="82"/>
      <c r="I254" s="82"/>
    </row>
    <row r="255" spans="1:9" ht="34.5" hidden="1" customHeight="1" x14ac:dyDescent="0.25">
      <c r="A255" s="77">
        <f>CO_ATT_INPUTS!A257</f>
        <v>239</v>
      </c>
      <c r="B255" s="77">
        <f>CO_ATT_INPUTS!B257</f>
        <v>0</v>
      </c>
      <c r="C255" s="59">
        <f>CO_ATT_INPUTS!C257</f>
        <v>0</v>
      </c>
      <c r="D255" s="69">
        <f>CO_ATT_INPUTS!D257</f>
        <v>0</v>
      </c>
      <c r="E255" s="82"/>
      <c r="F255" s="82"/>
      <c r="G255" s="82"/>
      <c r="H255" s="82"/>
      <c r="I255" s="82"/>
    </row>
    <row r="256" spans="1:9" ht="34.5" hidden="1" customHeight="1" x14ac:dyDescent="0.25">
      <c r="A256" s="77">
        <f>CO_ATT_INPUTS!A258</f>
        <v>240</v>
      </c>
      <c r="B256" s="77">
        <f>CO_ATT_INPUTS!B258</f>
        <v>0</v>
      </c>
      <c r="C256" s="59">
        <f>CO_ATT_INPUTS!C258</f>
        <v>0</v>
      </c>
      <c r="D256" s="69">
        <f>CO_ATT_INPUTS!D258</f>
        <v>0</v>
      </c>
      <c r="E256" s="82"/>
      <c r="F256" s="82"/>
      <c r="G256" s="82"/>
      <c r="H256" s="82"/>
      <c r="I256" s="82"/>
    </row>
    <row r="257" spans="1:9" ht="34.5" hidden="1" customHeight="1" x14ac:dyDescent="0.25">
      <c r="A257" s="77">
        <f>CO_ATT_INPUTS!A259</f>
        <v>241</v>
      </c>
      <c r="B257" s="77">
        <f>CO_ATT_INPUTS!B259</f>
        <v>0</v>
      </c>
      <c r="C257" s="59">
        <f>CO_ATT_INPUTS!C259</f>
        <v>0</v>
      </c>
      <c r="D257" s="69">
        <f>CO_ATT_INPUTS!D259</f>
        <v>0</v>
      </c>
      <c r="E257" s="82"/>
      <c r="F257" s="82"/>
      <c r="G257" s="82"/>
      <c r="H257" s="82"/>
      <c r="I257" s="82"/>
    </row>
    <row r="258" spans="1:9" ht="34.5" hidden="1" customHeight="1" x14ac:dyDescent="0.25">
      <c r="A258" s="77">
        <f>CO_ATT_INPUTS!A260</f>
        <v>242</v>
      </c>
      <c r="B258" s="77">
        <f>CO_ATT_INPUTS!B260</f>
        <v>0</v>
      </c>
      <c r="C258" s="59">
        <f>CO_ATT_INPUTS!C260</f>
        <v>0</v>
      </c>
      <c r="D258" s="69">
        <f>CO_ATT_INPUTS!D260</f>
        <v>0</v>
      </c>
      <c r="E258" s="82"/>
      <c r="F258" s="82"/>
      <c r="G258" s="82"/>
      <c r="H258" s="82"/>
      <c r="I258" s="82"/>
    </row>
    <row r="259" spans="1:9" ht="34.5" hidden="1" customHeight="1" x14ac:dyDescent="0.25">
      <c r="A259" s="77">
        <f>CO_ATT_INPUTS!A261</f>
        <v>243</v>
      </c>
      <c r="B259" s="77">
        <f>CO_ATT_INPUTS!B261</f>
        <v>0</v>
      </c>
      <c r="C259" s="59">
        <f>CO_ATT_INPUTS!C261</f>
        <v>0</v>
      </c>
      <c r="D259" s="69">
        <f>CO_ATT_INPUTS!D261</f>
        <v>0</v>
      </c>
      <c r="E259" s="82"/>
      <c r="F259" s="82"/>
      <c r="G259" s="82"/>
      <c r="H259" s="82"/>
      <c r="I259" s="82"/>
    </row>
    <row r="260" spans="1:9" ht="34.5" hidden="1" customHeight="1" x14ac:dyDescent="0.25">
      <c r="A260" s="77">
        <f>CO_ATT_INPUTS!A262</f>
        <v>244</v>
      </c>
      <c r="B260" s="77">
        <f>CO_ATT_INPUTS!B262</f>
        <v>0</v>
      </c>
      <c r="C260" s="59">
        <f>CO_ATT_INPUTS!C262</f>
        <v>0</v>
      </c>
      <c r="D260" s="69">
        <f>CO_ATT_INPUTS!D262</f>
        <v>0</v>
      </c>
      <c r="E260" s="82"/>
      <c r="F260" s="82"/>
      <c r="G260" s="82"/>
      <c r="H260" s="82"/>
      <c r="I260" s="82"/>
    </row>
    <row r="261" spans="1:9" ht="34.5" hidden="1" customHeight="1" x14ac:dyDescent="0.25">
      <c r="A261" s="77">
        <f>CO_ATT_INPUTS!A263</f>
        <v>245</v>
      </c>
      <c r="B261" s="77">
        <f>CO_ATT_INPUTS!B263</f>
        <v>0</v>
      </c>
      <c r="C261" s="59">
        <f>CO_ATT_INPUTS!C263</f>
        <v>0</v>
      </c>
      <c r="D261" s="69">
        <f>CO_ATT_INPUTS!D263</f>
        <v>0</v>
      </c>
      <c r="E261" s="82"/>
      <c r="F261" s="82"/>
      <c r="G261" s="82"/>
      <c r="H261" s="82"/>
      <c r="I261" s="82"/>
    </row>
    <row r="262" spans="1:9" ht="34.5" hidden="1" customHeight="1" x14ac:dyDescent="0.25">
      <c r="A262" s="77">
        <f>CO_ATT_INPUTS!A264</f>
        <v>246</v>
      </c>
      <c r="B262" s="77">
        <f>CO_ATT_INPUTS!B264</f>
        <v>0</v>
      </c>
      <c r="C262" s="59">
        <f>CO_ATT_INPUTS!C264</f>
        <v>0</v>
      </c>
      <c r="D262" s="69">
        <f>CO_ATT_INPUTS!D264</f>
        <v>0</v>
      </c>
      <c r="E262" s="82"/>
      <c r="F262" s="82"/>
      <c r="G262" s="82"/>
      <c r="H262" s="82"/>
      <c r="I262" s="82"/>
    </row>
    <row r="263" spans="1:9" ht="34.5" hidden="1" customHeight="1" x14ac:dyDescent="0.25">
      <c r="A263" s="77">
        <f>CO_ATT_INPUTS!A265</f>
        <v>247</v>
      </c>
      <c r="B263" s="77">
        <f>CO_ATT_INPUTS!B265</f>
        <v>0</v>
      </c>
      <c r="C263" s="59">
        <f>CO_ATT_INPUTS!C265</f>
        <v>0</v>
      </c>
      <c r="D263" s="69">
        <f>CO_ATT_INPUTS!D265</f>
        <v>0</v>
      </c>
      <c r="E263" s="82"/>
      <c r="F263" s="82"/>
      <c r="G263" s="82"/>
      <c r="H263" s="82"/>
      <c r="I263" s="82"/>
    </row>
    <row r="264" spans="1:9" ht="34.5" hidden="1" customHeight="1" x14ac:dyDescent="0.25">
      <c r="A264" s="77">
        <f>CO_ATT_INPUTS!A266</f>
        <v>248</v>
      </c>
      <c r="B264" s="77">
        <f>CO_ATT_INPUTS!B266</f>
        <v>0</v>
      </c>
      <c r="C264" s="59">
        <f>CO_ATT_INPUTS!C266</f>
        <v>0</v>
      </c>
      <c r="D264" s="69">
        <f>CO_ATT_INPUTS!D266</f>
        <v>0</v>
      </c>
      <c r="E264" s="82"/>
      <c r="F264" s="82"/>
      <c r="G264" s="82"/>
      <c r="H264" s="82"/>
      <c r="I264" s="82"/>
    </row>
    <row r="265" spans="1:9" ht="34.5" hidden="1" customHeight="1" x14ac:dyDescent="0.25">
      <c r="A265" s="77">
        <f>CO_ATT_INPUTS!A267</f>
        <v>249</v>
      </c>
      <c r="B265" s="77">
        <f>CO_ATT_INPUTS!B267</f>
        <v>0</v>
      </c>
      <c r="C265" s="59">
        <f>CO_ATT_INPUTS!C267</f>
        <v>0</v>
      </c>
      <c r="D265" s="69">
        <f>CO_ATT_INPUTS!D267</f>
        <v>0</v>
      </c>
      <c r="E265" s="82"/>
      <c r="F265" s="82"/>
      <c r="G265" s="82"/>
      <c r="H265" s="82"/>
      <c r="I265" s="82"/>
    </row>
    <row r="266" spans="1:9" ht="34.5" hidden="1" customHeight="1" x14ac:dyDescent="0.25">
      <c r="A266" s="77">
        <f>CO_ATT_INPUTS!A268</f>
        <v>250</v>
      </c>
      <c r="B266" s="77">
        <f>CO_ATT_INPUTS!B268</f>
        <v>0</v>
      </c>
      <c r="C266" s="59">
        <f>CO_ATT_INPUTS!C268</f>
        <v>0</v>
      </c>
      <c r="D266" s="69">
        <f>CO_ATT_INPUTS!D268</f>
        <v>0</v>
      </c>
      <c r="E266" s="82"/>
      <c r="F266" s="82"/>
      <c r="G266" s="82"/>
      <c r="H266" s="82"/>
      <c r="I266" s="82"/>
    </row>
    <row r="267" spans="1:9" ht="34.5" hidden="1" customHeight="1" x14ac:dyDescent="0.25">
      <c r="A267" s="77">
        <f>CO_ATT_INPUTS!A269</f>
        <v>251</v>
      </c>
      <c r="B267" s="77">
        <f>CO_ATT_INPUTS!B269</f>
        <v>0</v>
      </c>
      <c r="C267" s="59">
        <f>CO_ATT_INPUTS!C269</f>
        <v>0</v>
      </c>
      <c r="D267" s="69">
        <f>CO_ATT_INPUTS!D269</f>
        <v>0</v>
      </c>
      <c r="E267" s="82"/>
      <c r="F267" s="82"/>
      <c r="G267" s="82"/>
      <c r="H267" s="82"/>
      <c r="I267" s="82"/>
    </row>
    <row r="268" spans="1:9" ht="34.5" hidden="1" customHeight="1" x14ac:dyDescent="0.25">
      <c r="A268" s="77">
        <f>CO_ATT_INPUTS!A270</f>
        <v>252</v>
      </c>
      <c r="B268" s="77">
        <f>CO_ATT_INPUTS!B270</f>
        <v>0</v>
      </c>
      <c r="C268" s="59">
        <f>CO_ATT_INPUTS!C270</f>
        <v>0</v>
      </c>
      <c r="D268" s="69">
        <f>CO_ATT_INPUTS!D270</f>
        <v>0</v>
      </c>
      <c r="E268" s="82"/>
      <c r="F268" s="82"/>
      <c r="G268" s="82"/>
      <c r="H268" s="82"/>
      <c r="I268" s="82"/>
    </row>
    <row r="269" spans="1:9" ht="34.5" hidden="1" customHeight="1" x14ac:dyDescent="0.25">
      <c r="A269" s="77">
        <f>CO_ATT_INPUTS!A271</f>
        <v>253</v>
      </c>
      <c r="B269" s="77">
        <f>CO_ATT_INPUTS!B271</f>
        <v>0</v>
      </c>
      <c r="C269" s="59">
        <f>CO_ATT_INPUTS!C271</f>
        <v>0</v>
      </c>
      <c r="D269" s="69">
        <f>CO_ATT_INPUTS!D271</f>
        <v>0</v>
      </c>
      <c r="E269" s="82"/>
      <c r="F269" s="82"/>
      <c r="G269" s="82"/>
      <c r="H269" s="82"/>
      <c r="I269" s="82"/>
    </row>
    <row r="270" spans="1:9" ht="34.5" hidden="1" customHeight="1" x14ac:dyDescent="0.25">
      <c r="A270" s="77">
        <f>CO_ATT_INPUTS!A272</f>
        <v>254</v>
      </c>
      <c r="B270" s="77">
        <f>CO_ATT_INPUTS!B272</f>
        <v>0</v>
      </c>
      <c r="C270" s="59">
        <f>CO_ATT_INPUTS!C272</f>
        <v>0</v>
      </c>
      <c r="D270" s="69">
        <f>CO_ATT_INPUTS!D272</f>
        <v>0</v>
      </c>
      <c r="E270" s="82"/>
      <c r="F270" s="82"/>
      <c r="G270" s="82"/>
      <c r="H270" s="82"/>
      <c r="I270" s="82"/>
    </row>
    <row r="271" spans="1:9" ht="34.5" hidden="1" customHeight="1" x14ac:dyDescent="0.25">
      <c r="A271" s="77">
        <f>CO_ATT_INPUTS!A273</f>
        <v>255</v>
      </c>
      <c r="B271" s="77">
        <f>CO_ATT_INPUTS!B273</f>
        <v>0</v>
      </c>
      <c r="C271" s="59">
        <f>CO_ATT_INPUTS!C273</f>
        <v>0</v>
      </c>
      <c r="D271" s="69">
        <f>CO_ATT_INPUTS!D273</f>
        <v>0</v>
      </c>
      <c r="E271" s="82"/>
      <c r="F271" s="82"/>
      <c r="G271" s="82"/>
      <c r="H271" s="82"/>
      <c r="I271" s="82"/>
    </row>
    <row r="272" spans="1:9" ht="34.5" hidden="1" customHeight="1" x14ac:dyDescent="0.25">
      <c r="A272" s="77">
        <f>CO_ATT_INPUTS!A274</f>
        <v>256</v>
      </c>
      <c r="B272" s="77">
        <f>CO_ATT_INPUTS!B274</f>
        <v>0</v>
      </c>
      <c r="C272" s="59">
        <f>CO_ATT_INPUTS!C274</f>
        <v>0</v>
      </c>
      <c r="D272" s="69">
        <f>CO_ATT_INPUTS!D274</f>
        <v>0</v>
      </c>
      <c r="E272" s="82"/>
      <c r="F272" s="82"/>
      <c r="G272" s="82"/>
      <c r="H272" s="82"/>
      <c r="I272" s="82"/>
    </row>
    <row r="273" spans="1:9" ht="34.5" hidden="1" customHeight="1" x14ac:dyDescent="0.25">
      <c r="A273" s="77">
        <f>CO_ATT_INPUTS!A275</f>
        <v>257</v>
      </c>
      <c r="B273" s="77">
        <f>CO_ATT_INPUTS!B275</f>
        <v>0</v>
      </c>
      <c r="C273" s="59">
        <f>CO_ATT_INPUTS!C275</f>
        <v>0</v>
      </c>
      <c r="D273" s="69">
        <f>CO_ATT_INPUTS!D275</f>
        <v>0</v>
      </c>
      <c r="E273" s="82"/>
      <c r="F273" s="82"/>
      <c r="G273" s="82"/>
      <c r="H273" s="82"/>
      <c r="I273" s="82"/>
    </row>
    <row r="274" spans="1:9" ht="34.5" hidden="1" customHeight="1" x14ac:dyDescent="0.25">
      <c r="A274" s="77">
        <f>CO_ATT_INPUTS!A276</f>
        <v>258</v>
      </c>
      <c r="B274" s="77">
        <f>CO_ATT_INPUTS!B276</f>
        <v>0</v>
      </c>
      <c r="C274" s="59">
        <f>CO_ATT_INPUTS!C276</f>
        <v>0</v>
      </c>
      <c r="D274" s="69">
        <f>CO_ATT_INPUTS!D276</f>
        <v>0</v>
      </c>
      <c r="E274" s="82"/>
      <c r="F274" s="82"/>
      <c r="G274" s="82"/>
      <c r="H274" s="82"/>
      <c r="I274" s="82"/>
    </row>
    <row r="275" spans="1:9" ht="34.5" hidden="1" customHeight="1" x14ac:dyDescent="0.25">
      <c r="A275" s="77">
        <f>CO_ATT_INPUTS!A277</f>
        <v>259</v>
      </c>
      <c r="B275" s="77">
        <f>CO_ATT_INPUTS!B277</f>
        <v>0</v>
      </c>
      <c r="C275" s="59">
        <f>CO_ATT_INPUTS!C277</f>
        <v>0</v>
      </c>
      <c r="D275" s="69">
        <f>CO_ATT_INPUTS!D277</f>
        <v>0</v>
      </c>
      <c r="E275" s="82"/>
      <c r="F275" s="82"/>
      <c r="G275" s="82"/>
      <c r="H275" s="82"/>
      <c r="I275" s="82"/>
    </row>
    <row r="276" spans="1:9" ht="34.5" hidden="1" customHeight="1" x14ac:dyDescent="0.25">
      <c r="A276" s="77">
        <f>CO_ATT_INPUTS!A278</f>
        <v>260</v>
      </c>
      <c r="B276" s="77">
        <f>CO_ATT_INPUTS!B278</f>
        <v>0</v>
      </c>
      <c r="C276" s="59">
        <f>CO_ATT_INPUTS!C278</f>
        <v>0</v>
      </c>
      <c r="D276" s="69">
        <f>CO_ATT_INPUTS!D278</f>
        <v>0</v>
      </c>
      <c r="E276" s="82"/>
      <c r="F276" s="82"/>
      <c r="G276" s="82"/>
      <c r="H276" s="82"/>
      <c r="I276" s="82"/>
    </row>
    <row r="277" spans="1:9" ht="34.5" hidden="1" customHeight="1" x14ac:dyDescent="0.25">
      <c r="A277" s="77">
        <f>CO_ATT_INPUTS!A279</f>
        <v>261</v>
      </c>
      <c r="B277" s="77">
        <f>CO_ATT_INPUTS!B279</f>
        <v>0</v>
      </c>
      <c r="C277" s="59">
        <f>CO_ATT_INPUTS!C279</f>
        <v>0</v>
      </c>
      <c r="D277" s="69">
        <f>CO_ATT_INPUTS!D279</f>
        <v>0</v>
      </c>
      <c r="E277" s="82"/>
      <c r="F277" s="82"/>
      <c r="G277" s="82"/>
      <c r="H277" s="82"/>
      <c r="I277" s="82"/>
    </row>
    <row r="278" spans="1:9" ht="34.5" hidden="1" customHeight="1" x14ac:dyDescent="0.25">
      <c r="A278" s="77">
        <f>CO_ATT_INPUTS!A280</f>
        <v>262</v>
      </c>
      <c r="B278" s="77">
        <f>CO_ATT_INPUTS!B280</f>
        <v>0</v>
      </c>
      <c r="C278" s="59">
        <f>CO_ATT_INPUTS!C280</f>
        <v>0</v>
      </c>
      <c r="D278" s="69">
        <f>CO_ATT_INPUTS!D280</f>
        <v>0</v>
      </c>
      <c r="E278" s="82"/>
      <c r="F278" s="82"/>
      <c r="G278" s="82"/>
      <c r="H278" s="82"/>
      <c r="I278" s="82"/>
    </row>
    <row r="279" spans="1:9" ht="34.5" hidden="1" customHeight="1" x14ac:dyDescent="0.25">
      <c r="A279" s="77">
        <f>CO_ATT_INPUTS!A281</f>
        <v>263</v>
      </c>
      <c r="B279" s="77">
        <f>CO_ATT_INPUTS!B281</f>
        <v>0</v>
      </c>
      <c r="C279" s="59">
        <f>CO_ATT_INPUTS!C281</f>
        <v>0</v>
      </c>
      <c r="D279" s="69">
        <f>CO_ATT_INPUTS!D281</f>
        <v>0</v>
      </c>
      <c r="E279" s="82"/>
      <c r="F279" s="82"/>
      <c r="G279" s="82"/>
      <c r="H279" s="82"/>
      <c r="I279" s="82"/>
    </row>
    <row r="280" spans="1:9" ht="34.5" hidden="1" customHeight="1" x14ac:dyDescent="0.25">
      <c r="A280" s="77">
        <f>CO_ATT_INPUTS!A282</f>
        <v>264</v>
      </c>
      <c r="B280" s="77">
        <f>CO_ATT_INPUTS!B282</f>
        <v>0</v>
      </c>
      <c r="C280" s="59">
        <f>CO_ATT_INPUTS!C282</f>
        <v>0</v>
      </c>
      <c r="D280" s="69">
        <f>CO_ATT_INPUTS!D282</f>
        <v>0</v>
      </c>
      <c r="E280" s="82"/>
      <c r="F280" s="82"/>
      <c r="G280" s="82"/>
      <c r="H280" s="82"/>
      <c r="I280" s="82"/>
    </row>
    <row r="281" spans="1:9" ht="34.5" hidden="1" customHeight="1" x14ac:dyDescent="0.25">
      <c r="A281" s="77">
        <f>CO_ATT_INPUTS!A283</f>
        <v>265</v>
      </c>
      <c r="B281" s="77">
        <f>CO_ATT_INPUTS!B283</f>
        <v>0</v>
      </c>
      <c r="C281" s="59">
        <f>CO_ATT_INPUTS!C283</f>
        <v>0</v>
      </c>
      <c r="D281" s="69">
        <f>CO_ATT_INPUTS!D283</f>
        <v>0</v>
      </c>
      <c r="E281" s="82"/>
      <c r="F281" s="82"/>
      <c r="G281" s="82"/>
      <c r="H281" s="82"/>
      <c r="I281" s="82"/>
    </row>
    <row r="282" spans="1:9" ht="34.5" hidden="1" customHeight="1" x14ac:dyDescent="0.25">
      <c r="A282" s="77">
        <f>CO_ATT_INPUTS!A284</f>
        <v>266</v>
      </c>
      <c r="B282" s="77">
        <f>CO_ATT_INPUTS!B284</f>
        <v>0</v>
      </c>
      <c r="C282" s="59">
        <f>CO_ATT_INPUTS!C284</f>
        <v>0</v>
      </c>
      <c r="D282" s="69">
        <f>CO_ATT_INPUTS!D284</f>
        <v>0</v>
      </c>
      <c r="E282" s="82"/>
      <c r="F282" s="82"/>
      <c r="G282" s="82"/>
      <c r="H282" s="82"/>
      <c r="I282" s="82"/>
    </row>
    <row r="283" spans="1:9" ht="34.5" hidden="1" customHeight="1" x14ac:dyDescent="0.25">
      <c r="A283" s="77">
        <f>CO_ATT_INPUTS!A285</f>
        <v>267</v>
      </c>
      <c r="B283" s="77">
        <f>CO_ATT_INPUTS!B285</f>
        <v>0</v>
      </c>
      <c r="C283" s="59">
        <f>CO_ATT_INPUTS!C285</f>
        <v>0</v>
      </c>
      <c r="D283" s="69">
        <f>CO_ATT_INPUTS!D285</f>
        <v>0</v>
      </c>
      <c r="E283" s="82"/>
      <c r="F283" s="82"/>
      <c r="G283" s="82"/>
      <c r="H283" s="82"/>
      <c r="I283" s="82"/>
    </row>
    <row r="284" spans="1:9" ht="34.5" hidden="1" customHeight="1" x14ac:dyDescent="0.25">
      <c r="A284" s="77">
        <f>CO_ATT_INPUTS!A286</f>
        <v>268</v>
      </c>
      <c r="B284" s="77">
        <f>CO_ATT_INPUTS!B286</f>
        <v>0</v>
      </c>
      <c r="C284" s="59">
        <f>CO_ATT_INPUTS!C286</f>
        <v>0</v>
      </c>
      <c r="D284" s="69">
        <f>CO_ATT_INPUTS!D286</f>
        <v>0</v>
      </c>
      <c r="E284" s="82"/>
      <c r="F284" s="82"/>
      <c r="G284" s="82"/>
      <c r="H284" s="82"/>
      <c r="I284" s="82"/>
    </row>
    <row r="285" spans="1:9" ht="34.5" hidden="1" customHeight="1" x14ac:dyDescent="0.25">
      <c r="A285" s="77">
        <f>CO_ATT_INPUTS!A287</f>
        <v>269</v>
      </c>
      <c r="B285" s="77">
        <f>CO_ATT_INPUTS!B287</f>
        <v>0</v>
      </c>
      <c r="C285" s="59">
        <f>CO_ATT_INPUTS!C287</f>
        <v>0</v>
      </c>
      <c r="D285" s="69">
        <f>CO_ATT_INPUTS!D287</f>
        <v>0</v>
      </c>
      <c r="E285" s="82"/>
      <c r="F285" s="82"/>
      <c r="G285" s="82"/>
      <c r="H285" s="82"/>
      <c r="I285" s="82"/>
    </row>
    <row r="286" spans="1:9" ht="34.5" hidden="1" customHeight="1" x14ac:dyDescent="0.25">
      <c r="A286" s="77">
        <f>CO_ATT_INPUTS!A288</f>
        <v>270</v>
      </c>
      <c r="B286" s="77">
        <f>CO_ATT_INPUTS!B288</f>
        <v>0</v>
      </c>
      <c r="C286" s="59">
        <f>CO_ATT_INPUTS!C288</f>
        <v>0</v>
      </c>
      <c r="D286" s="69">
        <f>CO_ATT_INPUTS!D288</f>
        <v>0</v>
      </c>
      <c r="E286" s="82"/>
      <c r="F286" s="82"/>
      <c r="G286" s="82"/>
      <c r="H286" s="82"/>
      <c r="I286" s="82"/>
    </row>
    <row r="287" spans="1:9" ht="34.5" hidden="1" customHeight="1" x14ac:dyDescent="0.25">
      <c r="A287" s="77">
        <f>CO_ATT_INPUTS!A289</f>
        <v>271</v>
      </c>
      <c r="B287" s="77">
        <f>CO_ATT_INPUTS!B289</f>
        <v>0</v>
      </c>
      <c r="C287" s="59">
        <f>CO_ATT_INPUTS!C289</f>
        <v>0</v>
      </c>
      <c r="D287" s="69">
        <f>CO_ATT_INPUTS!D289</f>
        <v>0</v>
      </c>
      <c r="E287" s="82"/>
      <c r="F287" s="82"/>
      <c r="G287" s="82"/>
      <c r="H287" s="82"/>
      <c r="I287" s="82"/>
    </row>
    <row r="288" spans="1:9" ht="34.5" hidden="1" customHeight="1" x14ac:dyDescent="0.25">
      <c r="A288" s="77">
        <f>CO_ATT_INPUTS!A290</f>
        <v>272</v>
      </c>
      <c r="B288" s="77">
        <f>CO_ATT_INPUTS!B290</f>
        <v>0</v>
      </c>
      <c r="C288" s="59">
        <f>CO_ATT_INPUTS!C290</f>
        <v>0</v>
      </c>
      <c r="D288" s="69">
        <f>CO_ATT_INPUTS!D290</f>
        <v>0</v>
      </c>
      <c r="E288" s="82"/>
      <c r="F288" s="82"/>
      <c r="G288" s="82"/>
      <c r="H288" s="82"/>
      <c r="I288" s="82"/>
    </row>
    <row r="289" spans="1:9" ht="34.5" hidden="1" customHeight="1" x14ac:dyDescent="0.25">
      <c r="A289" s="77">
        <f>CO_ATT_INPUTS!A291</f>
        <v>273</v>
      </c>
      <c r="B289" s="77">
        <f>CO_ATT_INPUTS!B291</f>
        <v>0</v>
      </c>
      <c r="C289" s="59">
        <f>CO_ATT_INPUTS!C291</f>
        <v>0</v>
      </c>
      <c r="D289" s="69">
        <f>CO_ATT_INPUTS!D291</f>
        <v>0</v>
      </c>
      <c r="E289" s="82"/>
      <c r="F289" s="82"/>
      <c r="G289" s="82"/>
      <c r="H289" s="82"/>
      <c r="I289" s="82"/>
    </row>
    <row r="290" spans="1:9" ht="34.5" hidden="1" customHeight="1" x14ac:dyDescent="0.25">
      <c r="A290" s="77">
        <f>CO_ATT_INPUTS!A292</f>
        <v>274</v>
      </c>
      <c r="B290" s="77">
        <f>CO_ATT_INPUTS!B292</f>
        <v>0</v>
      </c>
      <c r="C290" s="59">
        <f>CO_ATT_INPUTS!C292</f>
        <v>0</v>
      </c>
      <c r="D290" s="69">
        <f>CO_ATT_INPUTS!D292</f>
        <v>0</v>
      </c>
      <c r="E290" s="82"/>
      <c r="F290" s="82"/>
      <c r="G290" s="82"/>
      <c r="H290" s="82"/>
      <c r="I290" s="82"/>
    </row>
    <row r="291" spans="1:9" ht="34.5" hidden="1" customHeight="1" x14ac:dyDescent="0.25">
      <c r="A291" s="77">
        <f>CO_ATT_INPUTS!A293</f>
        <v>275</v>
      </c>
      <c r="B291" s="77">
        <f>CO_ATT_INPUTS!B293</f>
        <v>0</v>
      </c>
      <c r="C291" s="59">
        <f>CO_ATT_INPUTS!C293</f>
        <v>0</v>
      </c>
      <c r="D291" s="69">
        <f>CO_ATT_INPUTS!D293</f>
        <v>0</v>
      </c>
      <c r="E291" s="82"/>
      <c r="F291" s="82"/>
      <c r="G291" s="82"/>
      <c r="H291" s="82"/>
      <c r="I291" s="82"/>
    </row>
    <row r="292" spans="1:9" ht="34.5" hidden="1" customHeight="1" x14ac:dyDescent="0.25">
      <c r="A292" s="77">
        <f>CO_ATT_INPUTS!A294</f>
        <v>276</v>
      </c>
      <c r="B292" s="77">
        <f>CO_ATT_INPUTS!B294</f>
        <v>0</v>
      </c>
      <c r="C292" s="59">
        <f>CO_ATT_INPUTS!C294</f>
        <v>0</v>
      </c>
      <c r="D292" s="69">
        <f>CO_ATT_INPUTS!D294</f>
        <v>0</v>
      </c>
      <c r="E292" s="82"/>
      <c r="F292" s="82"/>
      <c r="G292" s="82"/>
      <c r="H292" s="82"/>
      <c r="I292" s="82"/>
    </row>
    <row r="293" spans="1:9" ht="34.5" hidden="1" customHeight="1" x14ac:dyDescent="0.25">
      <c r="A293" s="77">
        <f>CO_ATT_INPUTS!A295</f>
        <v>277</v>
      </c>
      <c r="B293" s="77">
        <f>CO_ATT_INPUTS!B295</f>
        <v>0</v>
      </c>
      <c r="C293" s="59">
        <f>CO_ATT_INPUTS!C295</f>
        <v>0</v>
      </c>
      <c r="D293" s="69">
        <f>CO_ATT_INPUTS!D295</f>
        <v>0</v>
      </c>
      <c r="E293" s="82"/>
      <c r="F293" s="82"/>
      <c r="G293" s="82"/>
      <c r="H293" s="82"/>
      <c r="I293" s="82"/>
    </row>
    <row r="294" spans="1:9" ht="34.5" hidden="1" customHeight="1" x14ac:dyDescent="0.25">
      <c r="A294" s="77">
        <f>CO_ATT_INPUTS!A296</f>
        <v>278</v>
      </c>
      <c r="B294" s="77">
        <f>CO_ATT_INPUTS!B296</f>
        <v>0</v>
      </c>
      <c r="C294" s="59">
        <f>CO_ATT_INPUTS!C296</f>
        <v>0</v>
      </c>
      <c r="D294" s="69">
        <f>CO_ATT_INPUTS!D296</f>
        <v>0</v>
      </c>
      <c r="E294" s="82"/>
      <c r="F294" s="82"/>
      <c r="G294" s="82"/>
      <c r="H294" s="82"/>
      <c r="I294" s="82"/>
    </row>
    <row r="295" spans="1:9" ht="34.5" hidden="1" customHeight="1" x14ac:dyDescent="0.25">
      <c r="A295" s="77">
        <f>CO_ATT_INPUTS!A297</f>
        <v>279</v>
      </c>
      <c r="B295" s="77">
        <f>CO_ATT_INPUTS!B297</f>
        <v>0</v>
      </c>
      <c r="C295" s="59">
        <f>CO_ATT_INPUTS!C297</f>
        <v>0</v>
      </c>
      <c r="D295" s="69">
        <f>CO_ATT_INPUTS!D297</f>
        <v>0</v>
      </c>
      <c r="E295" s="82"/>
      <c r="F295" s="82"/>
      <c r="G295" s="82"/>
      <c r="H295" s="82"/>
      <c r="I295" s="82"/>
    </row>
    <row r="296" spans="1:9" ht="34.5" hidden="1" customHeight="1" x14ac:dyDescent="0.25">
      <c r="A296" s="77">
        <f>CO_ATT_INPUTS!A298</f>
        <v>280</v>
      </c>
      <c r="B296" s="77">
        <f>CO_ATT_INPUTS!B298</f>
        <v>0</v>
      </c>
      <c r="C296" s="59">
        <f>CO_ATT_INPUTS!C298</f>
        <v>0</v>
      </c>
      <c r="D296" s="69">
        <f>CO_ATT_INPUTS!D298</f>
        <v>0</v>
      </c>
      <c r="E296" s="82"/>
      <c r="F296" s="82"/>
      <c r="G296" s="82"/>
      <c r="H296" s="82"/>
      <c r="I296" s="82"/>
    </row>
    <row r="297" spans="1:9" ht="34.5" hidden="1" customHeight="1" x14ac:dyDescent="0.25">
      <c r="A297" s="77">
        <f>CO_ATT_INPUTS!A299</f>
        <v>281</v>
      </c>
      <c r="B297" s="77">
        <f>CO_ATT_INPUTS!B299</f>
        <v>0</v>
      </c>
      <c r="C297" s="59">
        <f>CO_ATT_INPUTS!C299</f>
        <v>0</v>
      </c>
      <c r="D297" s="69">
        <f>CO_ATT_INPUTS!D299</f>
        <v>0</v>
      </c>
      <c r="E297" s="82"/>
      <c r="F297" s="82"/>
      <c r="G297" s="82"/>
      <c r="H297" s="82"/>
      <c r="I297" s="82"/>
    </row>
    <row r="298" spans="1:9" ht="34.5" hidden="1" customHeight="1" x14ac:dyDescent="0.25">
      <c r="A298" s="77">
        <f>CO_ATT_INPUTS!A300</f>
        <v>282</v>
      </c>
      <c r="B298" s="77">
        <f>CO_ATT_INPUTS!B300</f>
        <v>0</v>
      </c>
      <c r="C298" s="59">
        <f>CO_ATT_INPUTS!C300</f>
        <v>0</v>
      </c>
      <c r="D298" s="69">
        <f>CO_ATT_INPUTS!D300</f>
        <v>0</v>
      </c>
      <c r="E298" s="82"/>
      <c r="F298" s="82"/>
      <c r="G298" s="82"/>
      <c r="H298" s="82"/>
      <c r="I298" s="82"/>
    </row>
    <row r="299" spans="1:9" ht="34.5" hidden="1" customHeight="1" x14ac:dyDescent="0.25">
      <c r="A299" s="77">
        <f>CO_ATT_INPUTS!A301</f>
        <v>283</v>
      </c>
      <c r="B299" s="77">
        <f>CO_ATT_INPUTS!B301</f>
        <v>0</v>
      </c>
      <c r="C299" s="59">
        <f>CO_ATT_INPUTS!C301</f>
        <v>0</v>
      </c>
      <c r="D299" s="69">
        <f>CO_ATT_INPUTS!D301</f>
        <v>0</v>
      </c>
      <c r="E299" s="82"/>
      <c r="F299" s="82"/>
      <c r="G299" s="82"/>
      <c r="H299" s="82"/>
      <c r="I299" s="82"/>
    </row>
    <row r="300" spans="1:9" ht="34.5" hidden="1" customHeight="1" x14ac:dyDescent="0.25">
      <c r="A300" s="77">
        <f>CO_ATT_INPUTS!A302</f>
        <v>284</v>
      </c>
      <c r="B300" s="77">
        <f>CO_ATT_INPUTS!B302</f>
        <v>0</v>
      </c>
      <c r="C300" s="59">
        <f>CO_ATT_INPUTS!C302</f>
        <v>0</v>
      </c>
      <c r="D300" s="69">
        <f>CO_ATT_INPUTS!D302</f>
        <v>0</v>
      </c>
      <c r="E300" s="82"/>
      <c r="F300" s="82"/>
      <c r="G300" s="82"/>
      <c r="H300" s="82"/>
      <c r="I300" s="82"/>
    </row>
    <row r="301" spans="1:9" ht="34.5" hidden="1" customHeight="1" x14ac:dyDescent="0.25">
      <c r="A301" s="77">
        <f>CO_ATT_INPUTS!A303</f>
        <v>285</v>
      </c>
      <c r="B301" s="77">
        <f>CO_ATT_INPUTS!B303</f>
        <v>0</v>
      </c>
      <c r="C301" s="59">
        <f>CO_ATT_INPUTS!C303</f>
        <v>0</v>
      </c>
      <c r="D301" s="69">
        <f>CO_ATT_INPUTS!D303</f>
        <v>0</v>
      </c>
      <c r="E301" s="82"/>
      <c r="F301" s="82"/>
      <c r="G301" s="82"/>
      <c r="H301" s="82"/>
      <c r="I301" s="82"/>
    </row>
    <row r="302" spans="1:9" ht="34.5" hidden="1" customHeight="1" x14ac:dyDescent="0.25">
      <c r="A302" s="77">
        <f>CO_ATT_INPUTS!A304</f>
        <v>286</v>
      </c>
      <c r="B302" s="77">
        <f>CO_ATT_INPUTS!B304</f>
        <v>0</v>
      </c>
      <c r="C302" s="59">
        <f>CO_ATT_INPUTS!C304</f>
        <v>0</v>
      </c>
      <c r="D302" s="69">
        <f>CO_ATT_INPUTS!D304</f>
        <v>0</v>
      </c>
      <c r="E302" s="82"/>
      <c r="F302" s="82"/>
      <c r="G302" s="82"/>
      <c r="H302" s="82"/>
      <c r="I302" s="82"/>
    </row>
    <row r="303" spans="1:9" ht="34.5" hidden="1" customHeight="1" x14ac:dyDescent="0.25">
      <c r="A303" s="77">
        <f>CO_ATT_INPUTS!A305</f>
        <v>287</v>
      </c>
      <c r="B303" s="77">
        <f>CO_ATT_INPUTS!B305</f>
        <v>0</v>
      </c>
      <c r="C303" s="59">
        <f>CO_ATT_INPUTS!C305</f>
        <v>0</v>
      </c>
      <c r="D303" s="69">
        <f>CO_ATT_INPUTS!D305</f>
        <v>0</v>
      </c>
      <c r="E303" s="82"/>
      <c r="F303" s="82"/>
      <c r="G303" s="82"/>
      <c r="H303" s="82"/>
      <c r="I303" s="82"/>
    </row>
    <row r="304" spans="1:9" ht="34.5" hidden="1" customHeight="1" x14ac:dyDescent="0.25">
      <c r="A304" s="77">
        <f>CO_ATT_INPUTS!A306</f>
        <v>288</v>
      </c>
      <c r="B304" s="77">
        <f>CO_ATT_INPUTS!B306</f>
        <v>0</v>
      </c>
      <c r="C304" s="59">
        <f>CO_ATT_INPUTS!C306</f>
        <v>0</v>
      </c>
      <c r="D304" s="69">
        <f>CO_ATT_INPUTS!D306</f>
        <v>0</v>
      </c>
      <c r="E304" s="82"/>
      <c r="F304" s="82"/>
      <c r="G304" s="82"/>
      <c r="H304" s="82"/>
      <c r="I304" s="82"/>
    </row>
    <row r="305" spans="1:9" ht="34.5" hidden="1" customHeight="1" x14ac:dyDescent="0.25">
      <c r="A305" s="77">
        <f>CO_ATT_INPUTS!A307</f>
        <v>289</v>
      </c>
      <c r="B305" s="77">
        <f>CO_ATT_INPUTS!B307</f>
        <v>0</v>
      </c>
      <c r="C305" s="59">
        <f>CO_ATT_INPUTS!C307</f>
        <v>0</v>
      </c>
      <c r="D305" s="69">
        <f>CO_ATT_INPUTS!D307</f>
        <v>0</v>
      </c>
      <c r="E305" s="82"/>
      <c r="F305" s="82"/>
      <c r="G305" s="82"/>
      <c r="H305" s="82"/>
      <c r="I305" s="82"/>
    </row>
    <row r="306" spans="1:9" ht="34.5" hidden="1" customHeight="1" x14ac:dyDescent="0.25">
      <c r="A306" s="77">
        <f>CO_ATT_INPUTS!A308</f>
        <v>290</v>
      </c>
      <c r="B306" s="77">
        <f>CO_ATT_INPUTS!B308</f>
        <v>0</v>
      </c>
      <c r="C306" s="59">
        <f>CO_ATT_INPUTS!C308</f>
        <v>0</v>
      </c>
      <c r="D306" s="69">
        <f>CO_ATT_INPUTS!D308</f>
        <v>0</v>
      </c>
      <c r="E306" s="82"/>
      <c r="F306" s="82"/>
      <c r="G306" s="82"/>
      <c r="H306" s="82"/>
      <c r="I306" s="82"/>
    </row>
    <row r="307" spans="1:9" ht="34.5" hidden="1" customHeight="1" x14ac:dyDescent="0.25">
      <c r="A307" s="77">
        <f>CO_ATT_INPUTS!A309</f>
        <v>291</v>
      </c>
      <c r="B307" s="77">
        <f>CO_ATT_INPUTS!B309</f>
        <v>0</v>
      </c>
      <c r="C307" s="59">
        <f>CO_ATT_INPUTS!C309</f>
        <v>0</v>
      </c>
      <c r="D307" s="69">
        <f>CO_ATT_INPUTS!D309</f>
        <v>0</v>
      </c>
      <c r="E307" s="82"/>
      <c r="F307" s="82"/>
      <c r="G307" s="82"/>
      <c r="H307" s="82"/>
      <c r="I307" s="82"/>
    </row>
    <row r="308" spans="1:9" ht="34.5" hidden="1" customHeight="1" x14ac:dyDescent="0.25">
      <c r="A308" s="77">
        <f>CO_ATT_INPUTS!A310</f>
        <v>292</v>
      </c>
      <c r="B308" s="77">
        <f>CO_ATT_INPUTS!B310</f>
        <v>0</v>
      </c>
      <c r="C308" s="59">
        <f>CO_ATT_INPUTS!C310</f>
        <v>0</v>
      </c>
      <c r="D308" s="69">
        <f>CO_ATT_INPUTS!D310</f>
        <v>0</v>
      </c>
      <c r="E308" s="82"/>
      <c r="F308" s="82"/>
      <c r="G308" s="82"/>
      <c r="H308" s="82"/>
      <c r="I308" s="82"/>
    </row>
    <row r="309" spans="1:9" ht="34.5" hidden="1" customHeight="1" x14ac:dyDescent="0.25">
      <c r="A309" s="77">
        <f>CO_ATT_INPUTS!A311</f>
        <v>293</v>
      </c>
      <c r="B309" s="77">
        <f>CO_ATT_INPUTS!B311</f>
        <v>0</v>
      </c>
      <c r="C309" s="59">
        <f>CO_ATT_INPUTS!C311</f>
        <v>0</v>
      </c>
      <c r="D309" s="69">
        <f>CO_ATT_INPUTS!D311</f>
        <v>0</v>
      </c>
      <c r="E309" s="82"/>
      <c r="F309" s="82"/>
      <c r="G309" s="82"/>
      <c r="H309" s="82"/>
      <c r="I309" s="82"/>
    </row>
    <row r="310" spans="1:9" ht="34.5" hidden="1" customHeight="1" x14ac:dyDescent="0.25">
      <c r="A310" s="77">
        <f>CO_ATT_INPUTS!A312</f>
        <v>294</v>
      </c>
      <c r="B310" s="77">
        <f>CO_ATT_INPUTS!B312</f>
        <v>0</v>
      </c>
      <c r="C310" s="59">
        <f>CO_ATT_INPUTS!C312</f>
        <v>0</v>
      </c>
      <c r="D310" s="69">
        <f>CO_ATT_INPUTS!D312</f>
        <v>0</v>
      </c>
      <c r="E310" s="82"/>
      <c r="F310" s="82"/>
      <c r="G310" s="82"/>
      <c r="H310" s="82"/>
      <c r="I310" s="82"/>
    </row>
    <row r="311" spans="1:9" ht="34.5" hidden="1" customHeight="1" x14ac:dyDescent="0.25">
      <c r="A311" s="77">
        <f>CO_ATT_INPUTS!A313</f>
        <v>295</v>
      </c>
      <c r="B311" s="77">
        <f>CO_ATT_INPUTS!B313</f>
        <v>0</v>
      </c>
      <c r="C311" s="59">
        <f>CO_ATT_INPUTS!C313</f>
        <v>0</v>
      </c>
      <c r="D311" s="69">
        <f>CO_ATT_INPUTS!D313</f>
        <v>0</v>
      </c>
      <c r="E311" s="82"/>
      <c r="F311" s="82"/>
      <c r="G311" s="82"/>
      <c r="H311" s="82"/>
      <c r="I311" s="82"/>
    </row>
    <row r="312" spans="1:9" ht="34.5" hidden="1" customHeight="1" x14ac:dyDescent="0.25">
      <c r="A312" s="77">
        <f>CO_ATT_INPUTS!A314</f>
        <v>296</v>
      </c>
      <c r="B312" s="77">
        <f>CO_ATT_INPUTS!B314</f>
        <v>0</v>
      </c>
      <c r="C312" s="59">
        <f>CO_ATT_INPUTS!C314</f>
        <v>0</v>
      </c>
      <c r="D312" s="69">
        <f>CO_ATT_INPUTS!D314</f>
        <v>0</v>
      </c>
      <c r="E312" s="82"/>
      <c r="F312" s="82"/>
      <c r="G312" s="82"/>
      <c r="H312" s="82"/>
      <c r="I312" s="82"/>
    </row>
    <row r="313" spans="1:9" ht="34.5" hidden="1" customHeight="1" x14ac:dyDescent="0.25">
      <c r="A313" s="77">
        <f>CO_ATT_INPUTS!A315</f>
        <v>297</v>
      </c>
      <c r="B313" s="77">
        <f>CO_ATT_INPUTS!B315</f>
        <v>0</v>
      </c>
      <c r="C313" s="59">
        <f>CO_ATT_INPUTS!C315</f>
        <v>0</v>
      </c>
      <c r="D313" s="69">
        <f>CO_ATT_INPUTS!D315</f>
        <v>0</v>
      </c>
      <c r="E313" s="82"/>
      <c r="F313" s="82"/>
      <c r="G313" s="82"/>
      <c r="H313" s="82"/>
      <c r="I313" s="82"/>
    </row>
    <row r="314" spans="1:9" ht="34.5" hidden="1" customHeight="1" x14ac:dyDescent="0.25">
      <c r="A314" s="77">
        <f>CO_ATT_INPUTS!A316</f>
        <v>298</v>
      </c>
      <c r="B314" s="77">
        <f>CO_ATT_INPUTS!B316</f>
        <v>0</v>
      </c>
      <c r="C314" s="59">
        <f>CO_ATT_INPUTS!C316</f>
        <v>0</v>
      </c>
      <c r="D314" s="69">
        <f>CO_ATT_INPUTS!D316</f>
        <v>0</v>
      </c>
      <c r="E314" s="82"/>
      <c r="F314" s="82"/>
      <c r="G314" s="82"/>
      <c r="H314" s="82"/>
      <c r="I314" s="82"/>
    </row>
    <row r="315" spans="1:9" ht="34.5" hidden="1" customHeight="1" x14ac:dyDescent="0.25">
      <c r="A315" s="77">
        <f>CO_ATT_INPUTS!A317</f>
        <v>299</v>
      </c>
      <c r="B315" s="77">
        <f>CO_ATT_INPUTS!B317</f>
        <v>0</v>
      </c>
      <c r="C315" s="59">
        <f>CO_ATT_INPUTS!C317</f>
        <v>0</v>
      </c>
      <c r="D315" s="69">
        <f>CO_ATT_INPUTS!D317</f>
        <v>0</v>
      </c>
      <c r="E315" s="82"/>
      <c r="F315" s="82"/>
      <c r="G315" s="82"/>
      <c r="H315" s="82"/>
      <c r="I315" s="82"/>
    </row>
    <row r="316" spans="1:9" ht="34.5" hidden="1" customHeight="1" x14ac:dyDescent="0.25">
      <c r="A316" s="77">
        <f>CO_ATT_INPUTS!A318</f>
        <v>300</v>
      </c>
      <c r="B316" s="77">
        <f>CO_ATT_INPUTS!B318</f>
        <v>0</v>
      </c>
      <c r="C316" s="59">
        <f>CO_ATT_INPUTS!C318</f>
        <v>0</v>
      </c>
      <c r="D316" s="69">
        <f>CO_ATT_INPUTS!D318</f>
        <v>0</v>
      </c>
      <c r="E316" s="82"/>
      <c r="F316" s="82"/>
      <c r="G316" s="82"/>
      <c r="H316" s="82"/>
      <c r="I316" s="82"/>
    </row>
    <row r="317" spans="1:9" ht="21" thickBot="1" x14ac:dyDescent="0.3">
      <c r="A317" s="78"/>
      <c r="B317" s="76"/>
      <c r="C317" s="76"/>
      <c r="D317" s="76"/>
      <c r="E317" s="79"/>
      <c r="F317" s="79"/>
      <c r="G317" s="79"/>
      <c r="H317" s="79"/>
      <c r="I317" s="79"/>
    </row>
    <row r="318" spans="1:9" x14ac:dyDescent="0.25">
      <c r="A318" s="245" t="s">
        <v>122</v>
      </c>
      <c r="B318" s="246"/>
      <c r="C318" s="246"/>
      <c r="D318" s="247"/>
      <c r="E318" s="238" t="s">
        <v>4</v>
      </c>
      <c r="F318" s="238" t="s">
        <v>5</v>
      </c>
      <c r="G318" s="238" t="s">
        <v>6</v>
      </c>
      <c r="H318" s="238" t="s">
        <v>7</v>
      </c>
      <c r="I318" s="235" t="s">
        <v>8</v>
      </c>
    </row>
    <row r="319" spans="1:9" x14ac:dyDescent="0.25">
      <c r="A319" s="248"/>
      <c r="B319" s="249"/>
      <c r="C319" s="249"/>
      <c r="D319" s="250"/>
      <c r="E319" s="237"/>
      <c r="F319" s="237"/>
      <c r="G319" s="237"/>
      <c r="H319" s="237"/>
      <c r="I319" s="236"/>
    </row>
    <row r="320" spans="1:9" ht="34.5" customHeight="1" x14ac:dyDescent="0.25">
      <c r="A320" s="242" t="s">
        <v>123</v>
      </c>
      <c r="B320" s="243"/>
      <c r="C320" s="243"/>
      <c r="D320" s="244"/>
      <c r="E320" s="59">
        <f>COUNTIF(E17:E316,"=1")</f>
        <v>0</v>
      </c>
      <c r="F320" s="59">
        <f>COUNTIF(F17:F316,"=1")</f>
        <v>0</v>
      </c>
      <c r="G320" s="59">
        <f>COUNTIF(G17:G316,"=1")</f>
        <v>1</v>
      </c>
      <c r="H320" s="59">
        <f>COUNTIF(H17:H316,"=1")</f>
        <v>0</v>
      </c>
      <c r="I320" s="60">
        <f>COUNTIF(I17:I316,"=1")</f>
        <v>0</v>
      </c>
    </row>
    <row r="321" spans="1:15" ht="30" customHeight="1" x14ac:dyDescent="0.25">
      <c r="A321" s="242" t="s">
        <v>124</v>
      </c>
      <c r="B321" s="243"/>
      <c r="C321" s="243"/>
      <c r="D321" s="244"/>
      <c r="E321" s="59">
        <f>COUNTIF(E17:E316,"=2")</f>
        <v>0</v>
      </c>
      <c r="F321" s="59">
        <f>COUNTIF(F17:F316,"=2")</f>
        <v>0</v>
      </c>
      <c r="G321" s="59">
        <f>COUNTIF(G17:G316,"=2")</f>
        <v>0</v>
      </c>
      <c r="H321" s="59">
        <f>COUNTIF(H17:H316,"=2")</f>
        <v>0</v>
      </c>
      <c r="I321" s="60">
        <f>COUNTIF(I17:I316,"=2")</f>
        <v>0</v>
      </c>
    </row>
    <row r="322" spans="1:15" ht="30" customHeight="1" x14ac:dyDescent="0.25">
      <c r="A322" s="232" t="s">
        <v>125</v>
      </c>
      <c r="B322" s="233"/>
      <c r="C322" s="233"/>
      <c r="D322" s="234"/>
      <c r="E322" s="59">
        <f>COUNTIF(E17:E316,"=3")</f>
        <v>1</v>
      </c>
      <c r="F322" s="59">
        <f>COUNTIF(F17:F316,"=3")</f>
        <v>1</v>
      </c>
      <c r="G322" s="59">
        <f>COUNTIF(G17:G316,"=3")</f>
        <v>1</v>
      </c>
      <c r="H322" s="59">
        <f>COUNTIF(H17:H316,"=3")</f>
        <v>1</v>
      </c>
      <c r="I322" s="60">
        <f>COUNTIF(I17:I316,"=3")</f>
        <v>3</v>
      </c>
    </row>
    <row r="323" spans="1:15" ht="30" customHeight="1" x14ac:dyDescent="0.25">
      <c r="A323" s="232" t="s">
        <v>126</v>
      </c>
      <c r="B323" s="233"/>
      <c r="C323" s="233"/>
      <c r="D323" s="234"/>
      <c r="E323" s="59">
        <f>COUNTIF(E17:E316,"=4")</f>
        <v>18</v>
      </c>
      <c r="F323" s="59">
        <f>COUNTIF(F17:F316,"=4")</f>
        <v>19</v>
      </c>
      <c r="G323" s="59">
        <f>COUNTIF(G17:G316,"=4")</f>
        <v>17</v>
      </c>
      <c r="H323" s="59">
        <f>COUNTIF(H17:H316,"=4")</f>
        <v>20</v>
      </c>
      <c r="I323" s="60">
        <f>COUNTIF(I17:I316,"=4")</f>
        <v>19</v>
      </c>
    </row>
    <row r="324" spans="1:15" ht="30" customHeight="1" x14ac:dyDescent="0.25">
      <c r="A324" s="232" t="s">
        <v>127</v>
      </c>
      <c r="B324" s="233"/>
      <c r="C324" s="233"/>
      <c r="D324" s="234"/>
      <c r="E324" s="59">
        <f>COUNTIF(E17:E316,"=5")</f>
        <v>46</v>
      </c>
      <c r="F324" s="59">
        <f>COUNTIF(F17:F316,"=5")</f>
        <v>45</v>
      </c>
      <c r="G324" s="59">
        <f>COUNTIF(G17:G316,"=5")</f>
        <v>46</v>
      </c>
      <c r="H324" s="59">
        <f>COUNTIF(H17:H316,"=5")</f>
        <v>44</v>
      </c>
      <c r="I324" s="60">
        <f>COUNTIF(I17:I316,"=5")</f>
        <v>43</v>
      </c>
    </row>
    <row r="325" spans="1:15" ht="61.5" customHeight="1" x14ac:dyDescent="0.25">
      <c r="A325" s="242" t="s">
        <v>128</v>
      </c>
      <c r="B325" s="243"/>
      <c r="C325" s="243"/>
      <c r="D325" s="244"/>
      <c r="E325" s="63">
        <f>((((E320*1+E321*2+E322*3+E323*4+E324*5)/$D$13)/5)*100)</f>
        <v>93.84615384615384</v>
      </c>
      <c r="F325" s="63">
        <f t="shared" ref="F325:I325" si="0">((((F320*1+F321*2+F322*3+F323*4+F324*5)/$D$13)/5)*100)</f>
        <v>93.538461538461547</v>
      </c>
      <c r="G325" s="63">
        <f t="shared" si="0"/>
        <v>92.923076923076934</v>
      </c>
      <c r="H325" s="63">
        <f t="shared" si="0"/>
        <v>93.230769230769241</v>
      </c>
      <c r="I325" s="64">
        <f t="shared" si="0"/>
        <v>92.307692307692307</v>
      </c>
    </row>
    <row r="326" spans="1:15" ht="48.75" customHeight="1" thickBot="1" x14ac:dyDescent="0.3">
      <c r="A326" s="239" t="s">
        <v>150</v>
      </c>
      <c r="B326" s="240"/>
      <c r="C326" s="240"/>
      <c r="D326" s="241"/>
      <c r="E326" s="65" t="str">
        <f>IF(E325&gt;=CO_ATT_INPUTS!L323,"3",IF(E325&lt;CO_ATT_INPUTS!L325,"1",IF(AND(E325&gt;=CO_ATT_INPUTS!L325,E325&lt;CO_ATT_INPUTS!L324),"1","2")))</f>
        <v>3</v>
      </c>
      <c r="F326" s="65" t="str">
        <f>IF(F325&gt;=CO_ATT_INPUTS!L323,"3",IF(F325&lt;CO_ATT_INPUTS!L325,"1",IF(AND(F325&gt;=CO_ATT_INPUTS!L325,F325&lt;CO_ATT_INPUTS!L324),"1","2")))</f>
        <v>3</v>
      </c>
      <c r="G326" s="65" t="str">
        <f>IF(G325&gt;=CO_ATT_INPUTS!L323,"3",IF(G325&lt;CO_ATT_INPUTS!L325,"1",IF(AND(G325&gt;=CO_ATT_INPUTS!L325,G325&lt;CO_ATT_INPUTS!L324),"1","2")))</f>
        <v>3</v>
      </c>
      <c r="H326" s="65" t="str">
        <f>IF(H325&gt;=CO_ATT_INPUTS!L323,"3",IF(H325&lt;CO_ATT_INPUTS!L325,"1",IF(AND(H325&gt;=CO_ATT_INPUTS!L325,H325&lt;CO_ATT_INPUTS!L324),"1","2")))</f>
        <v>3</v>
      </c>
      <c r="I326" s="65" t="str">
        <f>IF(I325&gt;=CO_ATT_INPUTS!L323,"3",IF(I325&lt;CO_ATT_INPUTS!L325,"1",IF(AND(I325&gt;=CO_ATT_INPUTS!L325,I325&lt;CO_ATT_INPUTS!L324),"1","2")))</f>
        <v>3</v>
      </c>
    </row>
    <row r="327" spans="1:15" x14ac:dyDescent="0.25">
      <c r="A327" s="80"/>
      <c r="B327" s="80"/>
      <c r="C327" s="80"/>
      <c r="D327" s="80"/>
      <c r="E327" s="81"/>
      <c r="F327" s="80"/>
      <c r="G327" s="80"/>
      <c r="H327" s="80"/>
      <c r="I327" s="80"/>
      <c r="J327" s="80"/>
      <c r="K327" s="81"/>
      <c r="L327" s="228"/>
      <c r="M327" s="228"/>
      <c r="N327" s="228"/>
      <c r="O327" s="228"/>
    </row>
  </sheetData>
  <sheetProtection sheet="1" objects="1" scenarios="1" formatRows="0"/>
  <protectedRanges>
    <protectedRange sqref="E17:I316" name="Range1"/>
  </protectedRanges>
  <mergeCells count="42">
    <mergeCell ref="A1:I1"/>
    <mergeCell ref="A2:I2"/>
    <mergeCell ref="A3:I3"/>
    <mergeCell ref="A4:C4"/>
    <mergeCell ref="D4:I4"/>
    <mergeCell ref="A11:C11"/>
    <mergeCell ref="D11:I11"/>
    <mergeCell ref="A12:C12"/>
    <mergeCell ref="D12:I12"/>
    <mergeCell ref="A13:C13"/>
    <mergeCell ref="D13:I13"/>
    <mergeCell ref="A326:D326"/>
    <mergeCell ref="A320:D320"/>
    <mergeCell ref="A321:D321"/>
    <mergeCell ref="A318:D319"/>
    <mergeCell ref="E318:E319"/>
    <mergeCell ref="A324:D324"/>
    <mergeCell ref="A325:D325"/>
    <mergeCell ref="I318:I319"/>
    <mergeCell ref="A15:A16"/>
    <mergeCell ref="B15:B16"/>
    <mergeCell ref="C15:C16"/>
    <mergeCell ref="D15:D16"/>
    <mergeCell ref="F318:F319"/>
    <mergeCell ref="G318:G319"/>
    <mergeCell ref="H318:H319"/>
    <mergeCell ref="L327:O327"/>
    <mergeCell ref="D5:I5"/>
    <mergeCell ref="A6:C6"/>
    <mergeCell ref="D6:I6"/>
    <mergeCell ref="A7:C7"/>
    <mergeCell ref="D7:I7"/>
    <mergeCell ref="A5:C5"/>
    <mergeCell ref="D8:I8"/>
    <mergeCell ref="D9:I9"/>
    <mergeCell ref="D10:I10"/>
    <mergeCell ref="A8:C8"/>
    <mergeCell ref="A9:C9"/>
    <mergeCell ref="A10:C10"/>
    <mergeCell ref="E15:I15"/>
    <mergeCell ref="A323:D323"/>
    <mergeCell ref="A322:D322"/>
  </mergeCells>
  <pageMargins left="0.31496062992125984" right="0.31496062992125984" top="0.35433070866141736" bottom="0.35433070866141736" header="0.31496062992125984" footer="0.31496062992125984"/>
  <pageSetup paperSize="9" scale="52"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00"/>
    <pageSetUpPr fitToPage="1"/>
  </sheetPr>
  <dimension ref="A1:P62"/>
  <sheetViews>
    <sheetView view="pageBreakPreview" zoomScale="70" zoomScaleSheetLayoutView="70" workbookViewId="0">
      <selection activeCell="B50" sqref="B50"/>
    </sheetView>
  </sheetViews>
  <sheetFormatPr defaultRowHeight="14.25" x14ac:dyDescent="0.25"/>
  <cols>
    <col min="1" max="1" width="20.85546875" style="33" customWidth="1"/>
    <col min="2" max="2" width="14" style="33" customWidth="1"/>
    <col min="3" max="14" width="13.5703125" style="33" customWidth="1"/>
    <col min="15" max="15" width="15.28515625" style="33" customWidth="1"/>
    <col min="16" max="16384" width="9.140625" style="33"/>
  </cols>
  <sheetData>
    <row r="1" spans="1:15" ht="48" customHeight="1" x14ac:dyDescent="0.25">
      <c r="A1" s="206" t="s">
        <v>0</v>
      </c>
      <c r="B1" s="206"/>
      <c r="C1" s="206"/>
      <c r="D1" s="206"/>
      <c r="E1" s="206"/>
      <c r="F1" s="206"/>
      <c r="G1" s="206"/>
      <c r="H1" s="206"/>
      <c r="I1" s="206"/>
      <c r="J1" s="206"/>
      <c r="K1" s="206"/>
      <c r="L1" s="206"/>
      <c r="M1" s="206"/>
      <c r="N1" s="206"/>
      <c r="O1" s="206"/>
    </row>
    <row r="2" spans="1:15" ht="31.5" customHeight="1" x14ac:dyDescent="0.25">
      <c r="A2" s="206" t="s">
        <v>47</v>
      </c>
      <c r="B2" s="206"/>
      <c r="C2" s="206"/>
      <c r="D2" s="206"/>
      <c r="E2" s="206"/>
      <c r="F2" s="206"/>
      <c r="G2" s="206"/>
      <c r="H2" s="206"/>
      <c r="I2" s="206"/>
      <c r="J2" s="206"/>
      <c r="K2" s="206"/>
      <c r="L2" s="206"/>
      <c r="M2" s="206"/>
      <c r="N2" s="206"/>
      <c r="O2" s="206"/>
    </row>
    <row r="3" spans="1:15" ht="51.75" customHeight="1" x14ac:dyDescent="0.25">
      <c r="A3" s="206" t="str">
        <f>CO_ATT_INPUTS!A3</f>
        <v>Department of Computer and Communication Engineering</v>
      </c>
      <c r="B3" s="206"/>
      <c r="C3" s="206"/>
      <c r="D3" s="206"/>
      <c r="E3" s="206"/>
      <c r="F3" s="206"/>
      <c r="G3" s="206"/>
      <c r="H3" s="206"/>
      <c r="I3" s="206"/>
      <c r="J3" s="206"/>
      <c r="K3" s="206"/>
      <c r="L3" s="206"/>
      <c r="M3" s="206"/>
      <c r="N3" s="206"/>
      <c r="O3" s="206"/>
    </row>
    <row r="4" spans="1:15" ht="36.75" customHeight="1" x14ac:dyDescent="0.25">
      <c r="A4" s="147" t="str">
        <f>'CO INDIRECT ATT'!A4:D4</f>
        <v>Regulation</v>
      </c>
      <c r="B4" s="147"/>
      <c r="C4" s="147"/>
      <c r="D4" s="147"/>
      <c r="E4" s="194" t="str">
        <f>'CO INDIRECT ATT'!D4</f>
        <v>R2019</v>
      </c>
      <c r="F4" s="194"/>
      <c r="G4" s="194"/>
      <c r="H4" s="194"/>
      <c r="I4" s="194"/>
      <c r="J4" s="194"/>
      <c r="K4" s="194"/>
      <c r="L4" s="194"/>
      <c r="M4" s="194"/>
      <c r="N4" s="194"/>
      <c r="O4" s="194"/>
    </row>
    <row r="5" spans="1:15" ht="36.75" customHeight="1" x14ac:dyDescent="0.25">
      <c r="A5" s="147" t="str">
        <f>'CO INDIRECT ATT'!A5:C5</f>
        <v>Program</v>
      </c>
      <c r="B5" s="147"/>
      <c r="C5" s="147"/>
      <c r="D5" s="147"/>
      <c r="E5" s="194" t="str">
        <f>'CO INDIRECT ATT'!D5</f>
        <v>BE-CCE</v>
      </c>
      <c r="F5" s="194"/>
      <c r="G5" s="194"/>
      <c r="H5" s="194"/>
      <c r="I5" s="194"/>
      <c r="J5" s="194"/>
      <c r="K5" s="194"/>
      <c r="L5" s="194"/>
      <c r="M5" s="194"/>
      <c r="N5" s="194"/>
      <c r="O5" s="194"/>
    </row>
    <row r="6" spans="1:15" ht="36.75" customHeight="1" x14ac:dyDescent="0.25">
      <c r="A6" s="147" t="str">
        <f>'CO INDIRECT ATT'!A6:C6</f>
        <v>Year/Semester</v>
      </c>
      <c r="B6" s="147"/>
      <c r="C6" s="147"/>
      <c r="D6" s="147"/>
      <c r="E6" s="194" t="str">
        <f>'CO INDIRECT ATT'!D6</f>
        <v>III/VI</v>
      </c>
      <c r="F6" s="194"/>
      <c r="G6" s="194"/>
      <c r="H6" s="194"/>
      <c r="I6" s="194"/>
      <c r="J6" s="194"/>
      <c r="K6" s="194"/>
      <c r="L6" s="194"/>
      <c r="M6" s="194"/>
      <c r="N6" s="194"/>
      <c r="O6" s="194"/>
    </row>
    <row r="7" spans="1:15" ht="36.75" customHeight="1" x14ac:dyDescent="0.25">
      <c r="A7" s="147" t="str">
        <f>'CO INDIRECT ATT'!A7:C7</f>
        <v>Course Code</v>
      </c>
      <c r="B7" s="147"/>
      <c r="C7" s="147"/>
      <c r="D7" s="147"/>
      <c r="E7" s="194" t="str">
        <f>'CO INDIRECT ATT'!D7</f>
        <v>R19IT303</v>
      </c>
      <c r="F7" s="194"/>
      <c r="G7" s="194"/>
      <c r="H7" s="194"/>
      <c r="I7" s="194"/>
      <c r="J7" s="194"/>
      <c r="K7" s="194"/>
      <c r="L7" s="194"/>
      <c r="M7" s="194"/>
      <c r="N7" s="194"/>
      <c r="O7" s="194"/>
    </row>
    <row r="8" spans="1:15" ht="77.25" customHeight="1" x14ac:dyDescent="0.25">
      <c r="A8" s="147" t="str">
        <f>'CO INDIRECT ATT'!A8:C8</f>
        <v>Course Name</v>
      </c>
      <c r="B8" s="147"/>
      <c r="C8" s="147"/>
      <c r="D8" s="147"/>
      <c r="E8" s="194" t="str">
        <f>'CO INDIRECT ATT'!D8</f>
        <v>CRYPTOGRAPHY AND CYBERSECURITY</v>
      </c>
      <c r="F8" s="194"/>
      <c r="G8" s="194"/>
      <c r="H8" s="194"/>
      <c r="I8" s="194"/>
      <c r="J8" s="194"/>
      <c r="K8" s="194"/>
      <c r="L8" s="194"/>
      <c r="M8" s="194"/>
      <c r="N8" s="194"/>
      <c r="O8" s="194"/>
    </row>
    <row r="9" spans="1:15" ht="74.25" customHeight="1" x14ac:dyDescent="0.25">
      <c r="A9" s="147" t="str">
        <f>'CO INDIRECT ATT'!A9:C9</f>
        <v>Course handling Faculty</v>
      </c>
      <c r="B9" s="147"/>
      <c r="C9" s="147"/>
      <c r="D9" s="147"/>
      <c r="E9" s="194" t="str">
        <f>'CO INDIRECT ATT'!D9</f>
        <v>R.PREETHI</v>
      </c>
      <c r="F9" s="194"/>
      <c r="G9" s="194"/>
      <c r="H9" s="194"/>
      <c r="I9" s="194"/>
      <c r="J9" s="194"/>
      <c r="K9" s="194"/>
      <c r="L9" s="194"/>
      <c r="M9" s="194"/>
      <c r="N9" s="194"/>
      <c r="O9" s="194"/>
    </row>
    <row r="10" spans="1:15" ht="36.75" customHeight="1" x14ac:dyDescent="0.25">
      <c r="A10" s="147" t="str">
        <f>'CO INDIRECT ATT'!A10:C10</f>
        <v>Course Coordinator</v>
      </c>
      <c r="B10" s="147"/>
      <c r="C10" s="147"/>
      <c r="D10" s="147"/>
      <c r="E10" s="194" t="str">
        <f>'CO INDIRECT ATT'!D10</f>
        <v>Dr K.Sivakumar</v>
      </c>
      <c r="F10" s="194"/>
      <c r="G10" s="194"/>
      <c r="H10" s="194"/>
      <c r="I10" s="194"/>
      <c r="J10" s="194"/>
      <c r="K10" s="194"/>
      <c r="L10" s="194"/>
      <c r="M10" s="194"/>
      <c r="N10" s="194"/>
      <c r="O10" s="194"/>
    </row>
    <row r="11" spans="1:15" ht="36.75" customHeight="1" x14ac:dyDescent="0.25">
      <c r="A11" s="147" t="str">
        <f>'CO INDIRECT ATT'!A11:C11</f>
        <v>Academic Year</v>
      </c>
      <c r="B11" s="147"/>
      <c r="C11" s="147"/>
      <c r="D11" s="147"/>
      <c r="E11" s="194" t="str">
        <f>'CO INDIRECT ATT'!D11</f>
        <v>2024-25</v>
      </c>
      <c r="F11" s="194"/>
      <c r="G11" s="194"/>
      <c r="H11" s="194"/>
      <c r="I11" s="194"/>
      <c r="J11" s="194"/>
      <c r="K11" s="194"/>
      <c r="L11" s="194"/>
      <c r="M11" s="194"/>
      <c r="N11" s="194"/>
      <c r="O11" s="194"/>
    </row>
    <row r="12" spans="1:15" ht="36.75" customHeight="1" x14ac:dyDescent="0.25">
      <c r="A12" s="147" t="str">
        <f>'CO INDIRECT ATT'!A12:C12</f>
        <v>Batch</v>
      </c>
      <c r="B12" s="147"/>
      <c r="C12" s="147"/>
      <c r="D12" s="147"/>
      <c r="E12" s="194" t="str">
        <f>'CO INDIRECT ATT'!D12</f>
        <v>2022-26</v>
      </c>
      <c r="F12" s="194"/>
      <c r="G12" s="194"/>
      <c r="H12" s="194"/>
      <c r="I12" s="194"/>
      <c r="J12" s="194"/>
      <c r="K12" s="194"/>
      <c r="L12" s="194"/>
      <c r="M12" s="194"/>
      <c r="N12" s="194"/>
      <c r="O12" s="194"/>
    </row>
    <row r="13" spans="1:15" ht="36.75" customHeight="1" x14ac:dyDescent="0.25">
      <c r="A13" s="147" t="str">
        <f>'CO INDIRECT ATT'!A13:C13</f>
        <v>Total Number of Students</v>
      </c>
      <c r="B13" s="147"/>
      <c r="C13" s="147"/>
      <c r="D13" s="147"/>
      <c r="E13" s="194">
        <f>'CO INDIRECT ATT'!D13</f>
        <v>65</v>
      </c>
      <c r="F13" s="194"/>
      <c r="G13" s="194"/>
      <c r="H13" s="194"/>
      <c r="I13" s="194"/>
      <c r="J13" s="194"/>
      <c r="K13" s="194"/>
      <c r="L13" s="194"/>
      <c r="M13" s="194"/>
      <c r="N13" s="194"/>
      <c r="O13" s="194"/>
    </row>
    <row r="14" spans="1:15" ht="62.25" customHeight="1" x14ac:dyDescent="0.25">
      <c r="A14" s="256" t="s">
        <v>42</v>
      </c>
      <c r="B14" s="256"/>
      <c r="C14" s="256"/>
      <c r="D14" s="256"/>
      <c r="E14" s="256"/>
      <c r="F14" s="256"/>
      <c r="G14" s="256"/>
      <c r="H14" s="256"/>
      <c r="I14" s="256"/>
      <c r="J14" s="256"/>
      <c r="K14" s="256"/>
      <c r="L14" s="256"/>
      <c r="M14" s="256"/>
      <c r="N14" s="256"/>
      <c r="O14" s="267"/>
    </row>
    <row r="15" spans="1:15" ht="49.5" customHeight="1" x14ac:dyDescent="0.25">
      <c r="A15" s="217" t="s">
        <v>129</v>
      </c>
      <c r="B15" s="217"/>
      <c r="C15" s="217"/>
      <c r="D15" s="217"/>
      <c r="E15" s="252" t="s">
        <v>4</v>
      </c>
      <c r="F15" s="252"/>
      <c r="G15" s="252" t="s">
        <v>5</v>
      </c>
      <c r="H15" s="252"/>
      <c r="I15" s="252" t="s">
        <v>6</v>
      </c>
      <c r="J15" s="252"/>
      <c r="K15" s="252" t="s">
        <v>7</v>
      </c>
      <c r="L15" s="252"/>
      <c r="M15" s="252" t="s">
        <v>8</v>
      </c>
      <c r="N15" s="252"/>
      <c r="O15" s="105"/>
    </row>
    <row r="16" spans="1:15" ht="50.1" customHeight="1" x14ac:dyDescent="0.25">
      <c r="A16" s="217" t="s">
        <v>155</v>
      </c>
      <c r="B16" s="217"/>
      <c r="C16" s="217"/>
      <c r="D16" s="217"/>
      <c r="E16" s="251" t="str">
        <f>'CO DIRECT ATT'!E324</f>
        <v>3</v>
      </c>
      <c r="F16" s="251"/>
      <c r="G16" s="251" t="str">
        <f>'CO DIRECT ATT'!F324</f>
        <v>3</v>
      </c>
      <c r="H16" s="251"/>
      <c r="I16" s="251" t="str">
        <f>'CO DIRECT ATT'!G324</f>
        <v>3</v>
      </c>
      <c r="J16" s="251"/>
      <c r="K16" s="251" t="str">
        <f>'CO DIRECT ATT'!H324</f>
        <v>3</v>
      </c>
      <c r="L16" s="251"/>
      <c r="M16" s="251" t="str">
        <f>'CO DIRECT ATT'!I324</f>
        <v>3</v>
      </c>
      <c r="N16" s="251"/>
      <c r="O16" s="105"/>
    </row>
    <row r="17" spans="1:15" ht="50.1" customHeight="1" x14ac:dyDescent="0.25">
      <c r="A17" s="217" t="s">
        <v>122</v>
      </c>
      <c r="B17" s="217"/>
      <c r="C17" s="217"/>
      <c r="D17" s="217"/>
      <c r="E17" s="251" t="str">
        <f>'CO INDIRECT ATT'!E326</f>
        <v>3</v>
      </c>
      <c r="F17" s="251"/>
      <c r="G17" s="251" t="str">
        <f>'CO INDIRECT ATT'!F326</f>
        <v>3</v>
      </c>
      <c r="H17" s="251"/>
      <c r="I17" s="251" t="str">
        <f>'CO INDIRECT ATT'!G326</f>
        <v>3</v>
      </c>
      <c r="J17" s="251"/>
      <c r="K17" s="251" t="str">
        <f>'CO INDIRECT ATT'!H326</f>
        <v>3</v>
      </c>
      <c r="L17" s="251"/>
      <c r="M17" s="251" t="str">
        <f>'CO INDIRECT ATT'!I326</f>
        <v>3</v>
      </c>
      <c r="N17" s="251"/>
      <c r="O17" s="105"/>
    </row>
    <row r="18" spans="1:15" ht="50.1" customHeight="1" x14ac:dyDescent="0.25">
      <c r="A18" s="217" t="s">
        <v>50</v>
      </c>
      <c r="B18" s="217"/>
      <c r="C18" s="217"/>
      <c r="D18" s="217"/>
      <c r="E18" s="253">
        <f>(E16*0.8)</f>
        <v>2.4000000000000004</v>
      </c>
      <c r="F18" s="253"/>
      <c r="G18" s="253">
        <f>(G16*0.8)</f>
        <v>2.4000000000000004</v>
      </c>
      <c r="H18" s="253"/>
      <c r="I18" s="253">
        <f>(I16*0.8)</f>
        <v>2.4000000000000004</v>
      </c>
      <c r="J18" s="253"/>
      <c r="K18" s="253">
        <f>(K16*0.8)</f>
        <v>2.4000000000000004</v>
      </c>
      <c r="L18" s="253"/>
      <c r="M18" s="253">
        <f>(M16*0.8)</f>
        <v>2.4000000000000004</v>
      </c>
      <c r="N18" s="253"/>
      <c r="O18" s="105"/>
    </row>
    <row r="19" spans="1:15" ht="50.1" customHeight="1" x14ac:dyDescent="0.25">
      <c r="A19" s="217" t="s">
        <v>131</v>
      </c>
      <c r="B19" s="217"/>
      <c r="C19" s="217"/>
      <c r="D19" s="217"/>
      <c r="E19" s="253">
        <f>(E17*0.2)</f>
        <v>0.60000000000000009</v>
      </c>
      <c r="F19" s="253"/>
      <c r="G19" s="253">
        <f>(G17*0.2)</f>
        <v>0.60000000000000009</v>
      </c>
      <c r="H19" s="253"/>
      <c r="I19" s="253">
        <f>(I17*0.2)</f>
        <v>0.60000000000000009</v>
      </c>
      <c r="J19" s="253"/>
      <c r="K19" s="253">
        <f>(K17*0.2)</f>
        <v>0.60000000000000009</v>
      </c>
      <c r="L19" s="253"/>
      <c r="M19" s="253">
        <f>(M17*0.2)</f>
        <v>0.60000000000000009</v>
      </c>
      <c r="N19" s="253"/>
      <c r="O19" s="105"/>
    </row>
    <row r="20" spans="1:15" ht="50.1" customHeight="1" x14ac:dyDescent="0.25">
      <c r="A20" s="217" t="s">
        <v>130</v>
      </c>
      <c r="B20" s="217"/>
      <c r="C20" s="217"/>
      <c r="D20" s="217"/>
      <c r="E20" s="254">
        <f>E18+E19</f>
        <v>3.0000000000000004</v>
      </c>
      <c r="F20" s="254"/>
      <c r="G20" s="254">
        <f t="shared" ref="G20" si="0">G18+G19</f>
        <v>3.0000000000000004</v>
      </c>
      <c r="H20" s="254"/>
      <c r="I20" s="254">
        <f t="shared" ref="I20" si="1">I18+I19</f>
        <v>3.0000000000000004</v>
      </c>
      <c r="J20" s="254"/>
      <c r="K20" s="254">
        <f t="shared" ref="K20" si="2">K18+K19</f>
        <v>3.0000000000000004</v>
      </c>
      <c r="L20" s="254"/>
      <c r="M20" s="254">
        <f>M18+M19</f>
        <v>3.0000000000000004</v>
      </c>
      <c r="N20" s="254"/>
      <c r="O20" s="105"/>
    </row>
    <row r="21" spans="1:15" ht="50.1" customHeight="1" x14ac:dyDescent="0.25">
      <c r="A21" s="217" t="s">
        <v>132</v>
      </c>
      <c r="B21" s="217"/>
      <c r="C21" s="217"/>
      <c r="D21" s="217"/>
      <c r="E21" s="253">
        <f>CO_ATT_INPUTS!$D327</f>
        <v>2.0999999999999996</v>
      </c>
      <c r="F21" s="253"/>
      <c r="G21" s="253">
        <f>CO_ATT_INPUTS!$D327</f>
        <v>2.0999999999999996</v>
      </c>
      <c r="H21" s="253"/>
      <c r="I21" s="253">
        <f>CO_ATT_INPUTS!$D327</f>
        <v>2.0999999999999996</v>
      </c>
      <c r="J21" s="253"/>
      <c r="K21" s="253">
        <f>CO_ATT_INPUTS!$D327</f>
        <v>2.0999999999999996</v>
      </c>
      <c r="L21" s="253"/>
      <c r="M21" s="253">
        <f>CO_ATT_INPUTS!$D327</f>
        <v>2.0999999999999996</v>
      </c>
      <c r="N21" s="253"/>
      <c r="O21" s="105"/>
    </row>
    <row r="22" spans="1:15" ht="49.5" customHeight="1" x14ac:dyDescent="0.25">
      <c r="A22" s="217" t="s">
        <v>51</v>
      </c>
      <c r="B22" s="217"/>
      <c r="C22" s="217"/>
      <c r="D22" s="217"/>
      <c r="E22" s="255" t="str">
        <f>IF(E20&gt;=E21,"ATTAINED","NOT ATTAINED")</f>
        <v>ATTAINED</v>
      </c>
      <c r="F22" s="255"/>
      <c r="G22" s="255" t="str">
        <f t="shared" ref="G22" si="3">IF(G20&gt;=G21,"ATTAINED","NOT ATTAINED")</f>
        <v>ATTAINED</v>
      </c>
      <c r="H22" s="255"/>
      <c r="I22" s="255" t="str">
        <f t="shared" ref="I22" si="4">IF(I20&gt;=I21,"ATTAINED","NOT ATTAINED")</f>
        <v>ATTAINED</v>
      </c>
      <c r="J22" s="255"/>
      <c r="K22" s="255" t="str">
        <f t="shared" ref="K22" si="5">IF(K20&gt;=K21,"ATTAINED","NOT ATTAINED")</f>
        <v>ATTAINED</v>
      </c>
      <c r="L22" s="255"/>
      <c r="M22" s="255" t="str">
        <f>IF(M20&gt;=M21,"ATTAINED","NOT ATTAINED")</f>
        <v>ATTAINED</v>
      </c>
      <c r="N22" s="255"/>
      <c r="O22" s="105"/>
    </row>
    <row r="23" spans="1:15" ht="63" customHeight="1" x14ac:dyDescent="0.25">
      <c r="A23" s="149" t="s">
        <v>133</v>
      </c>
      <c r="B23" s="149"/>
      <c r="C23" s="149"/>
      <c r="D23" s="149"/>
      <c r="E23" s="149"/>
      <c r="F23" s="149"/>
      <c r="G23" s="149"/>
      <c r="H23" s="149"/>
      <c r="I23" s="149"/>
      <c r="J23" s="149"/>
      <c r="K23" s="149"/>
      <c r="L23" s="149"/>
      <c r="M23" s="149"/>
      <c r="N23" s="149"/>
      <c r="O23" s="149"/>
    </row>
    <row r="24" spans="1:15" ht="48" customHeight="1" x14ac:dyDescent="0.25">
      <c r="A24" s="38" t="s">
        <v>43</v>
      </c>
      <c r="B24" s="38" t="s">
        <v>16</v>
      </c>
      <c r="C24" s="38" t="s">
        <v>17</v>
      </c>
      <c r="D24" s="38" t="s">
        <v>18</v>
      </c>
      <c r="E24" s="38" t="s">
        <v>19</v>
      </c>
      <c r="F24" s="38" t="s">
        <v>20</v>
      </c>
      <c r="G24" s="38" t="s">
        <v>21</v>
      </c>
      <c r="H24" s="38" t="s">
        <v>22</v>
      </c>
      <c r="I24" s="38" t="s">
        <v>23</v>
      </c>
      <c r="J24" s="38" t="s">
        <v>24</v>
      </c>
      <c r="K24" s="38" t="s">
        <v>25</v>
      </c>
      <c r="L24" s="38" t="s">
        <v>26</v>
      </c>
      <c r="M24" s="38" t="s">
        <v>27</v>
      </c>
      <c r="N24" s="38" t="s">
        <v>28</v>
      </c>
      <c r="O24" s="38" t="s">
        <v>29</v>
      </c>
    </row>
    <row r="25" spans="1:15" ht="48" customHeight="1" x14ac:dyDescent="0.25">
      <c r="A25" s="17" t="s">
        <v>4</v>
      </c>
      <c r="B25" s="18" t="str">
        <f ca="1">'CO_PO MAPPING_PRINT'!B42</f>
        <v>3</v>
      </c>
      <c r="C25" s="18" t="str">
        <f ca="1">'CO_PO MAPPING_PRINT'!C42</f>
        <v>2</v>
      </c>
      <c r="D25" s="18" t="str">
        <f ca="1">'CO_PO MAPPING_PRINT'!D42</f>
        <v>-</v>
      </c>
      <c r="E25" s="18" t="str">
        <f ca="1">'CO_PO MAPPING_PRINT'!E42</f>
        <v>-</v>
      </c>
      <c r="F25" s="18" t="str">
        <f ca="1">'CO_PO MAPPING_PRINT'!F42</f>
        <v>-</v>
      </c>
      <c r="G25" s="18" t="str">
        <f ca="1">'CO_PO MAPPING_PRINT'!G42</f>
        <v>-</v>
      </c>
      <c r="H25" s="18" t="str">
        <f ca="1">'CO_PO MAPPING_PRINT'!H42</f>
        <v>-</v>
      </c>
      <c r="I25" s="18" t="str">
        <f ca="1">'CO_PO MAPPING_PRINT'!I42</f>
        <v>-</v>
      </c>
      <c r="J25" s="18" t="str">
        <f ca="1">'CO_PO MAPPING_PRINT'!J42</f>
        <v>-</v>
      </c>
      <c r="K25" s="18" t="str">
        <f ca="1">'CO_PO MAPPING_PRINT'!K42</f>
        <v>-</v>
      </c>
      <c r="L25" s="18" t="str">
        <f ca="1">'CO_PO MAPPING_PRINT'!L42</f>
        <v>-</v>
      </c>
      <c r="M25" s="18" t="str">
        <f ca="1">'CO_PO MAPPING_PRINT'!M42</f>
        <v>-</v>
      </c>
      <c r="N25" s="18" t="str">
        <f ca="1">'CO_PO MAPPING_PRINT'!N42</f>
        <v>-</v>
      </c>
      <c r="O25" s="18" t="str">
        <f ca="1">'CO_PO MAPPING_PRINT'!O42</f>
        <v>1</v>
      </c>
    </row>
    <row r="26" spans="1:15" ht="48" customHeight="1" x14ac:dyDescent="0.25">
      <c r="A26" s="17" t="s">
        <v>5</v>
      </c>
      <c r="B26" s="18" t="str">
        <f ca="1">'CO_PO MAPPING_PRINT'!B43</f>
        <v>3</v>
      </c>
      <c r="C26" s="18" t="str">
        <f ca="1">'CO_PO MAPPING_PRINT'!C43</f>
        <v>2</v>
      </c>
      <c r="D26" s="18" t="str">
        <f ca="1">'CO_PO MAPPING_PRINT'!D43</f>
        <v>1</v>
      </c>
      <c r="E26" s="18" t="str">
        <f ca="1">'CO_PO MAPPING_PRINT'!E43</f>
        <v>-</v>
      </c>
      <c r="F26" s="18" t="str">
        <f ca="1">'CO_PO MAPPING_PRINT'!F43</f>
        <v>-</v>
      </c>
      <c r="G26" s="18" t="str">
        <f ca="1">'CO_PO MAPPING_PRINT'!G43</f>
        <v>-</v>
      </c>
      <c r="H26" s="18" t="str">
        <f ca="1">'CO_PO MAPPING_PRINT'!H43</f>
        <v>-</v>
      </c>
      <c r="I26" s="18" t="str">
        <f ca="1">'CO_PO MAPPING_PRINT'!I43</f>
        <v>-</v>
      </c>
      <c r="J26" s="18" t="str">
        <f ca="1">'CO_PO MAPPING_PRINT'!J43</f>
        <v>-</v>
      </c>
      <c r="K26" s="18" t="str">
        <f ca="1">'CO_PO MAPPING_PRINT'!K43</f>
        <v>-</v>
      </c>
      <c r="L26" s="18" t="str">
        <f ca="1">'CO_PO MAPPING_PRINT'!L43</f>
        <v>-</v>
      </c>
      <c r="M26" s="18" t="str">
        <f ca="1">'CO_PO MAPPING_PRINT'!M43</f>
        <v>-</v>
      </c>
      <c r="N26" s="18" t="str">
        <f ca="1">'CO_PO MAPPING_PRINT'!N43</f>
        <v>-</v>
      </c>
      <c r="O26" s="18" t="str">
        <f ca="1">'CO_PO MAPPING_PRINT'!O43</f>
        <v>1</v>
      </c>
    </row>
    <row r="27" spans="1:15" ht="48" customHeight="1" x14ac:dyDescent="0.25">
      <c r="A27" s="17" t="s">
        <v>6</v>
      </c>
      <c r="B27" s="18" t="str">
        <f ca="1">'CO_PO MAPPING_PRINT'!B44</f>
        <v>3</v>
      </c>
      <c r="C27" s="18" t="str">
        <f ca="1">'CO_PO MAPPING_PRINT'!C44</f>
        <v>-</v>
      </c>
      <c r="D27" s="18" t="str">
        <f ca="1">'CO_PO MAPPING_PRINT'!D44</f>
        <v>2</v>
      </c>
      <c r="E27" s="18" t="str">
        <f ca="1">'CO_PO MAPPING_PRINT'!E44</f>
        <v>-</v>
      </c>
      <c r="F27" s="18" t="str">
        <f ca="1">'CO_PO MAPPING_PRINT'!F44</f>
        <v>-</v>
      </c>
      <c r="G27" s="18" t="str">
        <f ca="1">'CO_PO MAPPING_PRINT'!G44</f>
        <v>-</v>
      </c>
      <c r="H27" s="18" t="str">
        <f ca="1">'CO_PO MAPPING_PRINT'!H44</f>
        <v>-</v>
      </c>
      <c r="I27" s="18" t="str">
        <f ca="1">'CO_PO MAPPING_PRINT'!I44</f>
        <v>-</v>
      </c>
      <c r="J27" s="18" t="str">
        <f ca="1">'CO_PO MAPPING_PRINT'!J44</f>
        <v>-</v>
      </c>
      <c r="K27" s="18" t="str">
        <f ca="1">'CO_PO MAPPING_PRINT'!K44</f>
        <v>-</v>
      </c>
      <c r="L27" s="18" t="str">
        <f ca="1">'CO_PO MAPPING_PRINT'!L44</f>
        <v>-</v>
      </c>
      <c r="M27" s="18" t="str">
        <f ca="1">'CO_PO MAPPING_PRINT'!M44</f>
        <v>1</v>
      </c>
      <c r="N27" s="18" t="str">
        <f ca="1">'CO_PO MAPPING_PRINT'!N44</f>
        <v>-</v>
      </c>
      <c r="O27" s="18" t="str">
        <f ca="1">'CO_PO MAPPING_PRINT'!O44</f>
        <v>1</v>
      </c>
    </row>
    <row r="28" spans="1:15" ht="48" customHeight="1" x14ac:dyDescent="0.25">
      <c r="A28" s="17" t="s">
        <v>7</v>
      </c>
      <c r="B28" s="18" t="str">
        <f ca="1">'CO_PO MAPPING_PRINT'!B45</f>
        <v>-</v>
      </c>
      <c r="C28" s="18" t="str">
        <f ca="1">'CO_PO MAPPING_PRINT'!C45</f>
        <v>3</v>
      </c>
      <c r="D28" s="18" t="str">
        <f ca="1">'CO_PO MAPPING_PRINT'!D45</f>
        <v>-</v>
      </c>
      <c r="E28" s="18" t="str">
        <f ca="1">'CO_PO MAPPING_PRINT'!E45</f>
        <v>1</v>
      </c>
      <c r="F28" s="18" t="str">
        <f ca="1">'CO_PO MAPPING_PRINT'!F45</f>
        <v>-</v>
      </c>
      <c r="G28" s="18" t="str">
        <f ca="1">'CO_PO MAPPING_PRINT'!G45</f>
        <v>-</v>
      </c>
      <c r="H28" s="18" t="str">
        <f ca="1">'CO_PO MAPPING_PRINT'!H45</f>
        <v>-</v>
      </c>
      <c r="I28" s="18" t="str">
        <f ca="1">'CO_PO MAPPING_PRINT'!I45</f>
        <v>-</v>
      </c>
      <c r="J28" s="18" t="str">
        <f ca="1">'CO_PO MAPPING_PRINT'!J45</f>
        <v>-</v>
      </c>
      <c r="K28" s="18" t="str">
        <f ca="1">'CO_PO MAPPING_PRINT'!K45</f>
        <v>-</v>
      </c>
      <c r="L28" s="18" t="str">
        <f ca="1">'CO_PO MAPPING_PRINT'!L45</f>
        <v>-</v>
      </c>
      <c r="M28" s="18" t="str">
        <f ca="1">'CO_PO MAPPING_PRINT'!M45</f>
        <v>1</v>
      </c>
      <c r="N28" s="18" t="str">
        <f ca="1">'CO_PO MAPPING_PRINT'!N45</f>
        <v>1</v>
      </c>
      <c r="O28" s="18" t="str">
        <f ca="1">'CO_PO MAPPING_PRINT'!O45</f>
        <v>-</v>
      </c>
    </row>
    <row r="29" spans="1:15" ht="48" customHeight="1" x14ac:dyDescent="0.25">
      <c r="A29" s="17" t="s">
        <v>8</v>
      </c>
      <c r="B29" s="18" t="str">
        <f ca="1">'CO_PO MAPPING_PRINT'!B46</f>
        <v>-</v>
      </c>
      <c r="C29" s="18" t="str">
        <f ca="1">'CO_PO MAPPING_PRINT'!C46</f>
        <v>3</v>
      </c>
      <c r="D29" s="18" t="str">
        <f ca="1">'CO_PO MAPPING_PRINT'!D46</f>
        <v>1</v>
      </c>
      <c r="E29" s="18" t="str">
        <f ca="1">'CO_PO MAPPING_PRINT'!E46</f>
        <v>1</v>
      </c>
      <c r="F29" s="18" t="str">
        <f ca="1">'CO_PO MAPPING_PRINT'!F46</f>
        <v>-</v>
      </c>
      <c r="G29" s="18" t="str">
        <f ca="1">'CO_PO MAPPING_PRINT'!G46</f>
        <v>-</v>
      </c>
      <c r="H29" s="18" t="str">
        <f ca="1">'CO_PO MAPPING_PRINT'!H46</f>
        <v>-</v>
      </c>
      <c r="I29" s="18" t="str">
        <f ca="1">'CO_PO MAPPING_PRINT'!I46</f>
        <v>-</v>
      </c>
      <c r="J29" s="18" t="str">
        <f ca="1">'CO_PO MAPPING_PRINT'!J46</f>
        <v>-</v>
      </c>
      <c r="K29" s="18" t="str">
        <f ca="1">'CO_PO MAPPING_PRINT'!K46</f>
        <v>-</v>
      </c>
      <c r="L29" s="18" t="str">
        <f ca="1">'CO_PO MAPPING_PRINT'!L46</f>
        <v>-</v>
      </c>
      <c r="M29" s="18" t="str">
        <f ca="1">'CO_PO MAPPING_PRINT'!M46</f>
        <v>1</v>
      </c>
      <c r="N29" s="18" t="str">
        <f ca="1">'CO_PO MAPPING_PRINT'!N46</f>
        <v>1</v>
      </c>
      <c r="O29" s="18" t="str">
        <f ca="1">'CO_PO MAPPING_PRINT'!O46</f>
        <v>-</v>
      </c>
    </row>
    <row r="30" spans="1:15" ht="48" customHeight="1" x14ac:dyDescent="0.25">
      <c r="A30" s="39" t="s">
        <v>119</v>
      </c>
      <c r="B30" s="40">
        <f ca="1">'CO_PO MAPPING_PRINT'!B47</f>
        <v>3</v>
      </c>
      <c r="C30" s="40">
        <f ca="1">'CO_PO MAPPING_PRINT'!C47</f>
        <v>2.5</v>
      </c>
      <c r="D30" s="40">
        <f ca="1">'CO_PO MAPPING_PRINT'!D47</f>
        <v>1.3333333333333333</v>
      </c>
      <c r="E30" s="40">
        <f ca="1">'CO_PO MAPPING_PRINT'!E47</f>
        <v>1</v>
      </c>
      <c r="F30" s="40" t="str">
        <f ca="1">'CO_PO MAPPING_PRINT'!F47</f>
        <v>-</v>
      </c>
      <c r="G30" s="40" t="str">
        <f ca="1">'CO_PO MAPPING_PRINT'!G47</f>
        <v>-</v>
      </c>
      <c r="H30" s="40" t="str">
        <f ca="1">'CO_PO MAPPING_PRINT'!H47</f>
        <v>-</v>
      </c>
      <c r="I30" s="40" t="str">
        <f ca="1">'CO_PO MAPPING_PRINT'!I47</f>
        <v>-</v>
      </c>
      <c r="J30" s="40" t="str">
        <f ca="1">'CO_PO MAPPING_PRINT'!J47</f>
        <v>-</v>
      </c>
      <c r="K30" s="40" t="str">
        <f ca="1">'CO_PO MAPPING_PRINT'!K47</f>
        <v>-</v>
      </c>
      <c r="L30" s="40" t="str">
        <f ca="1">'CO_PO MAPPING_PRINT'!L47</f>
        <v>-</v>
      </c>
      <c r="M30" s="40">
        <f ca="1">'CO_PO MAPPING_PRINT'!M47</f>
        <v>1</v>
      </c>
      <c r="N30" s="40">
        <f ca="1">'CO_PO MAPPING_PRINT'!N47</f>
        <v>1</v>
      </c>
      <c r="O30" s="40">
        <f ca="1">'CO_PO MAPPING_PRINT'!O47</f>
        <v>1</v>
      </c>
    </row>
    <row r="31" spans="1:15" ht="62.25" customHeight="1" x14ac:dyDescent="0.25">
      <c r="A31" s="149" t="s">
        <v>44</v>
      </c>
      <c r="B31" s="149"/>
      <c r="C31" s="149"/>
      <c r="D31" s="149"/>
      <c r="E31" s="149"/>
      <c r="F31" s="149"/>
      <c r="G31" s="149"/>
      <c r="H31" s="149"/>
      <c r="I31" s="149"/>
      <c r="J31" s="149"/>
      <c r="K31" s="149"/>
      <c r="L31" s="149"/>
      <c r="M31" s="149"/>
      <c r="N31" s="149"/>
      <c r="O31" s="149"/>
    </row>
    <row r="32" spans="1:15" ht="44.25" customHeight="1" x14ac:dyDescent="0.25">
      <c r="A32" s="17" t="s">
        <v>157</v>
      </c>
      <c r="B32" s="38" t="s">
        <v>16</v>
      </c>
      <c r="C32" s="38" t="s">
        <v>17</v>
      </c>
      <c r="D32" s="38" t="s">
        <v>18</v>
      </c>
      <c r="E32" s="38" t="s">
        <v>19</v>
      </c>
      <c r="F32" s="38" t="s">
        <v>20</v>
      </c>
      <c r="G32" s="38" t="s">
        <v>21</v>
      </c>
      <c r="H32" s="38" t="s">
        <v>22</v>
      </c>
      <c r="I32" s="38" t="s">
        <v>23</v>
      </c>
      <c r="J32" s="38" t="s">
        <v>24</v>
      </c>
      <c r="K32" s="38" t="s">
        <v>25</v>
      </c>
      <c r="L32" s="38" t="s">
        <v>26</v>
      </c>
      <c r="M32" s="38" t="s">
        <v>27</v>
      </c>
      <c r="N32" s="38" t="s">
        <v>28</v>
      </c>
      <c r="O32" s="38" t="s">
        <v>29</v>
      </c>
    </row>
    <row r="33" spans="1:16" ht="50.25" customHeight="1" x14ac:dyDescent="0.25">
      <c r="A33" s="39" t="s">
        <v>119</v>
      </c>
      <c r="B33" s="94">
        <f ca="1">B30</f>
        <v>3</v>
      </c>
      <c r="C33" s="94">
        <f t="shared" ref="C33:O33" ca="1" si="6">C30</f>
        <v>2.5</v>
      </c>
      <c r="D33" s="94">
        <f t="shared" ca="1" si="6"/>
        <v>1.3333333333333333</v>
      </c>
      <c r="E33" s="94">
        <f t="shared" ca="1" si="6"/>
        <v>1</v>
      </c>
      <c r="F33" s="94" t="str">
        <f t="shared" ca="1" si="6"/>
        <v>-</v>
      </c>
      <c r="G33" s="94" t="str">
        <f t="shared" ca="1" si="6"/>
        <v>-</v>
      </c>
      <c r="H33" s="94">
        <v>2</v>
      </c>
      <c r="I33" s="94" t="str">
        <f t="shared" ca="1" si="6"/>
        <v>-</v>
      </c>
      <c r="J33" s="94" t="str">
        <f t="shared" ca="1" si="6"/>
        <v>-</v>
      </c>
      <c r="K33" s="94" t="str">
        <f t="shared" ca="1" si="6"/>
        <v>-</v>
      </c>
      <c r="L33" s="94" t="str">
        <f t="shared" ca="1" si="6"/>
        <v>-</v>
      </c>
      <c r="M33" s="94">
        <f t="shared" ca="1" si="6"/>
        <v>1</v>
      </c>
      <c r="N33" s="94">
        <f t="shared" ca="1" si="6"/>
        <v>1</v>
      </c>
      <c r="O33" s="94">
        <f t="shared" ca="1" si="6"/>
        <v>1</v>
      </c>
      <c r="P33" s="41"/>
    </row>
    <row r="34" spans="1:16" ht="14.25" hidden="1" customHeight="1" x14ac:dyDescent="0.25"/>
    <row r="35" spans="1:16" ht="14.25" hidden="1" customHeight="1" x14ac:dyDescent="0.25">
      <c r="B35" s="33">
        <f ca="1">COUNTIF(B42:B46, "=-")</f>
        <v>2</v>
      </c>
      <c r="C35" s="33">
        <f t="shared" ref="C35:O35" ca="1" si="7">COUNTIF(C42:C46, "=-")</f>
        <v>1</v>
      </c>
      <c r="D35" s="33">
        <f t="shared" ca="1" si="7"/>
        <v>2</v>
      </c>
      <c r="E35" s="33">
        <f t="shared" ca="1" si="7"/>
        <v>3</v>
      </c>
      <c r="F35" s="33">
        <f t="shared" ca="1" si="7"/>
        <v>5</v>
      </c>
      <c r="G35" s="33">
        <f t="shared" ca="1" si="7"/>
        <v>5</v>
      </c>
      <c r="H35" s="33">
        <f t="shared" ca="1" si="7"/>
        <v>5</v>
      </c>
      <c r="I35" s="33">
        <f t="shared" ca="1" si="7"/>
        <v>5</v>
      </c>
      <c r="J35" s="33">
        <f t="shared" ca="1" si="7"/>
        <v>5</v>
      </c>
      <c r="K35" s="33">
        <f t="shared" ca="1" si="7"/>
        <v>5</v>
      </c>
      <c r="L35" s="33">
        <f t="shared" ca="1" si="7"/>
        <v>5</v>
      </c>
      <c r="M35" s="33">
        <f t="shared" ca="1" si="7"/>
        <v>2</v>
      </c>
      <c r="N35" s="33">
        <f t="shared" ca="1" si="7"/>
        <v>3</v>
      </c>
      <c r="O35" s="33">
        <f t="shared" ca="1" si="7"/>
        <v>2</v>
      </c>
    </row>
    <row r="36" spans="1:16" ht="14.25" hidden="1" customHeight="1" x14ac:dyDescent="0.25">
      <c r="B36" s="33">
        <f ca="1">5-B35</f>
        <v>3</v>
      </c>
      <c r="C36" s="33">
        <f t="shared" ref="C36:O36" ca="1" si="8">5-C35</f>
        <v>4</v>
      </c>
      <c r="D36" s="33">
        <f t="shared" ca="1" si="8"/>
        <v>3</v>
      </c>
      <c r="E36" s="33">
        <f t="shared" ca="1" si="8"/>
        <v>2</v>
      </c>
      <c r="F36" s="33">
        <f t="shared" ca="1" si="8"/>
        <v>0</v>
      </c>
      <c r="G36" s="33">
        <f t="shared" ca="1" si="8"/>
        <v>0</v>
      </c>
      <c r="H36" s="33">
        <f t="shared" ca="1" si="8"/>
        <v>0</v>
      </c>
      <c r="I36" s="33">
        <f t="shared" ca="1" si="8"/>
        <v>0</v>
      </c>
      <c r="J36" s="33">
        <f t="shared" ca="1" si="8"/>
        <v>0</v>
      </c>
      <c r="K36" s="33">
        <f t="shared" ca="1" si="8"/>
        <v>0</v>
      </c>
      <c r="L36" s="33">
        <f t="shared" ca="1" si="8"/>
        <v>0</v>
      </c>
      <c r="M36" s="33">
        <f t="shared" ca="1" si="8"/>
        <v>3</v>
      </c>
      <c r="N36" s="33">
        <f t="shared" ca="1" si="8"/>
        <v>2</v>
      </c>
      <c r="O36" s="33">
        <f t="shared" ca="1" si="8"/>
        <v>3</v>
      </c>
    </row>
    <row r="37" spans="1:16" ht="14.25" hidden="1" customHeight="1" x14ac:dyDescent="0.25">
      <c r="B37" s="43">
        <f ca="1">SUM(B42:B46)</f>
        <v>9.0000000000000018</v>
      </c>
      <c r="C37" s="43">
        <f t="shared" ref="C37:O37" ca="1" si="9">SUM(C42:C46)</f>
        <v>10.000000000000002</v>
      </c>
      <c r="D37" s="43">
        <f t="shared" ca="1" si="9"/>
        <v>4.0000000000000009</v>
      </c>
      <c r="E37" s="43">
        <f t="shared" ca="1" si="9"/>
        <v>2.0000000000000004</v>
      </c>
      <c r="F37" s="43">
        <f t="shared" ca="1" si="9"/>
        <v>0</v>
      </c>
      <c r="G37" s="43">
        <f t="shared" ca="1" si="9"/>
        <v>0</v>
      </c>
      <c r="H37" s="43">
        <f t="shared" ca="1" si="9"/>
        <v>0</v>
      </c>
      <c r="I37" s="43">
        <f t="shared" ca="1" si="9"/>
        <v>0</v>
      </c>
      <c r="J37" s="43">
        <f t="shared" ca="1" si="9"/>
        <v>0</v>
      </c>
      <c r="K37" s="43">
        <f t="shared" ca="1" si="9"/>
        <v>0</v>
      </c>
      <c r="L37" s="43">
        <f t="shared" ca="1" si="9"/>
        <v>0</v>
      </c>
      <c r="M37" s="43">
        <f t="shared" ca="1" si="9"/>
        <v>3.0000000000000009</v>
      </c>
      <c r="N37" s="43">
        <f t="shared" ca="1" si="9"/>
        <v>2.0000000000000004</v>
      </c>
      <c r="O37" s="43">
        <f t="shared" ca="1" si="9"/>
        <v>3.0000000000000009</v>
      </c>
    </row>
    <row r="38" spans="1:16" ht="14.25" hidden="1" customHeight="1" x14ac:dyDescent="0.25">
      <c r="B38" s="43">
        <f ca="1">IF(B36=0,"-",B37/B36)</f>
        <v>3.0000000000000004</v>
      </c>
      <c r="C38" s="43">
        <f t="shared" ref="C38:O38" ca="1" si="10">IF(C36=0,"-",C37/C36)</f>
        <v>2.5000000000000004</v>
      </c>
      <c r="D38" s="43">
        <f t="shared" ca="1" si="10"/>
        <v>1.3333333333333337</v>
      </c>
      <c r="E38" s="43">
        <f t="shared" ca="1" si="10"/>
        <v>1.0000000000000002</v>
      </c>
      <c r="F38" s="43" t="str">
        <f t="shared" ca="1" si="10"/>
        <v>-</v>
      </c>
      <c r="G38" s="43" t="str">
        <f t="shared" ca="1" si="10"/>
        <v>-</v>
      </c>
      <c r="H38" s="43" t="str">
        <f t="shared" ca="1" si="10"/>
        <v>-</v>
      </c>
      <c r="I38" s="43" t="str">
        <f t="shared" ca="1" si="10"/>
        <v>-</v>
      </c>
      <c r="J38" s="43" t="str">
        <f t="shared" ca="1" si="10"/>
        <v>-</v>
      </c>
      <c r="K38" s="43" t="str">
        <f t="shared" ca="1" si="10"/>
        <v>-</v>
      </c>
      <c r="L38" s="43" t="str">
        <f t="shared" ca="1" si="10"/>
        <v>-</v>
      </c>
      <c r="M38" s="43">
        <f t="shared" ca="1" si="10"/>
        <v>1.0000000000000002</v>
      </c>
      <c r="N38" s="43">
        <f t="shared" ca="1" si="10"/>
        <v>1.0000000000000002</v>
      </c>
      <c r="O38" s="43">
        <f t="shared" ca="1" si="10"/>
        <v>1.0000000000000002</v>
      </c>
    </row>
    <row r="39" spans="1:16" ht="14.25" hidden="1" customHeight="1" x14ac:dyDescent="0.25">
      <c r="B39" s="43"/>
      <c r="C39" s="43"/>
      <c r="D39" s="43"/>
      <c r="E39" s="43"/>
      <c r="F39" s="43"/>
      <c r="G39" s="43"/>
      <c r="H39" s="43"/>
      <c r="I39" s="43"/>
      <c r="J39" s="43"/>
      <c r="K39" s="43"/>
      <c r="L39" s="43"/>
      <c r="M39" s="43"/>
      <c r="N39" s="43"/>
      <c r="O39" s="43"/>
    </row>
    <row r="40" spans="1:16" ht="35.1" customHeight="1" x14ac:dyDescent="0.25">
      <c r="A40" s="149" t="s">
        <v>134</v>
      </c>
      <c r="B40" s="149"/>
      <c r="C40" s="149"/>
      <c r="D40" s="149"/>
      <c r="E40" s="149"/>
      <c r="F40" s="149"/>
      <c r="G40" s="149"/>
      <c r="H40" s="149"/>
      <c r="I40" s="149"/>
      <c r="J40" s="149"/>
      <c r="K40" s="149"/>
      <c r="L40" s="149"/>
      <c r="M40" s="149"/>
      <c r="N40" s="149"/>
      <c r="O40" s="149"/>
    </row>
    <row r="41" spans="1:16" ht="46.5" customHeight="1" x14ac:dyDescent="0.25">
      <c r="A41" s="38" t="s">
        <v>43</v>
      </c>
      <c r="B41" s="38" t="s">
        <v>16</v>
      </c>
      <c r="C41" s="38" t="s">
        <v>17</v>
      </c>
      <c r="D41" s="38" t="s">
        <v>18</v>
      </c>
      <c r="E41" s="38" t="s">
        <v>19</v>
      </c>
      <c r="F41" s="38" t="s">
        <v>20</v>
      </c>
      <c r="G41" s="38" t="s">
        <v>21</v>
      </c>
      <c r="H41" s="38" t="s">
        <v>22</v>
      </c>
      <c r="I41" s="38" t="s">
        <v>23</v>
      </c>
      <c r="J41" s="38" t="s">
        <v>24</v>
      </c>
      <c r="K41" s="38" t="s">
        <v>25</v>
      </c>
      <c r="L41" s="38" t="s">
        <v>26</v>
      </c>
      <c r="M41" s="38" t="s">
        <v>27</v>
      </c>
      <c r="N41" s="38" t="s">
        <v>28</v>
      </c>
      <c r="O41" s="38" t="s">
        <v>29</v>
      </c>
    </row>
    <row r="42" spans="1:16" ht="46.5" customHeight="1" x14ac:dyDescent="0.25">
      <c r="A42" s="17" t="s">
        <v>4</v>
      </c>
      <c r="B42" s="42">
        <f ca="1">IF(B25="-","-", B25*$E$20/3)</f>
        <v>3.0000000000000004</v>
      </c>
      <c r="C42" s="42">
        <f t="shared" ref="C42:O42" ca="1" si="11">IF(C25="-","-", C25*$E$20/3)</f>
        <v>2.0000000000000004</v>
      </c>
      <c r="D42" s="42" t="str">
        <f t="shared" ca="1" si="11"/>
        <v>-</v>
      </c>
      <c r="E42" s="42" t="str">
        <f t="shared" ca="1" si="11"/>
        <v>-</v>
      </c>
      <c r="F42" s="42" t="str">
        <f t="shared" ca="1" si="11"/>
        <v>-</v>
      </c>
      <c r="G42" s="42" t="str">
        <f t="shared" ca="1" si="11"/>
        <v>-</v>
      </c>
      <c r="H42" s="42" t="str">
        <f t="shared" ca="1" si="11"/>
        <v>-</v>
      </c>
      <c r="I42" s="42" t="str">
        <f t="shared" ca="1" si="11"/>
        <v>-</v>
      </c>
      <c r="J42" s="42" t="str">
        <f t="shared" ca="1" si="11"/>
        <v>-</v>
      </c>
      <c r="K42" s="42" t="str">
        <f t="shared" ca="1" si="11"/>
        <v>-</v>
      </c>
      <c r="L42" s="42" t="str">
        <f t="shared" ca="1" si="11"/>
        <v>-</v>
      </c>
      <c r="M42" s="42" t="str">
        <f t="shared" ca="1" si="11"/>
        <v>-</v>
      </c>
      <c r="N42" s="42" t="str">
        <f t="shared" ca="1" si="11"/>
        <v>-</v>
      </c>
      <c r="O42" s="42">
        <f t="shared" ca="1" si="11"/>
        <v>1.0000000000000002</v>
      </c>
    </row>
    <row r="43" spans="1:16" ht="46.5" customHeight="1" x14ac:dyDescent="0.25">
      <c r="A43" s="17" t="s">
        <v>5</v>
      </c>
      <c r="B43" s="42">
        <f ca="1">IF(B26="-","-", B26*$G$20/3)</f>
        <v>3.0000000000000004</v>
      </c>
      <c r="C43" s="42">
        <f t="shared" ref="C43:O43" ca="1" si="12">IF(C26="-","-", C26*$G$20/3)</f>
        <v>2.0000000000000004</v>
      </c>
      <c r="D43" s="42">
        <f t="shared" ca="1" si="12"/>
        <v>1.0000000000000002</v>
      </c>
      <c r="E43" s="42" t="str">
        <f t="shared" ca="1" si="12"/>
        <v>-</v>
      </c>
      <c r="F43" s="42" t="str">
        <f t="shared" ca="1" si="12"/>
        <v>-</v>
      </c>
      <c r="G43" s="42" t="str">
        <f t="shared" ca="1" si="12"/>
        <v>-</v>
      </c>
      <c r="H43" s="42" t="str">
        <f t="shared" ca="1" si="12"/>
        <v>-</v>
      </c>
      <c r="I43" s="42" t="str">
        <f t="shared" ca="1" si="12"/>
        <v>-</v>
      </c>
      <c r="J43" s="42" t="str">
        <f t="shared" ca="1" si="12"/>
        <v>-</v>
      </c>
      <c r="K43" s="42" t="str">
        <f t="shared" ca="1" si="12"/>
        <v>-</v>
      </c>
      <c r="L43" s="42" t="str">
        <f t="shared" ca="1" si="12"/>
        <v>-</v>
      </c>
      <c r="M43" s="42" t="str">
        <f t="shared" ca="1" si="12"/>
        <v>-</v>
      </c>
      <c r="N43" s="42" t="str">
        <f t="shared" ca="1" si="12"/>
        <v>-</v>
      </c>
      <c r="O43" s="42">
        <f t="shared" ca="1" si="12"/>
        <v>1.0000000000000002</v>
      </c>
    </row>
    <row r="44" spans="1:16" ht="46.5" customHeight="1" x14ac:dyDescent="0.25">
      <c r="A44" s="17" t="s">
        <v>6</v>
      </c>
      <c r="B44" s="42">
        <f ca="1">IF(B27="-","-", B27*$I$20/3)</f>
        <v>3.0000000000000004</v>
      </c>
      <c r="C44" s="42" t="str">
        <f t="shared" ref="C44:O44" ca="1" si="13">IF(C27="-","-", C27*$I$20/3)</f>
        <v>-</v>
      </c>
      <c r="D44" s="42">
        <f t="shared" ca="1" si="13"/>
        <v>2.0000000000000004</v>
      </c>
      <c r="E44" s="42" t="str">
        <f t="shared" ca="1" si="13"/>
        <v>-</v>
      </c>
      <c r="F44" s="42" t="str">
        <f t="shared" ca="1" si="13"/>
        <v>-</v>
      </c>
      <c r="G44" s="42" t="str">
        <f t="shared" ca="1" si="13"/>
        <v>-</v>
      </c>
      <c r="H44" s="42" t="str">
        <f t="shared" ca="1" si="13"/>
        <v>-</v>
      </c>
      <c r="I44" s="42" t="str">
        <f t="shared" ca="1" si="13"/>
        <v>-</v>
      </c>
      <c r="J44" s="42" t="str">
        <f t="shared" ca="1" si="13"/>
        <v>-</v>
      </c>
      <c r="K44" s="42" t="str">
        <f t="shared" ca="1" si="13"/>
        <v>-</v>
      </c>
      <c r="L44" s="42" t="str">
        <f t="shared" ca="1" si="13"/>
        <v>-</v>
      </c>
      <c r="M44" s="42">
        <f t="shared" ca="1" si="13"/>
        <v>1.0000000000000002</v>
      </c>
      <c r="N44" s="42" t="str">
        <f t="shared" ca="1" si="13"/>
        <v>-</v>
      </c>
      <c r="O44" s="42">
        <f t="shared" ca="1" si="13"/>
        <v>1.0000000000000002</v>
      </c>
    </row>
    <row r="45" spans="1:16" ht="46.5" customHeight="1" x14ac:dyDescent="0.25">
      <c r="A45" s="17" t="s">
        <v>7</v>
      </c>
      <c r="B45" s="42" t="str">
        <f ca="1">IF(B28="-","-", B28*$K$20/3)</f>
        <v>-</v>
      </c>
      <c r="C45" s="42">
        <f t="shared" ref="C45:O45" ca="1" si="14">IF(C28="-","-", C28*$K$20/3)</f>
        <v>3.0000000000000004</v>
      </c>
      <c r="D45" s="42" t="str">
        <f t="shared" ca="1" si="14"/>
        <v>-</v>
      </c>
      <c r="E45" s="42">
        <f t="shared" ca="1" si="14"/>
        <v>1.0000000000000002</v>
      </c>
      <c r="F45" s="42" t="str">
        <f t="shared" ca="1" si="14"/>
        <v>-</v>
      </c>
      <c r="G45" s="42" t="str">
        <f t="shared" ca="1" si="14"/>
        <v>-</v>
      </c>
      <c r="H45" s="42" t="str">
        <f t="shared" ca="1" si="14"/>
        <v>-</v>
      </c>
      <c r="I45" s="42" t="str">
        <f t="shared" ca="1" si="14"/>
        <v>-</v>
      </c>
      <c r="J45" s="42" t="str">
        <f t="shared" ca="1" si="14"/>
        <v>-</v>
      </c>
      <c r="K45" s="42" t="str">
        <f t="shared" ca="1" si="14"/>
        <v>-</v>
      </c>
      <c r="L45" s="42" t="str">
        <f t="shared" ca="1" si="14"/>
        <v>-</v>
      </c>
      <c r="M45" s="42">
        <f t="shared" ca="1" si="14"/>
        <v>1.0000000000000002</v>
      </c>
      <c r="N45" s="42">
        <f t="shared" ca="1" si="14"/>
        <v>1.0000000000000002</v>
      </c>
      <c r="O45" s="42" t="str">
        <f t="shared" ca="1" si="14"/>
        <v>-</v>
      </c>
    </row>
    <row r="46" spans="1:16" ht="46.5" customHeight="1" x14ac:dyDescent="0.25">
      <c r="A46" s="17" t="s">
        <v>8</v>
      </c>
      <c r="B46" s="42" t="str">
        <f t="shared" ref="B46:O46" ca="1" si="15">IF(B29="-","-", B29*$M$20/3)</f>
        <v>-</v>
      </c>
      <c r="C46" s="42">
        <f t="shared" ca="1" si="15"/>
        <v>3.0000000000000004</v>
      </c>
      <c r="D46" s="42">
        <f t="shared" ca="1" si="15"/>
        <v>1.0000000000000002</v>
      </c>
      <c r="E46" s="42">
        <f t="shared" ca="1" si="15"/>
        <v>1.0000000000000002</v>
      </c>
      <c r="F46" s="42" t="str">
        <f t="shared" ca="1" si="15"/>
        <v>-</v>
      </c>
      <c r="G46" s="42" t="str">
        <f t="shared" ca="1" si="15"/>
        <v>-</v>
      </c>
      <c r="H46" s="42" t="str">
        <f t="shared" ca="1" si="15"/>
        <v>-</v>
      </c>
      <c r="I46" s="42" t="str">
        <f t="shared" ca="1" si="15"/>
        <v>-</v>
      </c>
      <c r="J46" s="42" t="str">
        <f t="shared" ca="1" si="15"/>
        <v>-</v>
      </c>
      <c r="K46" s="42" t="str">
        <f t="shared" ca="1" si="15"/>
        <v>-</v>
      </c>
      <c r="L46" s="42" t="str">
        <f t="shared" ca="1" si="15"/>
        <v>-</v>
      </c>
      <c r="M46" s="42">
        <f t="shared" ca="1" si="15"/>
        <v>1.0000000000000002</v>
      </c>
      <c r="N46" s="42">
        <f t="shared" ca="1" si="15"/>
        <v>1.0000000000000002</v>
      </c>
      <c r="O46" s="42" t="str">
        <f t="shared" ca="1" si="15"/>
        <v>-</v>
      </c>
    </row>
    <row r="47" spans="1:16" ht="46.5" customHeight="1" x14ac:dyDescent="0.25">
      <c r="A47" s="17" t="s">
        <v>119</v>
      </c>
      <c r="B47" s="95">
        <f t="shared" ref="B47:O47" ca="1" si="16">IF(B30="-","-",B38)</f>
        <v>3.0000000000000004</v>
      </c>
      <c r="C47" s="95">
        <f t="shared" ca="1" si="16"/>
        <v>2.5000000000000004</v>
      </c>
      <c r="D47" s="95">
        <f t="shared" ca="1" si="16"/>
        <v>1.3333333333333337</v>
      </c>
      <c r="E47" s="95">
        <f t="shared" ca="1" si="16"/>
        <v>1.0000000000000002</v>
      </c>
      <c r="F47" s="95" t="str">
        <f t="shared" ca="1" si="16"/>
        <v>-</v>
      </c>
      <c r="G47" s="95" t="str">
        <f t="shared" ca="1" si="16"/>
        <v>-</v>
      </c>
      <c r="H47" s="95" t="str">
        <f t="shared" ca="1" si="16"/>
        <v>-</v>
      </c>
      <c r="I47" s="95" t="str">
        <f t="shared" ca="1" si="16"/>
        <v>-</v>
      </c>
      <c r="J47" s="95" t="str">
        <f t="shared" ca="1" si="16"/>
        <v>-</v>
      </c>
      <c r="K47" s="95" t="str">
        <f t="shared" ca="1" si="16"/>
        <v>-</v>
      </c>
      <c r="L47" s="95" t="str">
        <f t="shared" ca="1" si="16"/>
        <v>-</v>
      </c>
      <c r="M47" s="95">
        <f t="shared" ca="1" si="16"/>
        <v>1.0000000000000002</v>
      </c>
      <c r="N47" s="95">
        <f t="shared" ca="1" si="16"/>
        <v>1.0000000000000002</v>
      </c>
      <c r="O47" s="95">
        <f t="shared" ca="1" si="16"/>
        <v>1.0000000000000002</v>
      </c>
    </row>
    <row r="48" spans="1:16" ht="46.5" customHeight="1" x14ac:dyDescent="0.25">
      <c r="A48" s="149" t="s">
        <v>135</v>
      </c>
      <c r="B48" s="149"/>
      <c r="C48" s="149"/>
      <c r="D48" s="149"/>
      <c r="E48" s="149"/>
      <c r="F48" s="149"/>
      <c r="G48" s="149"/>
      <c r="H48" s="149"/>
      <c r="I48" s="149"/>
      <c r="J48" s="149"/>
      <c r="K48" s="149"/>
      <c r="L48" s="149"/>
      <c r="M48" s="149"/>
      <c r="N48" s="149"/>
      <c r="O48" s="149"/>
    </row>
    <row r="49" spans="1:15" s="21" customFormat="1" ht="46.5" customHeight="1" x14ac:dyDescent="0.25">
      <c r="A49" s="17" t="s">
        <v>157</v>
      </c>
      <c r="B49" s="38" t="s">
        <v>16</v>
      </c>
      <c r="C49" s="38" t="s">
        <v>17</v>
      </c>
      <c r="D49" s="38" t="s">
        <v>18</v>
      </c>
      <c r="E49" s="38" t="s">
        <v>19</v>
      </c>
      <c r="F49" s="38" t="s">
        <v>20</v>
      </c>
      <c r="G49" s="38" t="s">
        <v>21</v>
      </c>
      <c r="H49" s="38" t="s">
        <v>22</v>
      </c>
      <c r="I49" s="38" t="s">
        <v>23</v>
      </c>
      <c r="J49" s="38" t="s">
        <v>24</v>
      </c>
      <c r="K49" s="38" t="s">
        <v>25</v>
      </c>
      <c r="L49" s="38" t="s">
        <v>26</v>
      </c>
      <c r="M49" s="38" t="s">
        <v>27</v>
      </c>
      <c r="N49" s="38" t="s">
        <v>28</v>
      </c>
      <c r="O49" s="38" t="s">
        <v>29</v>
      </c>
    </row>
    <row r="50" spans="1:15" s="21" customFormat="1" ht="46.5" customHeight="1" x14ac:dyDescent="0.25">
      <c r="A50" s="17" t="s">
        <v>163</v>
      </c>
      <c r="B50" s="42">
        <f ca="1">B47</f>
        <v>3.0000000000000004</v>
      </c>
      <c r="C50" s="42">
        <f t="shared" ref="C50:O50" ca="1" si="17">C47</f>
        <v>2.5000000000000004</v>
      </c>
      <c r="D50" s="42">
        <f t="shared" ca="1" si="17"/>
        <v>1.3333333333333337</v>
      </c>
      <c r="E50" s="42">
        <f t="shared" ca="1" si="17"/>
        <v>1.0000000000000002</v>
      </c>
      <c r="F50" s="42" t="str">
        <f t="shared" ca="1" si="17"/>
        <v>-</v>
      </c>
      <c r="G50" s="42" t="str">
        <f t="shared" ca="1" si="17"/>
        <v>-</v>
      </c>
      <c r="H50" s="42" t="str">
        <f t="shared" ca="1" si="17"/>
        <v>-</v>
      </c>
      <c r="I50" s="42" t="str">
        <f t="shared" ca="1" si="17"/>
        <v>-</v>
      </c>
      <c r="J50" s="42" t="str">
        <f t="shared" ca="1" si="17"/>
        <v>-</v>
      </c>
      <c r="K50" s="42" t="str">
        <f t="shared" ca="1" si="17"/>
        <v>-</v>
      </c>
      <c r="L50" s="42" t="str">
        <f t="shared" ca="1" si="17"/>
        <v>-</v>
      </c>
      <c r="M50" s="42">
        <f t="shared" ca="1" si="17"/>
        <v>1.0000000000000002</v>
      </c>
      <c r="N50" s="42">
        <f t="shared" ca="1" si="17"/>
        <v>1.0000000000000002</v>
      </c>
      <c r="O50" s="42">
        <f t="shared" ca="1" si="17"/>
        <v>1.0000000000000002</v>
      </c>
    </row>
    <row r="52" spans="1:15" ht="38.25" customHeight="1" x14ac:dyDescent="0.25">
      <c r="A52" s="145" t="s">
        <v>151</v>
      </c>
      <c r="B52" s="145"/>
      <c r="C52" s="145"/>
      <c r="D52" s="145"/>
      <c r="E52" s="145"/>
      <c r="F52" s="145"/>
      <c r="G52" s="145"/>
      <c r="H52" s="145"/>
      <c r="I52" s="145"/>
      <c r="J52" s="145"/>
      <c r="K52" s="145"/>
      <c r="L52" s="145"/>
      <c r="M52" s="145"/>
      <c r="N52" s="145"/>
      <c r="O52" s="145"/>
    </row>
    <row r="54" spans="1:15" ht="75" customHeight="1" x14ac:dyDescent="0.25">
      <c r="A54" s="38" t="s">
        <v>137</v>
      </c>
      <c r="B54" s="38" t="s">
        <v>138</v>
      </c>
      <c r="C54" s="217" t="s">
        <v>139</v>
      </c>
      <c r="D54" s="217"/>
      <c r="E54" s="218" t="s">
        <v>140</v>
      </c>
      <c r="F54" s="219"/>
      <c r="G54" s="219"/>
      <c r="H54" s="219"/>
      <c r="I54" s="219"/>
      <c r="J54" s="219"/>
      <c r="K54" s="219"/>
      <c r="L54" s="219"/>
      <c r="M54" s="219"/>
      <c r="N54" s="219"/>
      <c r="O54" s="220"/>
    </row>
    <row r="55" spans="1:15" ht="150" customHeight="1" x14ac:dyDescent="0.25">
      <c r="A55" s="17" t="s">
        <v>4</v>
      </c>
      <c r="B55" s="264">
        <f>E21</f>
        <v>2.0999999999999996</v>
      </c>
      <c r="C55" s="254">
        <f>E20</f>
        <v>3.0000000000000004</v>
      </c>
      <c r="D55" s="260"/>
      <c r="E55" s="261" t="str">
        <f>IF(C55&lt;B55,"","No action needed")</f>
        <v>No action needed</v>
      </c>
      <c r="F55" s="262"/>
      <c r="G55" s="262"/>
      <c r="H55" s="262"/>
      <c r="I55" s="262"/>
      <c r="J55" s="262"/>
      <c r="K55" s="262"/>
      <c r="L55" s="262"/>
      <c r="M55" s="262"/>
      <c r="N55" s="262"/>
      <c r="O55" s="263"/>
    </row>
    <row r="56" spans="1:15" ht="150" customHeight="1" x14ac:dyDescent="0.25">
      <c r="A56" s="17" t="s">
        <v>5</v>
      </c>
      <c r="B56" s="265"/>
      <c r="C56" s="254">
        <f>G20</f>
        <v>3.0000000000000004</v>
      </c>
      <c r="D56" s="260"/>
      <c r="E56" s="261" t="str">
        <f>IF(C56&lt;B55,"","No action needed")</f>
        <v>No action needed</v>
      </c>
      <c r="F56" s="262"/>
      <c r="G56" s="262"/>
      <c r="H56" s="262"/>
      <c r="I56" s="262"/>
      <c r="J56" s="262"/>
      <c r="K56" s="262"/>
      <c r="L56" s="262"/>
      <c r="M56" s="262"/>
      <c r="N56" s="262"/>
      <c r="O56" s="263"/>
    </row>
    <row r="57" spans="1:15" ht="150" customHeight="1" x14ac:dyDescent="0.25">
      <c r="A57" s="17" t="s">
        <v>6</v>
      </c>
      <c r="B57" s="265"/>
      <c r="C57" s="254">
        <f>I20</f>
        <v>3.0000000000000004</v>
      </c>
      <c r="D57" s="260"/>
      <c r="E57" s="261" t="str">
        <f>IF(C57&lt;B55,"","No action needed")</f>
        <v>No action needed</v>
      </c>
      <c r="F57" s="262"/>
      <c r="G57" s="262"/>
      <c r="H57" s="262"/>
      <c r="I57" s="262"/>
      <c r="J57" s="262"/>
      <c r="K57" s="262"/>
      <c r="L57" s="262"/>
      <c r="M57" s="262"/>
      <c r="N57" s="262"/>
      <c r="O57" s="263"/>
    </row>
    <row r="58" spans="1:15" ht="150" customHeight="1" x14ac:dyDescent="0.25">
      <c r="A58" s="17" t="s">
        <v>7</v>
      </c>
      <c r="B58" s="265"/>
      <c r="C58" s="254">
        <f>K20</f>
        <v>3.0000000000000004</v>
      </c>
      <c r="D58" s="260"/>
      <c r="E58" s="261" t="str">
        <f>IF(C58&lt;B55,"","No action needed")</f>
        <v>No action needed</v>
      </c>
      <c r="F58" s="262"/>
      <c r="G58" s="262"/>
      <c r="H58" s="262"/>
      <c r="I58" s="262"/>
      <c r="J58" s="262"/>
      <c r="K58" s="262"/>
      <c r="L58" s="262"/>
      <c r="M58" s="262"/>
      <c r="N58" s="262"/>
      <c r="O58" s="263"/>
    </row>
    <row r="59" spans="1:15" ht="150" customHeight="1" x14ac:dyDescent="0.25">
      <c r="A59" s="17" t="s">
        <v>8</v>
      </c>
      <c r="B59" s="266"/>
      <c r="C59" s="254">
        <f>M20</f>
        <v>3.0000000000000004</v>
      </c>
      <c r="D59" s="260"/>
      <c r="E59" s="261" t="str">
        <f>IF(C59&lt;B55,"","No action needed")</f>
        <v>No action needed</v>
      </c>
      <c r="F59" s="262"/>
      <c r="G59" s="262"/>
      <c r="H59" s="262"/>
      <c r="I59" s="262"/>
      <c r="J59" s="262"/>
      <c r="K59" s="262"/>
      <c r="L59" s="262"/>
      <c r="M59" s="262"/>
      <c r="N59" s="262"/>
      <c r="O59" s="263"/>
    </row>
    <row r="60" spans="1:15" ht="27" customHeight="1" x14ac:dyDescent="0.25"/>
    <row r="61" spans="1:15" ht="96" customHeight="1" x14ac:dyDescent="0.25">
      <c r="A61" s="257"/>
      <c r="B61" s="258"/>
      <c r="C61" s="258"/>
      <c r="D61" s="259"/>
      <c r="E61" s="257"/>
      <c r="F61" s="258"/>
      <c r="G61" s="258"/>
      <c r="H61" s="258"/>
      <c r="I61" s="259"/>
      <c r="J61" s="257"/>
      <c r="K61" s="258"/>
      <c r="L61" s="258"/>
      <c r="M61" s="258"/>
      <c r="N61" s="258"/>
      <c r="O61" s="259"/>
    </row>
    <row r="62" spans="1:15" ht="75.75" customHeight="1" x14ac:dyDescent="0.25">
      <c r="A62" s="165" t="s">
        <v>45</v>
      </c>
      <c r="B62" s="256"/>
      <c r="C62" s="256"/>
      <c r="D62" s="166"/>
      <c r="E62" s="165" t="s">
        <v>136</v>
      </c>
      <c r="F62" s="256"/>
      <c r="G62" s="256"/>
      <c r="H62" s="256"/>
      <c r="I62" s="166"/>
      <c r="J62" s="165" t="s">
        <v>46</v>
      </c>
      <c r="K62" s="256"/>
      <c r="L62" s="256"/>
      <c r="M62" s="256"/>
      <c r="N62" s="256"/>
      <c r="O62" s="166"/>
    </row>
  </sheetData>
  <sheetProtection formatRows="0"/>
  <protectedRanges>
    <protectedRange sqref="E55:O59" name="Range1"/>
  </protectedRanges>
  <mergeCells count="96">
    <mergeCell ref="A21:D21"/>
    <mergeCell ref="K19:L19"/>
    <mergeCell ref="K22:L22"/>
    <mergeCell ref="K20:L20"/>
    <mergeCell ref="K21:L21"/>
    <mergeCell ref="I21:J21"/>
    <mergeCell ref="A22:D22"/>
    <mergeCell ref="K18:L18"/>
    <mergeCell ref="I20:J20"/>
    <mergeCell ref="E20:F20"/>
    <mergeCell ref="E21:F21"/>
    <mergeCell ref="G20:H20"/>
    <mergeCell ref="G21:H21"/>
    <mergeCell ref="A10:D10"/>
    <mergeCell ref="A11:D11"/>
    <mergeCell ref="A12:D12"/>
    <mergeCell ref="A13:D13"/>
    <mergeCell ref="A14:O14"/>
    <mergeCell ref="E10:O10"/>
    <mergeCell ref="E11:O11"/>
    <mergeCell ref="E12:O12"/>
    <mergeCell ref="E13:O13"/>
    <mergeCell ref="A6:D6"/>
    <mergeCell ref="A9:D9"/>
    <mergeCell ref="E9:O9"/>
    <mergeCell ref="A1:O1"/>
    <mergeCell ref="A2:O2"/>
    <mergeCell ref="A3:O3"/>
    <mergeCell ref="E4:O4"/>
    <mergeCell ref="E5:O5"/>
    <mergeCell ref="A5:D5"/>
    <mergeCell ref="A4:D4"/>
    <mergeCell ref="A7:D7"/>
    <mergeCell ref="A8:D8"/>
    <mergeCell ref="E6:O6"/>
    <mergeCell ref="E7:O7"/>
    <mergeCell ref="E8:O8"/>
    <mergeCell ref="B55:B59"/>
    <mergeCell ref="E56:O56"/>
    <mergeCell ref="E57:O57"/>
    <mergeCell ref="G15:H15"/>
    <mergeCell ref="G16:H16"/>
    <mergeCell ref="E19:F19"/>
    <mergeCell ref="G17:H17"/>
    <mergeCell ref="G18:H18"/>
    <mergeCell ref="E15:F15"/>
    <mergeCell ref="A19:D19"/>
    <mergeCell ref="I19:J19"/>
    <mergeCell ref="A15:D15"/>
    <mergeCell ref="A16:D16"/>
    <mergeCell ref="A17:D17"/>
    <mergeCell ref="A48:O48"/>
    <mergeCell ref="A52:O52"/>
    <mergeCell ref="J62:O62"/>
    <mergeCell ref="J61:O61"/>
    <mergeCell ref="E61:I61"/>
    <mergeCell ref="E62:I62"/>
    <mergeCell ref="C54:D54"/>
    <mergeCell ref="C55:D55"/>
    <mergeCell ref="C56:D56"/>
    <mergeCell ref="C57:D57"/>
    <mergeCell ref="C58:D58"/>
    <mergeCell ref="E54:O54"/>
    <mergeCell ref="C59:D59"/>
    <mergeCell ref="E55:O55"/>
    <mergeCell ref="E59:O59"/>
    <mergeCell ref="E58:O58"/>
    <mergeCell ref="A61:D61"/>
    <mergeCell ref="A62:D62"/>
    <mergeCell ref="A23:O23"/>
    <mergeCell ref="A31:O31"/>
    <mergeCell ref="A40:O40"/>
    <mergeCell ref="A18:D18"/>
    <mergeCell ref="I18:J18"/>
    <mergeCell ref="M18:N18"/>
    <mergeCell ref="M19:N19"/>
    <mergeCell ref="M20:N20"/>
    <mergeCell ref="M21:N21"/>
    <mergeCell ref="M22:N22"/>
    <mergeCell ref="E22:F22"/>
    <mergeCell ref="G22:H22"/>
    <mergeCell ref="I22:J22"/>
    <mergeCell ref="G19:H19"/>
    <mergeCell ref="A20:D20"/>
    <mergeCell ref="E18:F18"/>
    <mergeCell ref="E16:F16"/>
    <mergeCell ref="E17:F17"/>
    <mergeCell ref="K15:L15"/>
    <mergeCell ref="K16:L16"/>
    <mergeCell ref="M15:N15"/>
    <mergeCell ref="M16:N16"/>
    <mergeCell ref="M17:N17"/>
    <mergeCell ref="I15:J15"/>
    <mergeCell ref="I16:J16"/>
    <mergeCell ref="I17:J17"/>
    <mergeCell ref="K17:L17"/>
  </mergeCells>
  <pageMargins left="0.3" right="0.23" top="0.6" bottom="0.53" header="0.31496062992125984" footer="0.31496062992125984"/>
  <pageSetup paperSize="9" scale="46" fitToHeight="0" orientation="portrait" r:id="rId1"/>
  <rowBreaks count="1" manualBreakCount="1">
    <brk id="39" max="1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2060"/>
  </sheetPr>
  <dimension ref="A1:AH84"/>
  <sheetViews>
    <sheetView topLeftCell="A13" workbookViewId="0">
      <pane xSplit="16" ySplit="4" topLeftCell="Q17" activePane="bottomRight" state="frozen"/>
      <selection activeCell="A13" sqref="A13"/>
      <selection pane="topRight" activeCell="Q13" sqref="Q13"/>
      <selection pane="bottomLeft" activeCell="A17" sqref="A17"/>
      <selection pane="bottomRight" activeCell="J14" sqref="J14:N14"/>
    </sheetView>
  </sheetViews>
  <sheetFormatPr defaultRowHeight="15" x14ac:dyDescent="0.25"/>
  <cols>
    <col min="1" max="1" width="8.5703125" customWidth="1"/>
    <col min="2" max="2" width="9.5703125" customWidth="1"/>
    <col min="3" max="3" width="13.28515625" customWidth="1"/>
    <col min="4" max="4" width="16" customWidth="1"/>
    <col min="5" max="21" width="5.7109375" customWidth="1"/>
    <col min="22" max="22" width="17.28515625" customWidth="1"/>
    <col min="23" max="33" width="5.7109375" customWidth="1"/>
  </cols>
  <sheetData>
    <row r="1" spans="1:33" x14ac:dyDescent="0.25">
      <c r="A1" s="191" t="s">
        <v>0</v>
      </c>
      <c r="B1" s="191"/>
      <c r="C1" s="191"/>
      <c r="D1" s="191"/>
      <c r="E1" s="191"/>
      <c r="F1" s="191"/>
      <c r="G1" s="191"/>
      <c r="H1" s="191"/>
      <c r="I1" s="191"/>
      <c r="J1" s="191"/>
      <c r="K1" s="191"/>
      <c r="L1" s="191"/>
      <c r="M1" s="191"/>
      <c r="N1" s="191"/>
      <c r="O1" s="191"/>
      <c r="P1" s="191"/>
      <c r="Q1" s="191"/>
      <c r="R1" s="191"/>
      <c r="S1" s="191"/>
      <c r="T1" s="191"/>
      <c r="U1" s="191"/>
      <c r="V1" s="191"/>
      <c r="W1" s="191"/>
      <c r="X1" s="3"/>
      <c r="Y1" s="3"/>
      <c r="Z1" s="3"/>
      <c r="AA1" s="6"/>
      <c r="AB1" s="6"/>
      <c r="AC1" s="6"/>
      <c r="AD1" s="6"/>
      <c r="AE1" s="6"/>
      <c r="AF1" s="6"/>
      <c r="AG1" s="6"/>
    </row>
    <row r="2" spans="1:33" x14ac:dyDescent="0.25">
      <c r="A2" s="191" t="s">
        <v>47</v>
      </c>
      <c r="B2" s="191"/>
      <c r="C2" s="191"/>
      <c r="D2" s="191"/>
      <c r="E2" s="191"/>
      <c r="F2" s="191"/>
      <c r="G2" s="191"/>
      <c r="H2" s="191"/>
      <c r="I2" s="191"/>
      <c r="J2" s="191"/>
      <c r="K2" s="191"/>
      <c r="L2" s="191"/>
      <c r="M2" s="191"/>
      <c r="N2" s="191"/>
      <c r="O2" s="191"/>
      <c r="P2" s="191"/>
      <c r="Q2" s="191"/>
      <c r="R2" s="191"/>
      <c r="S2" s="191"/>
      <c r="T2" s="191"/>
      <c r="U2" s="191"/>
      <c r="V2" s="191"/>
      <c r="W2" s="191"/>
      <c r="X2" s="3"/>
      <c r="Y2" s="3"/>
      <c r="Z2" s="3"/>
      <c r="AA2" s="6"/>
      <c r="AB2" s="6"/>
      <c r="AC2" s="6"/>
      <c r="AD2" s="6"/>
      <c r="AE2" s="6"/>
      <c r="AF2" s="6"/>
      <c r="AG2" s="6"/>
    </row>
    <row r="3" spans="1:33" x14ac:dyDescent="0.25">
      <c r="A3" s="191" t="str">
        <f>CO_ATT_INPUTS!A3</f>
        <v>Department of Computer and Communication Engineering</v>
      </c>
      <c r="B3" s="191"/>
      <c r="C3" s="191"/>
      <c r="D3" s="191"/>
      <c r="E3" s="191"/>
      <c r="F3" s="191"/>
      <c r="G3" s="191"/>
      <c r="H3" s="191"/>
      <c r="I3" s="191"/>
      <c r="J3" s="191"/>
      <c r="K3" s="191"/>
      <c r="L3" s="191"/>
      <c r="M3" s="191"/>
      <c r="N3" s="191"/>
      <c r="O3" s="191"/>
      <c r="P3" s="191"/>
      <c r="Q3" s="191"/>
      <c r="R3" s="191"/>
      <c r="S3" s="191"/>
      <c r="T3" s="191"/>
      <c r="U3" s="191"/>
      <c r="V3" s="191"/>
      <c r="W3" s="191"/>
      <c r="X3" s="3"/>
      <c r="Y3" s="3"/>
      <c r="Z3" s="3"/>
      <c r="AA3" s="6"/>
      <c r="AB3" s="6"/>
      <c r="AC3" s="6"/>
      <c r="AD3" s="6"/>
      <c r="AE3" s="6"/>
      <c r="AF3" s="6"/>
      <c r="AG3" s="6"/>
    </row>
    <row r="4" spans="1:33" x14ac:dyDescent="0.25">
      <c r="A4" s="268" t="s">
        <v>48</v>
      </c>
      <c r="B4" s="268"/>
      <c r="C4" s="268"/>
      <c r="D4" s="268"/>
      <c r="E4" s="5" t="s">
        <v>14</v>
      </c>
      <c r="F4" s="269">
        <f>CO_ATT_INPUTS!F5</f>
        <v>0</v>
      </c>
      <c r="G4" s="269"/>
      <c r="H4" s="269"/>
      <c r="I4" s="269"/>
      <c r="J4" s="269"/>
      <c r="K4" s="269"/>
      <c r="L4" s="269"/>
      <c r="M4" s="269"/>
      <c r="N4" s="269"/>
      <c r="O4" s="269"/>
      <c r="P4" s="269"/>
      <c r="Q4" s="269"/>
      <c r="R4" s="269"/>
      <c r="S4" s="269"/>
      <c r="T4" s="269"/>
      <c r="U4" s="269"/>
      <c r="V4" s="269"/>
      <c r="W4" s="269"/>
      <c r="X4" s="4"/>
      <c r="Y4" s="4"/>
      <c r="Z4" s="4"/>
    </row>
    <row r="5" spans="1:33" x14ac:dyDescent="0.25">
      <c r="A5" s="268" t="s">
        <v>11</v>
      </c>
      <c r="B5" s="268"/>
      <c r="C5" s="268"/>
      <c r="D5" s="268"/>
      <c r="E5" s="5" t="s">
        <v>14</v>
      </c>
      <c r="F5" s="269">
        <f>CO_ATT_INPUTS!F6</f>
        <v>0</v>
      </c>
      <c r="G5" s="269"/>
      <c r="H5" s="269"/>
      <c r="I5" s="269"/>
      <c r="J5" s="269"/>
      <c r="K5" s="269"/>
      <c r="L5" s="269"/>
      <c r="M5" s="269"/>
      <c r="N5" s="269"/>
      <c r="O5" s="269"/>
      <c r="P5" s="269"/>
      <c r="Q5" s="269"/>
      <c r="R5" s="269"/>
      <c r="S5" s="269"/>
      <c r="T5" s="269"/>
      <c r="U5" s="269"/>
      <c r="V5" s="269"/>
      <c r="W5" s="269"/>
      <c r="X5" s="4"/>
      <c r="Y5" s="4"/>
      <c r="Z5" s="4"/>
    </row>
    <row r="6" spans="1:33" x14ac:dyDescent="0.25">
      <c r="A6" s="268" t="s">
        <v>1</v>
      </c>
      <c r="B6" s="268"/>
      <c r="C6" s="268"/>
      <c r="D6" s="268"/>
      <c r="E6" s="5" t="s">
        <v>14</v>
      </c>
      <c r="F6" s="269">
        <f>CO_ATT_INPUTS!F7</f>
        <v>0</v>
      </c>
      <c r="G6" s="269"/>
      <c r="H6" s="269"/>
      <c r="I6" s="269"/>
      <c r="J6" s="269"/>
      <c r="K6" s="269"/>
      <c r="L6" s="269"/>
      <c r="M6" s="269"/>
      <c r="N6" s="269"/>
      <c r="O6" s="269"/>
      <c r="P6" s="269"/>
      <c r="Q6" s="269"/>
      <c r="R6" s="269"/>
      <c r="S6" s="269"/>
      <c r="T6" s="269"/>
      <c r="U6" s="269"/>
      <c r="V6" s="269"/>
      <c r="W6" s="269"/>
      <c r="X6" s="4"/>
      <c r="Y6" s="4"/>
      <c r="Z6" s="4"/>
    </row>
    <row r="7" spans="1:33" x14ac:dyDescent="0.25">
      <c r="A7" s="268" t="s">
        <v>2</v>
      </c>
      <c r="B7" s="268"/>
      <c r="C7" s="268"/>
      <c r="D7" s="268"/>
      <c r="E7" s="5" t="s">
        <v>14</v>
      </c>
      <c r="F7" s="269">
        <f>CO_ATT_INPUTS!F8</f>
        <v>0</v>
      </c>
      <c r="G7" s="269"/>
      <c r="H7" s="269"/>
      <c r="I7" s="269"/>
      <c r="J7" s="269"/>
      <c r="K7" s="269"/>
      <c r="L7" s="269"/>
      <c r="M7" s="269"/>
      <c r="N7" s="269"/>
      <c r="O7" s="269"/>
      <c r="P7" s="269"/>
      <c r="Q7" s="269"/>
      <c r="R7" s="269"/>
      <c r="S7" s="269"/>
      <c r="T7" s="269"/>
      <c r="U7" s="269"/>
      <c r="V7" s="269"/>
      <c r="W7" s="269"/>
      <c r="X7" s="4"/>
      <c r="Y7" s="4"/>
      <c r="Z7" s="4"/>
    </row>
    <row r="8" spans="1:33" x14ac:dyDescent="0.25">
      <c r="A8" s="268" t="s">
        <v>12</v>
      </c>
      <c r="B8" s="268"/>
      <c r="C8" s="268"/>
      <c r="D8" s="268"/>
      <c r="E8" s="5" t="s">
        <v>14</v>
      </c>
      <c r="F8" s="269">
        <f>CO_ATT_INPUTS!F9</f>
        <v>0</v>
      </c>
      <c r="G8" s="269"/>
      <c r="H8" s="269"/>
      <c r="I8" s="269"/>
      <c r="J8" s="269"/>
      <c r="K8" s="269"/>
      <c r="L8" s="269"/>
      <c r="M8" s="269"/>
      <c r="N8" s="269"/>
      <c r="O8" s="269"/>
      <c r="P8" s="269"/>
      <c r="Q8" s="269"/>
      <c r="R8" s="269"/>
      <c r="S8" s="269"/>
      <c r="T8" s="269"/>
      <c r="U8" s="269"/>
      <c r="V8" s="269"/>
      <c r="W8" s="269"/>
      <c r="X8" s="4"/>
      <c r="Y8" s="4"/>
      <c r="Z8" s="4"/>
    </row>
    <row r="9" spans="1:33" x14ac:dyDescent="0.25">
      <c r="A9" s="268" t="s">
        <v>13</v>
      </c>
      <c r="B9" s="268"/>
      <c r="C9" s="268"/>
      <c r="D9" s="268"/>
      <c r="E9" s="5" t="s">
        <v>14</v>
      </c>
      <c r="F9" s="269">
        <f>CO_ATT_INPUTS!F10</f>
        <v>0</v>
      </c>
      <c r="G9" s="269"/>
      <c r="H9" s="269"/>
      <c r="I9" s="269"/>
      <c r="J9" s="269"/>
      <c r="K9" s="269"/>
      <c r="L9" s="269"/>
      <c r="M9" s="269"/>
      <c r="N9" s="269"/>
      <c r="O9" s="269"/>
      <c r="P9" s="269"/>
      <c r="Q9" s="269"/>
      <c r="R9" s="269"/>
      <c r="S9" s="269"/>
      <c r="T9" s="269"/>
      <c r="U9" s="269"/>
      <c r="V9" s="269"/>
      <c r="W9" s="269"/>
      <c r="X9" s="4"/>
      <c r="Y9" s="4"/>
      <c r="Z9" s="4"/>
    </row>
    <row r="10" spans="1:33" x14ac:dyDescent="0.25">
      <c r="A10" s="268" t="s">
        <v>41</v>
      </c>
      <c r="B10" s="268"/>
      <c r="C10" s="268"/>
      <c r="D10" s="268"/>
      <c r="E10" s="5" t="s">
        <v>14</v>
      </c>
      <c r="F10" s="269">
        <f>CO_ATT_INPUTS!F14</f>
        <v>0</v>
      </c>
      <c r="G10" s="269"/>
      <c r="H10" s="269"/>
      <c r="I10" s="269"/>
      <c r="J10" s="269"/>
      <c r="K10" s="269"/>
      <c r="L10" s="269"/>
      <c r="M10" s="269"/>
      <c r="N10" s="269"/>
      <c r="O10" s="269"/>
      <c r="P10" s="269"/>
      <c r="Q10" s="269"/>
      <c r="R10" s="269"/>
      <c r="S10" s="269"/>
      <c r="T10" s="269"/>
      <c r="U10" s="269"/>
      <c r="V10" s="269"/>
      <c r="W10" s="269"/>
      <c r="X10" s="4"/>
      <c r="Y10" s="4"/>
      <c r="Z10" s="4"/>
    </row>
    <row r="11" spans="1:33" x14ac:dyDescent="0.25">
      <c r="A11" s="2"/>
      <c r="B11" s="2"/>
      <c r="C11" s="2"/>
      <c r="D11" s="2"/>
      <c r="E11" s="3"/>
      <c r="F11" s="4"/>
      <c r="G11" s="4"/>
      <c r="H11" s="4"/>
      <c r="I11" s="4"/>
      <c r="J11" s="4"/>
      <c r="K11" s="4"/>
      <c r="L11" s="4"/>
      <c r="M11" s="4"/>
      <c r="N11" s="4"/>
      <c r="O11" s="4"/>
      <c r="P11" s="4"/>
      <c r="Q11" s="4"/>
      <c r="R11" s="4"/>
      <c r="S11" s="4"/>
      <c r="T11" s="4"/>
      <c r="U11" s="4"/>
      <c r="V11" s="4"/>
      <c r="W11" s="4"/>
      <c r="X11" s="4"/>
      <c r="Y11" s="4"/>
      <c r="Z11" s="4"/>
    </row>
    <row r="12" spans="1:33" ht="26.25" customHeight="1" x14ac:dyDescent="0.25">
      <c r="A12" s="2"/>
      <c r="B12" s="2"/>
      <c r="C12" s="2"/>
      <c r="D12" s="2"/>
      <c r="E12" s="3"/>
      <c r="F12" s="4"/>
      <c r="G12" s="4"/>
      <c r="H12" s="4"/>
      <c r="I12" s="4"/>
      <c r="J12" s="4"/>
      <c r="K12" s="4"/>
      <c r="L12" s="4"/>
      <c r="M12" s="4"/>
      <c r="N12" s="4"/>
      <c r="O12" s="4"/>
      <c r="P12" s="4"/>
      <c r="Q12" s="4"/>
      <c r="R12" s="4"/>
      <c r="S12" s="4"/>
      <c r="T12" s="4"/>
      <c r="U12" s="4"/>
      <c r="V12" s="4"/>
      <c r="W12" s="4"/>
      <c r="X12" s="4"/>
      <c r="Y12" s="4"/>
      <c r="Z12" s="4"/>
    </row>
    <row r="13" spans="1:33" ht="35.25" customHeight="1" x14ac:dyDescent="0.25">
      <c r="A13" s="2"/>
      <c r="B13" s="2"/>
      <c r="C13" s="2"/>
      <c r="D13" s="2"/>
      <c r="E13" s="271"/>
      <c r="F13" s="271"/>
      <c r="G13" s="271"/>
      <c r="H13" s="271"/>
      <c r="I13" s="271"/>
      <c r="J13" s="271"/>
      <c r="K13" s="271"/>
      <c r="L13" s="271"/>
      <c r="M13" s="271"/>
      <c r="N13" s="271"/>
      <c r="O13" s="271"/>
      <c r="P13" s="272"/>
      <c r="Q13" s="272"/>
      <c r="R13" s="272"/>
      <c r="S13" s="272"/>
      <c r="T13" s="272"/>
      <c r="U13" s="272"/>
      <c r="V13" s="272"/>
      <c r="W13" s="272"/>
      <c r="X13" s="272"/>
      <c r="Y13" s="272"/>
      <c r="Z13" s="272"/>
      <c r="AA13" s="272"/>
      <c r="AB13" s="12"/>
      <c r="AC13" s="12"/>
      <c r="AD13" s="12"/>
      <c r="AE13" s="12"/>
      <c r="AF13" s="12"/>
      <c r="AG13" s="12"/>
    </row>
    <row r="14" spans="1:33" ht="35.25" customHeight="1" x14ac:dyDescent="0.25">
      <c r="A14" s="2"/>
      <c r="B14" s="2"/>
      <c r="C14" s="2"/>
      <c r="D14" s="2"/>
      <c r="E14" s="270" t="s">
        <v>9</v>
      </c>
      <c r="F14" s="270"/>
      <c r="G14" s="270"/>
      <c r="H14" s="270"/>
      <c r="I14" s="270"/>
      <c r="J14" s="270" t="s">
        <v>57</v>
      </c>
      <c r="K14" s="270"/>
      <c r="L14" s="270"/>
      <c r="M14" s="270"/>
      <c r="N14" s="270"/>
      <c r="O14" s="13"/>
      <c r="P14" s="12"/>
      <c r="Q14" s="12"/>
      <c r="R14" s="12"/>
      <c r="S14" s="12"/>
      <c r="T14" s="12"/>
      <c r="U14" s="12"/>
      <c r="V14" s="12"/>
      <c r="W14" s="12"/>
      <c r="X14" s="12"/>
      <c r="Y14" s="12"/>
      <c r="Z14" s="12"/>
      <c r="AA14" s="12"/>
      <c r="AB14" s="12"/>
      <c r="AC14" s="12"/>
      <c r="AD14" s="12"/>
      <c r="AE14" s="12"/>
      <c r="AF14" s="12"/>
      <c r="AG14" s="12"/>
    </row>
    <row r="15" spans="1:33" ht="125.25" customHeight="1" x14ac:dyDescent="0.25">
      <c r="A15" s="192" t="str">
        <f>CO_ATT_INPUTS!A16</f>
        <v>S. No</v>
      </c>
      <c r="B15" s="276" t="str">
        <f>CO_ATT_INPUTS!B16</f>
        <v>ROLL NUM</v>
      </c>
      <c r="C15" s="276" t="str">
        <f>CO_ATT_INPUTS!C16</f>
        <v>REGISTER
NUMBER</v>
      </c>
      <c r="D15" s="276" t="e">
        <f>CO_ATT_INPUTS!#REF!</f>
        <v>#REF!</v>
      </c>
      <c r="E15" s="276" t="s">
        <v>52</v>
      </c>
      <c r="F15" s="276" t="s">
        <v>53</v>
      </c>
      <c r="G15" s="276" t="s">
        <v>54</v>
      </c>
      <c r="H15" s="276" t="s">
        <v>55</v>
      </c>
      <c r="I15" s="276" t="s">
        <v>56</v>
      </c>
      <c r="J15" s="276" t="s">
        <v>66</v>
      </c>
      <c r="K15" s="276" t="s">
        <v>67</v>
      </c>
      <c r="L15" s="276" t="s">
        <v>68</v>
      </c>
      <c r="M15" s="276" t="s">
        <v>69</v>
      </c>
      <c r="N15" s="276" t="s">
        <v>70</v>
      </c>
      <c r="O15" s="276" t="s">
        <v>58</v>
      </c>
      <c r="P15" s="276" t="s">
        <v>59</v>
      </c>
      <c r="Q15" s="279" t="s">
        <v>60</v>
      </c>
      <c r="R15" s="280"/>
      <c r="S15" s="280"/>
      <c r="T15" s="280"/>
      <c r="U15" s="281"/>
      <c r="V15" s="276" t="s">
        <v>61</v>
      </c>
      <c r="W15" s="273" t="s">
        <v>62</v>
      </c>
      <c r="X15" s="285"/>
      <c r="Y15" s="285"/>
      <c r="Z15" s="285"/>
      <c r="AA15" s="285"/>
      <c r="AB15" s="285"/>
      <c r="AC15" s="285"/>
      <c r="AD15" s="285"/>
      <c r="AE15" s="285"/>
      <c r="AF15" s="285"/>
      <c r="AG15" s="274"/>
    </row>
    <row r="16" spans="1:33" ht="18.75" customHeight="1" x14ac:dyDescent="0.25">
      <c r="A16" s="275"/>
      <c r="B16" s="277"/>
      <c r="C16" s="277"/>
      <c r="D16" s="277"/>
      <c r="E16" s="277"/>
      <c r="F16" s="277"/>
      <c r="G16" s="277"/>
      <c r="H16" s="277"/>
      <c r="I16" s="277"/>
      <c r="J16" s="277"/>
      <c r="K16" s="277"/>
      <c r="L16" s="277"/>
      <c r="M16" s="277"/>
      <c r="N16" s="277"/>
      <c r="O16" s="277"/>
      <c r="P16" s="277"/>
      <c r="Q16" s="282"/>
      <c r="R16" s="283"/>
      <c r="S16" s="283"/>
      <c r="T16" s="283"/>
      <c r="U16" s="284"/>
      <c r="V16" s="278"/>
      <c r="W16" s="273" t="s">
        <v>4</v>
      </c>
      <c r="X16" s="285"/>
      <c r="Y16" s="274"/>
      <c r="Z16" s="273" t="s">
        <v>5</v>
      </c>
      <c r="AA16" s="274"/>
      <c r="AB16" s="273" t="s">
        <v>6</v>
      </c>
      <c r="AC16" s="274"/>
      <c r="AD16" s="273" t="s">
        <v>7</v>
      </c>
      <c r="AE16" s="274"/>
      <c r="AF16" s="273" t="s">
        <v>8</v>
      </c>
      <c r="AG16" s="274"/>
    </row>
    <row r="17" spans="1:34" ht="22.5" customHeight="1" x14ac:dyDescent="0.25">
      <c r="A17" s="193"/>
      <c r="B17" s="278"/>
      <c r="C17" s="278"/>
      <c r="D17" s="278"/>
      <c r="E17" s="278"/>
      <c r="F17" s="278"/>
      <c r="G17" s="278"/>
      <c r="H17" s="278"/>
      <c r="I17" s="278"/>
      <c r="J17" s="278"/>
      <c r="K17" s="278"/>
      <c r="L17" s="278"/>
      <c r="M17" s="278"/>
      <c r="N17" s="278"/>
      <c r="O17" s="278"/>
      <c r="P17" s="278"/>
      <c r="Q17" s="9" t="s">
        <v>4</v>
      </c>
      <c r="R17" s="9" t="s">
        <v>5</v>
      </c>
      <c r="S17" s="9" t="s">
        <v>6</v>
      </c>
      <c r="T17" s="9" t="s">
        <v>7</v>
      </c>
      <c r="U17" s="9" t="s">
        <v>8</v>
      </c>
      <c r="V17" s="11"/>
      <c r="W17" s="9" t="s">
        <v>63</v>
      </c>
      <c r="X17" s="9" t="s">
        <v>64</v>
      </c>
      <c r="Y17" s="9" t="s">
        <v>65</v>
      </c>
      <c r="Z17" s="9" t="s">
        <v>63</v>
      </c>
      <c r="AA17" s="9" t="s">
        <v>65</v>
      </c>
      <c r="AB17" s="9" t="s">
        <v>63</v>
      </c>
      <c r="AC17" s="9" t="s">
        <v>65</v>
      </c>
      <c r="AD17" s="9" t="s">
        <v>63</v>
      </c>
      <c r="AE17" s="9" t="s">
        <v>65</v>
      </c>
      <c r="AF17" s="9" t="s">
        <v>63</v>
      </c>
      <c r="AG17" s="9" t="s">
        <v>65</v>
      </c>
    </row>
    <row r="18" spans="1:34" x14ac:dyDescent="0.25">
      <c r="A18" s="1">
        <f>CO_ATT_INPUTS!A19</f>
        <v>1</v>
      </c>
      <c r="B18" s="10" t="str">
        <f>CO_ATT_INPUTS!B19</f>
        <v>22CC001</v>
      </c>
      <c r="C18" s="10" t="str">
        <f>CO_ATT_INPUTS!C19</f>
        <v>722822115001</v>
      </c>
      <c r="D18" s="10" t="e">
        <f>CO_ATT_INPUTS!#REF!</f>
        <v>#REF!</v>
      </c>
      <c r="E18" s="7">
        <f>CO_ATT_INPUTS!E19</f>
        <v>26</v>
      </c>
      <c r="F18" s="7">
        <f>CO_ATT_INPUTS!F19</f>
        <v>26</v>
      </c>
      <c r="G18" s="7">
        <f>CO_ATT_INPUTS!G19</f>
        <v>23</v>
      </c>
      <c r="H18" s="7">
        <f>CO_ATT_INPUTS!H19</f>
        <v>32</v>
      </c>
      <c r="I18" s="7">
        <f>CO_ATT_INPUTS!I19</f>
        <v>31</v>
      </c>
      <c r="J18" s="7">
        <f>CO_ATT_INPUTS!J19</f>
        <v>9</v>
      </c>
      <c r="K18" s="7">
        <f>CO_ATT_INPUTS!K19</f>
        <v>9</v>
      </c>
      <c r="L18" s="7">
        <f>CO_ATT_INPUTS!L19</f>
        <v>9</v>
      </c>
      <c r="M18" s="7">
        <f>CO_ATT_INPUTS!M19</f>
        <v>9</v>
      </c>
      <c r="N18" s="7">
        <f>CO_ATT_INPUTS!N19</f>
        <v>9</v>
      </c>
      <c r="O18" s="7">
        <f>CO_ATT_INPUTS!O19</f>
        <v>90</v>
      </c>
      <c r="P18" s="1">
        <f>CO_ATT_INPUTS!P19</f>
        <v>100</v>
      </c>
      <c r="Q18" s="7" t="e">
        <f>#REF!</f>
        <v>#REF!</v>
      </c>
      <c r="R18" s="7" t="e">
        <f>#REF!</f>
        <v>#REF!</v>
      </c>
      <c r="S18" s="7" t="e">
        <f>#REF!</f>
        <v>#REF!</v>
      </c>
      <c r="T18" s="7" t="e">
        <f>#REF!</f>
        <v>#REF!</v>
      </c>
      <c r="U18" s="7" t="e">
        <f>#REF!</f>
        <v>#REF!</v>
      </c>
      <c r="V18" s="7" t="e">
        <f>#REF!</f>
        <v>#REF!</v>
      </c>
      <c r="W18" s="7" t="e">
        <f>Q18*0.4</f>
        <v>#REF!</v>
      </c>
      <c r="X18" s="7" t="e">
        <f>V18*0.6</f>
        <v>#REF!</v>
      </c>
      <c r="Y18" s="7" t="e">
        <f>W18+X18</f>
        <v>#REF!</v>
      </c>
      <c r="Z18" s="7" t="e">
        <f>0.4*R18</f>
        <v>#REF!</v>
      </c>
      <c r="AA18" s="7" t="e">
        <f>Z18+X18</f>
        <v>#REF!</v>
      </c>
      <c r="AB18" s="7" t="e">
        <f>0.4*S18</f>
        <v>#REF!</v>
      </c>
      <c r="AC18" s="7" t="e">
        <f>AB18+X18</f>
        <v>#REF!</v>
      </c>
      <c r="AD18" s="7" t="e">
        <f>0.4*T18</f>
        <v>#REF!</v>
      </c>
      <c r="AE18" s="7" t="e">
        <f>AD18+X18</f>
        <v>#REF!</v>
      </c>
      <c r="AF18" s="7" t="e">
        <f>0.4*U18</f>
        <v>#REF!</v>
      </c>
      <c r="AG18" s="8" t="e">
        <f>AF18+X18</f>
        <v>#REF!</v>
      </c>
      <c r="AH18" t="str">
        <f>B18</f>
        <v>22CC001</v>
      </c>
    </row>
    <row r="19" spans="1:34" x14ac:dyDescent="0.25">
      <c r="A19" s="1">
        <f>CO_ATT_INPUTS!A20</f>
        <v>2</v>
      </c>
      <c r="B19" s="10" t="str">
        <f>CO_ATT_INPUTS!B20</f>
        <v>22CC002</v>
      </c>
      <c r="C19" s="10" t="str">
        <f>CO_ATT_INPUTS!C20</f>
        <v>722822115002</v>
      </c>
      <c r="D19" s="10" t="str">
        <f>CO_ATT_INPUTS!D20</f>
        <v>AJAY J</v>
      </c>
      <c r="E19" s="7">
        <f>CO_ATT_INPUTS!E20</f>
        <v>19</v>
      </c>
      <c r="F19" s="7">
        <f>CO_ATT_INPUTS!F20</f>
        <v>30</v>
      </c>
      <c r="G19" s="7">
        <f>CO_ATT_INPUTS!G20</f>
        <v>27</v>
      </c>
      <c r="H19" s="7">
        <f>CO_ATT_INPUTS!H20</f>
        <v>28</v>
      </c>
      <c r="I19" s="7">
        <f>CO_ATT_INPUTS!I20</f>
        <v>21</v>
      </c>
      <c r="J19" s="7">
        <f>CO_ATT_INPUTS!J20</f>
        <v>8</v>
      </c>
      <c r="K19" s="7">
        <f>CO_ATT_INPUTS!K20</f>
        <v>8</v>
      </c>
      <c r="L19" s="7">
        <f>CO_ATT_INPUTS!L20</f>
        <v>8</v>
      </c>
      <c r="M19" s="7">
        <f>CO_ATT_INPUTS!M20</f>
        <v>8</v>
      </c>
      <c r="N19" s="7">
        <f>CO_ATT_INPUTS!N20</f>
        <v>8</v>
      </c>
      <c r="O19" s="7">
        <f>CO_ATT_INPUTS!O20</f>
        <v>92</v>
      </c>
      <c r="P19" s="1">
        <f>CO_ATT_INPUTS!P20</f>
        <v>98</v>
      </c>
      <c r="Q19" s="7" t="e">
        <f>#REF!</f>
        <v>#REF!</v>
      </c>
      <c r="R19" s="7" t="e">
        <f>#REF!</f>
        <v>#REF!</v>
      </c>
      <c r="S19" s="7" t="e">
        <f>#REF!</f>
        <v>#REF!</v>
      </c>
      <c r="T19" s="7" t="e">
        <f>#REF!</f>
        <v>#REF!</v>
      </c>
      <c r="U19" s="7" t="e">
        <f>#REF!</f>
        <v>#REF!</v>
      </c>
      <c r="V19" s="7" t="e">
        <f>#REF!</f>
        <v>#REF!</v>
      </c>
      <c r="W19" s="7" t="e">
        <f t="shared" ref="W19:W82" si="0">Q19*0.4</f>
        <v>#REF!</v>
      </c>
      <c r="X19" s="7" t="e">
        <f t="shared" ref="X19:X82" si="1">V19*0.6</f>
        <v>#REF!</v>
      </c>
      <c r="Y19" s="7" t="e">
        <f t="shared" ref="Y19:Y82" si="2">W19+X19</f>
        <v>#REF!</v>
      </c>
      <c r="Z19" s="7" t="e">
        <f t="shared" ref="Z19:Z82" si="3">0.4*R19</f>
        <v>#REF!</v>
      </c>
      <c r="AA19" s="7" t="e">
        <f t="shared" ref="AA19:AA82" si="4">Z19+X19</f>
        <v>#REF!</v>
      </c>
      <c r="AB19" s="7" t="e">
        <f t="shared" ref="AB19:AB82" si="5">0.4*S19</f>
        <v>#REF!</v>
      </c>
      <c r="AC19" s="7" t="e">
        <f t="shared" ref="AC19:AC82" si="6">AB19+X19</f>
        <v>#REF!</v>
      </c>
      <c r="AD19" s="7" t="e">
        <f t="shared" ref="AD19:AD82" si="7">0.4*T19</f>
        <v>#REF!</v>
      </c>
      <c r="AE19" s="7" t="e">
        <f t="shared" ref="AE19:AE82" si="8">AD19+X19</f>
        <v>#REF!</v>
      </c>
      <c r="AF19" s="7" t="e">
        <f t="shared" ref="AF19:AF82" si="9">0.4*U19</f>
        <v>#REF!</v>
      </c>
      <c r="AG19" s="8" t="e">
        <f t="shared" ref="AG19:AG82" si="10">AF19+X19</f>
        <v>#REF!</v>
      </c>
      <c r="AH19" t="str">
        <f t="shared" ref="AH19:AH82" si="11">B19</f>
        <v>22CC002</v>
      </c>
    </row>
    <row r="20" spans="1:34" x14ac:dyDescent="0.25">
      <c r="A20" s="1">
        <f>CO_ATT_INPUTS!A21</f>
        <v>3</v>
      </c>
      <c r="B20" s="10" t="str">
        <f>CO_ATT_INPUTS!B21</f>
        <v>22CC003</v>
      </c>
      <c r="C20" s="10" t="str">
        <f>CO_ATT_INPUTS!C21</f>
        <v>722822115003</v>
      </c>
      <c r="D20" s="10" t="str">
        <f>CO_ATT_INPUTS!D21</f>
        <v>AKSHAYAN K</v>
      </c>
      <c r="E20" s="7">
        <f>CO_ATT_INPUTS!E21</f>
        <v>33</v>
      </c>
      <c r="F20" s="7">
        <f>CO_ATT_INPUTS!F21</f>
        <v>18</v>
      </c>
      <c r="G20" s="7">
        <f>CO_ATT_INPUTS!G21</f>
        <v>23</v>
      </c>
      <c r="H20" s="7">
        <f>CO_ATT_INPUTS!H21</f>
        <v>26</v>
      </c>
      <c r="I20" s="7">
        <f>CO_ATT_INPUTS!I21</f>
        <v>21</v>
      </c>
      <c r="J20" s="7">
        <f>CO_ATT_INPUTS!J21</f>
        <v>9</v>
      </c>
      <c r="K20" s="7">
        <f>CO_ATT_INPUTS!K21</f>
        <v>9</v>
      </c>
      <c r="L20" s="7">
        <f>CO_ATT_INPUTS!L21</f>
        <v>9</v>
      </c>
      <c r="M20" s="7">
        <f>CO_ATT_INPUTS!M21</f>
        <v>9</v>
      </c>
      <c r="N20" s="7">
        <f>CO_ATT_INPUTS!N21</f>
        <v>9</v>
      </c>
      <c r="O20" s="7">
        <f>CO_ATT_INPUTS!O21</f>
        <v>90</v>
      </c>
      <c r="P20" s="1">
        <f>CO_ATT_INPUTS!P21</f>
        <v>100</v>
      </c>
      <c r="Q20" s="7" t="e">
        <f>#REF!</f>
        <v>#REF!</v>
      </c>
      <c r="R20" s="7" t="e">
        <f>#REF!</f>
        <v>#REF!</v>
      </c>
      <c r="S20" s="7" t="e">
        <f>#REF!</f>
        <v>#REF!</v>
      </c>
      <c r="T20" s="7" t="e">
        <f>#REF!</f>
        <v>#REF!</v>
      </c>
      <c r="U20" s="7" t="e">
        <f>#REF!</f>
        <v>#REF!</v>
      </c>
      <c r="V20" s="7" t="e">
        <f>#REF!</f>
        <v>#REF!</v>
      </c>
      <c r="W20" s="7" t="e">
        <f t="shared" si="0"/>
        <v>#REF!</v>
      </c>
      <c r="X20" s="7" t="e">
        <f t="shared" si="1"/>
        <v>#REF!</v>
      </c>
      <c r="Y20" s="7" t="e">
        <f t="shared" si="2"/>
        <v>#REF!</v>
      </c>
      <c r="Z20" s="7" t="e">
        <f t="shared" si="3"/>
        <v>#REF!</v>
      </c>
      <c r="AA20" s="7" t="e">
        <f t="shared" si="4"/>
        <v>#REF!</v>
      </c>
      <c r="AB20" s="7" t="e">
        <f t="shared" si="5"/>
        <v>#REF!</v>
      </c>
      <c r="AC20" s="7" t="e">
        <f t="shared" si="6"/>
        <v>#REF!</v>
      </c>
      <c r="AD20" s="7" t="e">
        <f t="shared" si="7"/>
        <v>#REF!</v>
      </c>
      <c r="AE20" s="7" t="e">
        <f t="shared" si="8"/>
        <v>#REF!</v>
      </c>
      <c r="AF20" s="7" t="e">
        <f t="shared" si="9"/>
        <v>#REF!</v>
      </c>
      <c r="AG20" s="8" t="e">
        <f t="shared" si="10"/>
        <v>#REF!</v>
      </c>
      <c r="AH20" t="str">
        <f t="shared" si="11"/>
        <v>22CC003</v>
      </c>
    </row>
    <row r="21" spans="1:34" x14ac:dyDescent="0.25">
      <c r="A21" s="1">
        <f>CO_ATT_INPUTS!A22</f>
        <v>4</v>
      </c>
      <c r="B21" s="10" t="str">
        <f>CO_ATT_INPUTS!B22</f>
        <v>22CC004</v>
      </c>
      <c r="C21" s="10" t="str">
        <f>CO_ATT_INPUTS!C22</f>
        <v>722822115004</v>
      </c>
      <c r="D21" s="10" t="str">
        <f>CO_ATT_INPUTS!D22</f>
        <v>DARSHAN R B</v>
      </c>
      <c r="E21" s="7">
        <f>CO_ATT_INPUTS!E22</f>
        <v>25</v>
      </c>
      <c r="F21" s="7">
        <f>CO_ATT_INPUTS!F22</f>
        <v>22</v>
      </c>
      <c r="G21" s="7">
        <f>CO_ATT_INPUTS!G22</f>
        <v>23</v>
      </c>
      <c r="H21" s="7">
        <f>CO_ATT_INPUTS!H22</f>
        <v>23</v>
      </c>
      <c r="I21" s="7">
        <f>CO_ATT_INPUTS!I22</f>
        <v>14</v>
      </c>
      <c r="J21" s="7">
        <f>CO_ATT_INPUTS!J22</f>
        <v>9</v>
      </c>
      <c r="K21" s="7">
        <f>CO_ATT_INPUTS!K22</f>
        <v>9</v>
      </c>
      <c r="L21" s="7">
        <f>CO_ATT_INPUTS!L22</f>
        <v>9</v>
      </c>
      <c r="M21" s="7">
        <f>CO_ATT_INPUTS!M22</f>
        <v>9</v>
      </c>
      <c r="N21" s="7">
        <f>CO_ATT_INPUTS!N22</f>
        <v>9</v>
      </c>
      <c r="O21" s="7">
        <f>CO_ATT_INPUTS!O22</f>
        <v>90</v>
      </c>
      <c r="P21" s="1">
        <f>CO_ATT_INPUTS!P22</f>
        <v>100</v>
      </c>
      <c r="Q21" s="7" t="e">
        <f>#REF!</f>
        <v>#REF!</v>
      </c>
      <c r="R21" s="7" t="e">
        <f>#REF!</f>
        <v>#REF!</v>
      </c>
      <c r="S21" s="7" t="e">
        <f>#REF!</f>
        <v>#REF!</v>
      </c>
      <c r="T21" s="7" t="e">
        <f>#REF!</f>
        <v>#REF!</v>
      </c>
      <c r="U21" s="7" t="e">
        <f>#REF!</f>
        <v>#REF!</v>
      </c>
      <c r="V21" s="7" t="e">
        <f>#REF!</f>
        <v>#REF!</v>
      </c>
      <c r="W21" s="7" t="e">
        <f t="shared" si="0"/>
        <v>#REF!</v>
      </c>
      <c r="X21" s="7" t="e">
        <f t="shared" si="1"/>
        <v>#REF!</v>
      </c>
      <c r="Y21" s="7" t="e">
        <f t="shared" si="2"/>
        <v>#REF!</v>
      </c>
      <c r="Z21" s="7" t="e">
        <f t="shared" si="3"/>
        <v>#REF!</v>
      </c>
      <c r="AA21" s="7" t="e">
        <f t="shared" si="4"/>
        <v>#REF!</v>
      </c>
      <c r="AB21" s="7" t="e">
        <f t="shared" si="5"/>
        <v>#REF!</v>
      </c>
      <c r="AC21" s="7" t="e">
        <f t="shared" si="6"/>
        <v>#REF!</v>
      </c>
      <c r="AD21" s="7" t="e">
        <f t="shared" si="7"/>
        <v>#REF!</v>
      </c>
      <c r="AE21" s="7" t="e">
        <f t="shared" si="8"/>
        <v>#REF!</v>
      </c>
      <c r="AF21" s="7" t="e">
        <f t="shared" si="9"/>
        <v>#REF!</v>
      </c>
      <c r="AG21" s="8" t="e">
        <f t="shared" si="10"/>
        <v>#REF!</v>
      </c>
      <c r="AH21" t="str">
        <f t="shared" si="11"/>
        <v>22CC004</v>
      </c>
    </row>
    <row r="22" spans="1:34" x14ac:dyDescent="0.25">
      <c r="A22" s="1">
        <f>CO_ATT_INPUTS!A23</f>
        <v>5</v>
      </c>
      <c r="B22" s="10" t="str">
        <f>CO_ATT_INPUTS!B23</f>
        <v>22CC005</v>
      </c>
      <c r="C22" s="10" t="str">
        <f>CO_ATT_INPUTS!C23</f>
        <v>722822115005</v>
      </c>
      <c r="D22" s="10" t="str">
        <f>CO_ATT_INPUTS!D23</f>
        <v>DEEPAK RAJA M</v>
      </c>
      <c r="E22" s="7">
        <f>CO_ATT_INPUTS!E23</f>
        <v>26</v>
      </c>
      <c r="F22" s="7">
        <f>CO_ATT_INPUTS!F23</f>
        <v>23</v>
      </c>
      <c r="G22" s="7">
        <f>CO_ATT_INPUTS!G23</f>
        <v>31</v>
      </c>
      <c r="H22" s="7">
        <f>CO_ATT_INPUTS!H23</f>
        <v>36</v>
      </c>
      <c r="I22" s="7">
        <f>CO_ATT_INPUTS!I23</f>
        <v>33</v>
      </c>
      <c r="J22" s="7">
        <f>CO_ATT_INPUTS!J23</f>
        <v>9</v>
      </c>
      <c r="K22" s="7">
        <f>CO_ATT_INPUTS!K23</f>
        <v>9</v>
      </c>
      <c r="L22" s="7">
        <f>CO_ATT_INPUTS!L23</f>
        <v>9</v>
      </c>
      <c r="M22" s="7">
        <f>CO_ATT_INPUTS!M23</f>
        <v>9</v>
      </c>
      <c r="N22" s="7">
        <f>CO_ATT_INPUTS!N23</f>
        <v>9</v>
      </c>
      <c r="O22" s="7">
        <f>CO_ATT_INPUTS!O23</f>
        <v>90</v>
      </c>
      <c r="P22" s="1">
        <f>CO_ATT_INPUTS!P23</f>
        <v>100</v>
      </c>
      <c r="Q22" s="7" t="e">
        <f>#REF!</f>
        <v>#REF!</v>
      </c>
      <c r="R22" s="7" t="e">
        <f>#REF!</f>
        <v>#REF!</v>
      </c>
      <c r="S22" s="7" t="e">
        <f>#REF!</f>
        <v>#REF!</v>
      </c>
      <c r="T22" s="7" t="e">
        <f>#REF!</f>
        <v>#REF!</v>
      </c>
      <c r="U22" s="7" t="e">
        <f>#REF!</f>
        <v>#REF!</v>
      </c>
      <c r="V22" s="7" t="e">
        <f>#REF!</f>
        <v>#REF!</v>
      </c>
      <c r="W22" s="7" t="e">
        <f t="shared" si="0"/>
        <v>#REF!</v>
      </c>
      <c r="X22" s="7" t="e">
        <f t="shared" si="1"/>
        <v>#REF!</v>
      </c>
      <c r="Y22" s="7" t="e">
        <f t="shared" si="2"/>
        <v>#REF!</v>
      </c>
      <c r="Z22" s="7" t="e">
        <f t="shared" si="3"/>
        <v>#REF!</v>
      </c>
      <c r="AA22" s="7" t="e">
        <f t="shared" si="4"/>
        <v>#REF!</v>
      </c>
      <c r="AB22" s="7" t="e">
        <f t="shared" si="5"/>
        <v>#REF!</v>
      </c>
      <c r="AC22" s="7" t="e">
        <f t="shared" si="6"/>
        <v>#REF!</v>
      </c>
      <c r="AD22" s="7" t="e">
        <f t="shared" si="7"/>
        <v>#REF!</v>
      </c>
      <c r="AE22" s="7" t="e">
        <f t="shared" si="8"/>
        <v>#REF!</v>
      </c>
      <c r="AF22" s="7" t="e">
        <f t="shared" si="9"/>
        <v>#REF!</v>
      </c>
      <c r="AG22" s="8" t="e">
        <f t="shared" si="10"/>
        <v>#REF!</v>
      </c>
      <c r="AH22" t="str">
        <f t="shared" si="11"/>
        <v>22CC005</v>
      </c>
    </row>
    <row r="23" spans="1:34" x14ac:dyDescent="0.25">
      <c r="A23" s="1">
        <f>CO_ATT_INPUTS!A24</f>
        <v>6</v>
      </c>
      <c r="B23" s="10" t="str">
        <f>CO_ATT_INPUTS!B24</f>
        <v>22CC006</v>
      </c>
      <c r="C23" s="10" t="str">
        <f>CO_ATT_INPUTS!C24</f>
        <v>722822115006</v>
      </c>
      <c r="D23" s="10" t="str">
        <f>CO_ATT_INPUTS!D24</f>
        <v>DHANUSHPRIYAN S</v>
      </c>
      <c r="E23" s="7">
        <f>CO_ATT_INPUTS!E24</f>
        <v>34</v>
      </c>
      <c r="F23" s="7">
        <f>CO_ATT_INPUTS!F24</f>
        <v>25</v>
      </c>
      <c r="G23" s="7">
        <f>CO_ATT_INPUTS!G24</f>
        <v>21</v>
      </c>
      <c r="H23" s="7">
        <f>CO_ATT_INPUTS!H24</f>
        <v>33</v>
      </c>
      <c r="I23" s="7">
        <f>CO_ATT_INPUTS!I24</f>
        <v>30</v>
      </c>
      <c r="J23" s="7">
        <f>CO_ATT_INPUTS!J24</f>
        <v>9</v>
      </c>
      <c r="K23" s="7">
        <f>CO_ATT_INPUTS!K24</f>
        <v>9</v>
      </c>
      <c r="L23" s="7">
        <f>CO_ATT_INPUTS!L24</f>
        <v>9</v>
      </c>
      <c r="M23" s="7">
        <f>CO_ATT_INPUTS!M24</f>
        <v>9</v>
      </c>
      <c r="N23" s="7">
        <f>CO_ATT_INPUTS!N24</f>
        <v>9</v>
      </c>
      <c r="O23" s="7">
        <f>CO_ATT_INPUTS!O24</f>
        <v>92</v>
      </c>
      <c r="P23" s="1">
        <f>CO_ATT_INPUTS!P24</f>
        <v>100</v>
      </c>
      <c r="Q23" s="7" t="e">
        <f>#REF!</f>
        <v>#REF!</v>
      </c>
      <c r="R23" s="7" t="e">
        <f>#REF!</f>
        <v>#REF!</v>
      </c>
      <c r="S23" s="7" t="e">
        <f>#REF!</f>
        <v>#REF!</v>
      </c>
      <c r="T23" s="7" t="e">
        <f>#REF!</f>
        <v>#REF!</v>
      </c>
      <c r="U23" s="7" t="e">
        <f>#REF!</f>
        <v>#REF!</v>
      </c>
      <c r="V23" s="7" t="e">
        <f>#REF!</f>
        <v>#REF!</v>
      </c>
      <c r="W23" s="7" t="e">
        <f t="shared" si="0"/>
        <v>#REF!</v>
      </c>
      <c r="X23" s="7" t="e">
        <f t="shared" si="1"/>
        <v>#REF!</v>
      </c>
      <c r="Y23" s="7" t="e">
        <f t="shared" si="2"/>
        <v>#REF!</v>
      </c>
      <c r="Z23" s="7" t="e">
        <f t="shared" si="3"/>
        <v>#REF!</v>
      </c>
      <c r="AA23" s="7" t="e">
        <f t="shared" si="4"/>
        <v>#REF!</v>
      </c>
      <c r="AB23" s="7" t="e">
        <f t="shared" si="5"/>
        <v>#REF!</v>
      </c>
      <c r="AC23" s="7" t="e">
        <f t="shared" si="6"/>
        <v>#REF!</v>
      </c>
      <c r="AD23" s="7" t="e">
        <f t="shared" si="7"/>
        <v>#REF!</v>
      </c>
      <c r="AE23" s="7" t="e">
        <f t="shared" si="8"/>
        <v>#REF!</v>
      </c>
      <c r="AF23" s="7" t="e">
        <f t="shared" si="9"/>
        <v>#REF!</v>
      </c>
      <c r="AG23" s="8" t="e">
        <f t="shared" si="10"/>
        <v>#REF!</v>
      </c>
      <c r="AH23" t="str">
        <f t="shared" si="11"/>
        <v>22CC006</v>
      </c>
    </row>
    <row r="24" spans="1:34" x14ac:dyDescent="0.25">
      <c r="A24" s="1">
        <f>CO_ATT_INPUTS!A25</f>
        <v>7</v>
      </c>
      <c r="B24" s="10" t="str">
        <f>CO_ATT_INPUTS!B25</f>
        <v>22CC007</v>
      </c>
      <c r="C24" s="10" t="str">
        <f>CO_ATT_INPUTS!C25</f>
        <v>722822115007</v>
      </c>
      <c r="D24" s="10" t="str">
        <f>CO_ATT_INPUTS!D25</f>
        <v>DHARSHINI K</v>
      </c>
      <c r="E24" s="7">
        <f>CO_ATT_INPUTS!E25</f>
        <v>31</v>
      </c>
      <c r="F24" s="7">
        <f>CO_ATT_INPUTS!F25</f>
        <v>27</v>
      </c>
      <c r="G24" s="7">
        <f>CO_ATT_INPUTS!G25</f>
        <v>28</v>
      </c>
      <c r="H24" s="7">
        <f>CO_ATT_INPUTS!H25</f>
        <v>35</v>
      </c>
      <c r="I24" s="7">
        <f>CO_ATT_INPUTS!I25</f>
        <v>29</v>
      </c>
      <c r="J24" s="7">
        <f>CO_ATT_INPUTS!J25</f>
        <v>9</v>
      </c>
      <c r="K24" s="7">
        <f>CO_ATT_INPUTS!K25</f>
        <v>9</v>
      </c>
      <c r="L24" s="7">
        <f>CO_ATT_INPUTS!L25</f>
        <v>9</v>
      </c>
      <c r="M24" s="7">
        <f>CO_ATT_INPUTS!M25</f>
        <v>9</v>
      </c>
      <c r="N24" s="7">
        <f>CO_ATT_INPUTS!N25</f>
        <v>9</v>
      </c>
      <c r="O24" s="7">
        <f>CO_ATT_INPUTS!O25</f>
        <v>96</v>
      </c>
      <c r="P24" s="1">
        <f>CO_ATT_INPUTS!P25</f>
        <v>93</v>
      </c>
      <c r="Q24" s="7" t="e">
        <f>#REF!</f>
        <v>#REF!</v>
      </c>
      <c r="R24" s="7" t="e">
        <f>#REF!</f>
        <v>#REF!</v>
      </c>
      <c r="S24" s="7" t="e">
        <f>#REF!</f>
        <v>#REF!</v>
      </c>
      <c r="T24" s="7" t="e">
        <f>#REF!</f>
        <v>#REF!</v>
      </c>
      <c r="U24" s="7" t="e">
        <f>#REF!</f>
        <v>#REF!</v>
      </c>
      <c r="V24" s="7" t="e">
        <f>#REF!</f>
        <v>#REF!</v>
      </c>
      <c r="W24" s="7" t="e">
        <f t="shared" si="0"/>
        <v>#REF!</v>
      </c>
      <c r="X24" s="7" t="e">
        <f t="shared" si="1"/>
        <v>#REF!</v>
      </c>
      <c r="Y24" s="7" t="e">
        <f t="shared" si="2"/>
        <v>#REF!</v>
      </c>
      <c r="Z24" s="7" t="e">
        <f t="shared" si="3"/>
        <v>#REF!</v>
      </c>
      <c r="AA24" s="7" t="e">
        <f t="shared" si="4"/>
        <v>#REF!</v>
      </c>
      <c r="AB24" s="7" t="e">
        <f t="shared" si="5"/>
        <v>#REF!</v>
      </c>
      <c r="AC24" s="7" t="e">
        <f t="shared" si="6"/>
        <v>#REF!</v>
      </c>
      <c r="AD24" s="7" t="e">
        <f t="shared" si="7"/>
        <v>#REF!</v>
      </c>
      <c r="AE24" s="7" t="e">
        <f t="shared" si="8"/>
        <v>#REF!</v>
      </c>
      <c r="AF24" s="7" t="e">
        <f t="shared" si="9"/>
        <v>#REF!</v>
      </c>
      <c r="AG24" s="8" t="e">
        <f t="shared" si="10"/>
        <v>#REF!</v>
      </c>
      <c r="AH24" t="str">
        <f t="shared" si="11"/>
        <v>22CC007</v>
      </c>
    </row>
    <row r="25" spans="1:34" x14ac:dyDescent="0.25">
      <c r="A25" s="1">
        <f>CO_ATT_INPUTS!A26</f>
        <v>8</v>
      </c>
      <c r="B25" s="10" t="str">
        <f>CO_ATT_INPUTS!B26</f>
        <v>22CC008</v>
      </c>
      <c r="C25" s="10" t="str">
        <f>CO_ATT_INPUTS!C26</f>
        <v>722822115008</v>
      </c>
      <c r="D25" s="10" t="str">
        <f>CO_ATT_INPUTS!D26</f>
        <v>DHEVADHARSHINI M</v>
      </c>
      <c r="E25" s="7">
        <f>CO_ATT_INPUTS!E26</f>
        <v>33</v>
      </c>
      <c r="F25" s="7">
        <f>CO_ATT_INPUTS!F26</f>
        <v>31</v>
      </c>
      <c r="G25" s="7">
        <f>CO_ATT_INPUTS!G26</f>
        <v>35</v>
      </c>
      <c r="H25" s="7">
        <f>CO_ATT_INPUTS!H26</f>
        <v>36</v>
      </c>
      <c r="I25" s="7">
        <f>CO_ATT_INPUTS!I26</f>
        <v>29</v>
      </c>
      <c r="J25" s="7">
        <f>CO_ATT_INPUTS!J26</f>
        <v>9</v>
      </c>
      <c r="K25" s="7">
        <f>CO_ATT_INPUTS!K26</f>
        <v>9</v>
      </c>
      <c r="L25" s="7">
        <f>CO_ATT_INPUTS!L26</f>
        <v>9</v>
      </c>
      <c r="M25" s="7">
        <f>CO_ATT_INPUTS!M26</f>
        <v>9</v>
      </c>
      <c r="N25" s="7">
        <f>CO_ATT_INPUTS!N26</f>
        <v>9</v>
      </c>
      <c r="O25" s="7">
        <f>CO_ATT_INPUTS!O26</f>
        <v>96</v>
      </c>
      <c r="P25" s="1">
        <f>CO_ATT_INPUTS!P26</f>
        <v>100</v>
      </c>
      <c r="Q25" s="7" t="e">
        <f>#REF!</f>
        <v>#REF!</v>
      </c>
      <c r="R25" s="7" t="e">
        <f>#REF!</f>
        <v>#REF!</v>
      </c>
      <c r="S25" s="7" t="e">
        <f>#REF!</f>
        <v>#REF!</v>
      </c>
      <c r="T25" s="7" t="e">
        <f>#REF!</f>
        <v>#REF!</v>
      </c>
      <c r="U25" s="7" t="e">
        <f>#REF!</f>
        <v>#REF!</v>
      </c>
      <c r="V25" s="7" t="e">
        <f>#REF!</f>
        <v>#REF!</v>
      </c>
      <c r="W25" s="7" t="e">
        <f t="shared" si="0"/>
        <v>#REF!</v>
      </c>
      <c r="X25" s="7" t="e">
        <f t="shared" si="1"/>
        <v>#REF!</v>
      </c>
      <c r="Y25" s="7" t="e">
        <f t="shared" si="2"/>
        <v>#REF!</v>
      </c>
      <c r="Z25" s="7" t="e">
        <f t="shared" si="3"/>
        <v>#REF!</v>
      </c>
      <c r="AA25" s="7" t="e">
        <f t="shared" si="4"/>
        <v>#REF!</v>
      </c>
      <c r="AB25" s="7" t="e">
        <f t="shared" si="5"/>
        <v>#REF!</v>
      </c>
      <c r="AC25" s="7" t="e">
        <f t="shared" si="6"/>
        <v>#REF!</v>
      </c>
      <c r="AD25" s="7" t="e">
        <f t="shared" si="7"/>
        <v>#REF!</v>
      </c>
      <c r="AE25" s="7" t="e">
        <f t="shared" si="8"/>
        <v>#REF!</v>
      </c>
      <c r="AF25" s="7" t="e">
        <f t="shared" si="9"/>
        <v>#REF!</v>
      </c>
      <c r="AG25" s="8" t="e">
        <f t="shared" si="10"/>
        <v>#REF!</v>
      </c>
      <c r="AH25" t="str">
        <f t="shared" si="11"/>
        <v>22CC008</v>
      </c>
    </row>
    <row r="26" spans="1:34" x14ac:dyDescent="0.25">
      <c r="A26" s="1">
        <f>CO_ATT_INPUTS!A27</f>
        <v>9</v>
      </c>
      <c r="B26" s="10" t="str">
        <f>CO_ATT_INPUTS!B27</f>
        <v>22CC009</v>
      </c>
      <c r="C26" s="10" t="str">
        <f>CO_ATT_INPUTS!C27</f>
        <v>722822115009</v>
      </c>
      <c r="D26" s="10" t="str">
        <f>CO_ATT_INPUTS!D27</f>
        <v>DINESH R</v>
      </c>
      <c r="E26" s="7">
        <f>CO_ATT_INPUTS!E27</f>
        <v>27</v>
      </c>
      <c r="F26" s="7">
        <f>CO_ATT_INPUTS!F27</f>
        <v>27</v>
      </c>
      <c r="G26" s="7">
        <f>CO_ATT_INPUTS!G27</f>
        <v>22</v>
      </c>
      <c r="H26" s="7">
        <f>CO_ATT_INPUTS!H27</f>
        <v>33</v>
      </c>
      <c r="I26" s="7">
        <f>CO_ATT_INPUTS!I27</f>
        <v>30</v>
      </c>
      <c r="J26" s="7">
        <f>CO_ATT_INPUTS!J27</f>
        <v>9</v>
      </c>
      <c r="K26" s="7">
        <f>CO_ATT_INPUTS!K27</f>
        <v>9</v>
      </c>
      <c r="L26" s="7">
        <f>CO_ATT_INPUTS!L27</f>
        <v>9</v>
      </c>
      <c r="M26" s="7">
        <f>CO_ATT_INPUTS!M27</f>
        <v>9</v>
      </c>
      <c r="N26" s="7">
        <f>CO_ATT_INPUTS!N27</f>
        <v>9</v>
      </c>
      <c r="O26" s="7">
        <f>CO_ATT_INPUTS!O27</f>
        <v>94</v>
      </c>
      <c r="P26" s="1">
        <f>CO_ATT_INPUTS!P27</f>
        <v>100</v>
      </c>
      <c r="Q26" s="7" t="e">
        <f>#REF!</f>
        <v>#REF!</v>
      </c>
      <c r="R26" s="7" t="e">
        <f>#REF!</f>
        <v>#REF!</v>
      </c>
      <c r="S26" s="7" t="e">
        <f>#REF!</f>
        <v>#REF!</v>
      </c>
      <c r="T26" s="7" t="e">
        <f>#REF!</f>
        <v>#REF!</v>
      </c>
      <c r="U26" s="7" t="e">
        <f>#REF!</f>
        <v>#REF!</v>
      </c>
      <c r="V26" s="7" t="e">
        <f>#REF!</f>
        <v>#REF!</v>
      </c>
      <c r="W26" s="7" t="e">
        <f t="shared" si="0"/>
        <v>#REF!</v>
      </c>
      <c r="X26" s="7" t="e">
        <f t="shared" si="1"/>
        <v>#REF!</v>
      </c>
      <c r="Y26" s="7" t="e">
        <f t="shared" si="2"/>
        <v>#REF!</v>
      </c>
      <c r="Z26" s="7" t="e">
        <f t="shared" si="3"/>
        <v>#REF!</v>
      </c>
      <c r="AA26" s="7" t="e">
        <f t="shared" si="4"/>
        <v>#REF!</v>
      </c>
      <c r="AB26" s="7" t="e">
        <f t="shared" si="5"/>
        <v>#REF!</v>
      </c>
      <c r="AC26" s="7" t="e">
        <f t="shared" si="6"/>
        <v>#REF!</v>
      </c>
      <c r="AD26" s="7" t="e">
        <f t="shared" si="7"/>
        <v>#REF!</v>
      </c>
      <c r="AE26" s="7" t="e">
        <f t="shared" si="8"/>
        <v>#REF!</v>
      </c>
      <c r="AF26" s="7" t="e">
        <f t="shared" si="9"/>
        <v>#REF!</v>
      </c>
      <c r="AG26" s="8" t="e">
        <f t="shared" si="10"/>
        <v>#REF!</v>
      </c>
      <c r="AH26" t="str">
        <f t="shared" si="11"/>
        <v>22CC009</v>
      </c>
    </row>
    <row r="27" spans="1:34" x14ac:dyDescent="0.25">
      <c r="A27" s="1">
        <f>CO_ATT_INPUTS!A28</f>
        <v>10</v>
      </c>
      <c r="B27" s="10" t="str">
        <f>CO_ATT_INPUTS!B28</f>
        <v>22CC010</v>
      </c>
      <c r="C27" s="10" t="str">
        <f>CO_ATT_INPUTS!C28</f>
        <v>722822115010</v>
      </c>
      <c r="D27" s="10" t="str">
        <f>CO_ATT_INPUTS!D28</f>
        <v>ELANGO T</v>
      </c>
      <c r="E27" s="7">
        <f>CO_ATT_INPUTS!E28</f>
        <v>31</v>
      </c>
      <c r="F27" s="7">
        <f>CO_ATT_INPUTS!F28</f>
        <v>27</v>
      </c>
      <c r="G27" s="7">
        <f>CO_ATT_INPUTS!G28</f>
        <v>28</v>
      </c>
      <c r="H27" s="7">
        <f>CO_ATT_INPUTS!H28</f>
        <v>33</v>
      </c>
      <c r="I27" s="7">
        <f>CO_ATT_INPUTS!I28</f>
        <v>31</v>
      </c>
      <c r="J27" s="7">
        <f>CO_ATT_INPUTS!J28</f>
        <v>9</v>
      </c>
      <c r="K27" s="7">
        <f>CO_ATT_INPUTS!K28</f>
        <v>9</v>
      </c>
      <c r="L27" s="7">
        <f>CO_ATT_INPUTS!L28</f>
        <v>9</v>
      </c>
      <c r="M27" s="7">
        <f>CO_ATT_INPUTS!M28</f>
        <v>9</v>
      </c>
      <c r="N27" s="7">
        <f>CO_ATT_INPUTS!N28</f>
        <v>9</v>
      </c>
      <c r="O27" s="7">
        <f>CO_ATT_INPUTS!O28</f>
        <v>92</v>
      </c>
      <c r="P27" s="1">
        <f>CO_ATT_INPUTS!P28</f>
        <v>100</v>
      </c>
      <c r="Q27" s="7" t="e">
        <f>#REF!</f>
        <v>#REF!</v>
      </c>
      <c r="R27" s="7" t="e">
        <f>#REF!</f>
        <v>#REF!</v>
      </c>
      <c r="S27" s="7" t="e">
        <f>#REF!</f>
        <v>#REF!</v>
      </c>
      <c r="T27" s="7" t="e">
        <f>#REF!</f>
        <v>#REF!</v>
      </c>
      <c r="U27" s="7" t="e">
        <f>#REF!</f>
        <v>#REF!</v>
      </c>
      <c r="V27" s="7" t="e">
        <f>#REF!</f>
        <v>#REF!</v>
      </c>
      <c r="W27" s="7" t="e">
        <f t="shared" si="0"/>
        <v>#REF!</v>
      </c>
      <c r="X27" s="7" t="e">
        <f t="shared" si="1"/>
        <v>#REF!</v>
      </c>
      <c r="Y27" s="7" t="e">
        <f t="shared" si="2"/>
        <v>#REF!</v>
      </c>
      <c r="Z27" s="7" t="e">
        <f t="shared" si="3"/>
        <v>#REF!</v>
      </c>
      <c r="AA27" s="7" t="e">
        <f t="shared" si="4"/>
        <v>#REF!</v>
      </c>
      <c r="AB27" s="7" t="e">
        <f t="shared" si="5"/>
        <v>#REF!</v>
      </c>
      <c r="AC27" s="7" t="e">
        <f t="shared" si="6"/>
        <v>#REF!</v>
      </c>
      <c r="AD27" s="7" t="e">
        <f t="shared" si="7"/>
        <v>#REF!</v>
      </c>
      <c r="AE27" s="7" t="e">
        <f t="shared" si="8"/>
        <v>#REF!</v>
      </c>
      <c r="AF27" s="7" t="e">
        <f t="shared" si="9"/>
        <v>#REF!</v>
      </c>
      <c r="AG27" s="8" t="e">
        <f t="shared" si="10"/>
        <v>#REF!</v>
      </c>
      <c r="AH27" t="str">
        <f t="shared" si="11"/>
        <v>22CC010</v>
      </c>
    </row>
    <row r="28" spans="1:34" x14ac:dyDescent="0.25">
      <c r="A28" s="1">
        <f>CO_ATT_INPUTS!A29</f>
        <v>11</v>
      </c>
      <c r="B28" s="10" t="str">
        <f>CO_ATT_INPUTS!B29</f>
        <v>22CC011</v>
      </c>
      <c r="C28" s="10" t="str">
        <f>CO_ATT_INPUTS!C29</f>
        <v>722822115011</v>
      </c>
      <c r="D28" s="10" t="str">
        <f>CO_ATT_INPUTS!D29</f>
        <v>GAYATHIRI K</v>
      </c>
      <c r="E28" s="7">
        <f>CO_ATT_INPUTS!E29</f>
        <v>20</v>
      </c>
      <c r="F28" s="7">
        <f>CO_ATT_INPUTS!F29</f>
        <v>31</v>
      </c>
      <c r="G28" s="7">
        <f>CO_ATT_INPUTS!G29</f>
        <v>27</v>
      </c>
      <c r="H28" s="7">
        <f>CO_ATT_INPUTS!H29</f>
        <v>33</v>
      </c>
      <c r="I28" s="7">
        <f>CO_ATT_INPUTS!I29</f>
        <v>32</v>
      </c>
      <c r="J28" s="7">
        <f>CO_ATT_INPUTS!J29</f>
        <v>9</v>
      </c>
      <c r="K28" s="7">
        <f>CO_ATT_INPUTS!K29</f>
        <v>9</v>
      </c>
      <c r="L28" s="7">
        <f>CO_ATT_INPUTS!L29</f>
        <v>9</v>
      </c>
      <c r="M28" s="7">
        <f>CO_ATT_INPUTS!M29</f>
        <v>9</v>
      </c>
      <c r="N28" s="7">
        <f>CO_ATT_INPUTS!N29</f>
        <v>9</v>
      </c>
      <c r="O28" s="7">
        <f>CO_ATT_INPUTS!O29</f>
        <v>90</v>
      </c>
      <c r="P28" s="1">
        <f>CO_ATT_INPUTS!P29</f>
        <v>100</v>
      </c>
      <c r="Q28" s="7" t="e">
        <f>#REF!</f>
        <v>#REF!</v>
      </c>
      <c r="R28" s="7" t="e">
        <f>#REF!</f>
        <v>#REF!</v>
      </c>
      <c r="S28" s="7" t="e">
        <f>#REF!</f>
        <v>#REF!</v>
      </c>
      <c r="T28" s="7" t="e">
        <f>#REF!</f>
        <v>#REF!</v>
      </c>
      <c r="U28" s="7" t="e">
        <f>#REF!</f>
        <v>#REF!</v>
      </c>
      <c r="V28" s="7" t="e">
        <f>#REF!</f>
        <v>#REF!</v>
      </c>
      <c r="W28" s="7" t="e">
        <f t="shared" si="0"/>
        <v>#REF!</v>
      </c>
      <c r="X28" s="7" t="e">
        <f t="shared" si="1"/>
        <v>#REF!</v>
      </c>
      <c r="Y28" s="7" t="e">
        <f t="shared" si="2"/>
        <v>#REF!</v>
      </c>
      <c r="Z28" s="7" t="e">
        <f t="shared" si="3"/>
        <v>#REF!</v>
      </c>
      <c r="AA28" s="7" t="e">
        <f t="shared" si="4"/>
        <v>#REF!</v>
      </c>
      <c r="AB28" s="7" t="e">
        <f t="shared" si="5"/>
        <v>#REF!</v>
      </c>
      <c r="AC28" s="7" t="e">
        <f t="shared" si="6"/>
        <v>#REF!</v>
      </c>
      <c r="AD28" s="7" t="e">
        <f t="shared" si="7"/>
        <v>#REF!</v>
      </c>
      <c r="AE28" s="7" t="e">
        <f t="shared" si="8"/>
        <v>#REF!</v>
      </c>
      <c r="AF28" s="7" t="e">
        <f t="shared" si="9"/>
        <v>#REF!</v>
      </c>
      <c r="AG28" s="8" t="e">
        <f t="shared" si="10"/>
        <v>#REF!</v>
      </c>
      <c r="AH28" t="str">
        <f t="shared" si="11"/>
        <v>22CC011</v>
      </c>
    </row>
    <row r="29" spans="1:34" x14ac:dyDescent="0.25">
      <c r="A29" s="1">
        <f>CO_ATT_INPUTS!A30</f>
        <v>12</v>
      </c>
      <c r="B29" s="10" t="str">
        <f>CO_ATT_INPUTS!B30</f>
        <v>22CC012</v>
      </c>
      <c r="C29" s="10" t="str">
        <f>CO_ATT_INPUTS!C30</f>
        <v>722822115012</v>
      </c>
      <c r="D29" s="10" t="str">
        <f>CO_ATT_INPUTS!D30</f>
        <v>GNANARIDDHIKA R</v>
      </c>
      <c r="E29" s="7">
        <f>CO_ATT_INPUTS!E30</f>
        <v>31</v>
      </c>
      <c r="F29" s="7">
        <f>CO_ATT_INPUTS!F30</f>
        <v>18</v>
      </c>
      <c r="G29" s="7">
        <f>CO_ATT_INPUTS!G30</f>
        <v>26</v>
      </c>
      <c r="H29" s="7">
        <f>CO_ATT_INPUTS!H30</f>
        <v>30</v>
      </c>
      <c r="I29" s="7">
        <f>CO_ATT_INPUTS!I30</f>
        <v>31</v>
      </c>
      <c r="J29" s="7">
        <f>CO_ATT_INPUTS!J30</f>
        <v>8</v>
      </c>
      <c r="K29" s="7">
        <f>CO_ATT_INPUTS!K30</f>
        <v>8</v>
      </c>
      <c r="L29" s="7">
        <f>CO_ATT_INPUTS!L30</f>
        <v>8</v>
      </c>
      <c r="M29" s="7">
        <f>CO_ATT_INPUTS!M30</f>
        <v>8</v>
      </c>
      <c r="N29" s="7">
        <f>CO_ATT_INPUTS!N30</f>
        <v>8</v>
      </c>
      <c r="O29" s="7">
        <f>CO_ATT_INPUTS!O30</f>
        <v>96</v>
      </c>
      <c r="P29" s="1">
        <f>CO_ATT_INPUTS!P30</f>
        <v>100</v>
      </c>
      <c r="Q29" s="7" t="e">
        <f>#REF!</f>
        <v>#REF!</v>
      </c>
      <c r="R29" s="7" t="e">
        <f>#REF!</f>
        <v>#REF!</v>
      </c>
      <c r="S29" s="7" t="e">
        <f>#REF!</f>
        <v>#REF!</v>
      </c>
      <c r="T29" s="7" t="e">
        <f>#REF!</f>
        <v>#REF!</v>
      </c>
      <c r="U29" s="7" t="e">
        <f>#REF!</f>
        <v>#REF!</v>
      </c>
      <c r="V29" s="7" t="e">
        <f>#REF!</f>
        <v>#REF!</v>
      </c>
      <c r="W29" s="7" t="e">
        <f t="shared" si="0"/>
        <v>#REF!</v>
      </c>
      <c r="X29" s="7" t="e">
        <f t="shared" si="1"/>
        <v>#REF!</v>
      </c>
      <c r="Y29" s="7" t="e">
        <f t="shared" si="2"/>
        <v>#REF!</v>
      </c>
      <c r="Z29" s="7" t="e">
        <f t="shared" si="3"/>
        <v>#REF!</v>
      </c>
      <c r="AA29" s="7" t="e">
        <f t="shared" si="4"/>
        <v>#REF!</v>
      </c>
      <c r="AB29" s="7" t="e">
        <f t="shared" si="5"/>
        <v>#REF!</v>
      </c>
      <c r="AC29" s="7" t="e">
        <f t="shared" si="6"/>
        <v>#REF!</v>
      </c>
      <c r="AD29" s="7" t="e">
        <f t="shared" si="7"/>
        <v>#REF!</v>
      </c>
      <c r="AE29" s="7" t="e">
        <f t="shared" si="8"/>
        <v>#REF!</v>
      </c>
      <c r="AF29" s="7" t="e">
        <f t="shared" si="9"/>
        <v>#REF!</v>
      </c>
      <c r="AG29" s="8" t="e">
        <f t="shared" si="10"/>
        <v>#REF!</v>
      </c>
      <c r="AH29" t="str">
        <f t="shared" si="11"/>
        <v>22CC012</v>
      </c>
    </row>
    <row r="30" spans="1:34" x14ac:dyDescent="0.25">
      <c r="A30" s="1">
        <f>CO_ATT_INPUTS!A31</f>
        <v>13</v>
      </c>
      <c r="B30" s="10" t="str">
        <f>CO_ATT_INPUTS!B31</f>
        <v>22CC013</v>
      </c>
      <c r="C30" s="10" t="str">
        <f>CO_ATT_INPUTS!C31</f>
        <v>722822115013</v>
      </c>
      <c r="D30" s="10" t="str">
        <f>CO_ATT_INPUTS!D31</f>
        <v>GOKUL G</v>
      </c>
      <c r="E30" s="7">
        <f>CO_ATT_INPUTS!E31</f>
        <v>23</v>
      </c>
      <c r="F30" s="7">
        <f>CO_ATT_INPUTS!F31</f>
        <v>28</v>
      </c>
      <c r="G30" s="7">
        <f>CO_ATT_INPUTS!G31</f>
        <v>27</v>
      </c>
      <c r="H30" s="7">
        <f>CO_ATT_INPUTS!H31</f>
        <v>32</v>
      </c>
      <c r="I30" s="7">
        <f>CO_ATT_INPUTS!I31</f>
        <v>25</v>
      </c>
      <c r="J30" s="7">
        <f>CO_ATT_INPUTS!J31</f>
        <v>8</v>
      </c>
      <c r="K30" s="7">
        <f>CO_ATT_INPUTS!K31</f>
        <v>8</v>
      </c>
      <c r="L30" s="7">
        <f>CO_ATT_INPUTS!L31</f>
        <v>8</v>
      </c>
      <c r="M30" s="7">
        <f>CO_ATT_INPUTS!M31</f>
        <v>8</v>
      </c>
      <c r="N30" s="7">
        <f>CO_ATT_INPUTS!N31</f>
        <v>8</v>
      </c>
      <c r="O30" s="7">
        <f>CO_ATT_INPUTS!O31</f>
        <v>96</v>
      </c>
      <c r="P30" s="1">
        <f>CO_ATT_INPUTS!P31</f>
        <v>100</v>
      </c>
      <c r="Q30" s="7" t="e">
        <f>#REF!</f>
        <v>#REF!</v>
      </c>
      <c r="R30" s="7" t="e">
        <f>#REF!</f>
        <v>#REF!</v>
      </c>
      <c r="S30" s="7" t="e">
        <f>#REF!</f>
        <v>#REF!</v>
      </c>
      <c r="T30" s="7" t="e">
        <f>#REF!</f>
        <v>#REF!</v>
      </c>
      <c r="U30" s="7" t="e">
        <f>#REF!</f>
        <v>#REF!</v>
      </c>
      <c r="V30" s="7" t="e">
        <f>#REF!</f>
        <v>#REF!</v>
      </c>
      <c r="W30" s="7" t="e">
        <f t="shared" si="0"/>
        <v>#REF!</v>
      </c>
      <c r="X30" s="7" t="e">
        <f t="shared" si="1"/>
        <v>#REF!</v>
      </c>
      <c r="Y30" s="7" t="e">
        <f t="shared" si="2"/>
        <v>#REF!</v>
      </c>
      <c r="Z30" s="7" t="e">
        <f t="shared" si="3"/>
        <v>#REF!</v>
      </c>
      <c r="AA30" s="7" t="e">
        <f t="shared" si="4"/>
        <v>#REF!</v>
      </c>
      <c r="AB30" s="7" t="e">
        <f t="shared" si="5"/>
        <v>#REF!</v>
      </c>
      <c r="AC30" s="7" t="e">
        <f t="shared" si="6"/>
        <v>#REF!</v>
      </c>
      <c r="AD30" s="7" t="e">
        <f t="shared" si="7"/>
        <v>#REF!</v>
      </c>
      <c r="AE30" s="7" t="e">
        <f t="shared" si="8"/>
        <v>#REF!</v>
      </c>
      <c r="AF30" s="7" t="e">
        <f t="shared" si="9"/>
        <v>#REF!</v>
      </c>
      <c r="AG30" s="8" t="e">
        <f t="shared" si="10"/>
        <v>#REF!</v>
      </c>
      <c r="AH30" t="str">
        <f t="shared" si="11"/>
        <v>22CC013</v>
      </c>
    </row>
    <row r="31" spans="1:34" x14ac:dyDescent="0.25">
      <c r="A31" s="1">
        <f>CO_ATT_INPUTS!A32</f>
        <v>14</v>
      </c>
      <c r="B31" s="10" t="str">
        <f>CO_ATT_INPUTS!B32</f>
        <v>22CC014</v>
      </c>
      <c r="C31" s="10" t="str">
        <f>CO_ATT_INPUTS!C32</f>
        <v>722822115014</v>
      </c>
      <c r="D31" s="10" t="str">
        <f>CO_ATT_INPUTS!D32</f>
        <v>GOKUL K</v>
      </c>
      <c r="E31" s="7">
        <f>CO_ATT_INPUTS!E32</f>
        <v>11</v>
      </c>
      <c r="F31" s="7">
        <f>CO_ATT_INPUTS!F32</f>
        <v>16</v>
      </c>
      <c r="G31" s="7">
        <f>CO_ATT_INPUTS!G32</f>
        <v>5</v>
      </c>
      <c r="H31" s="7">
        <f>CO_ATT_INPUTS!H32</f>
        <v>32</v>
      </c>
      <c r="I31" s="7">
        <f>CO_ATT_INPUTS!I32</f>
        <v>32</v>
      </c>
      <c r="J31" s="7">
        <f>CO_ATT_INPUTS!J32</f>
        <v>9</v>
      </c>
      <c r="K31" s="7">
        <f>CO_ATT_INPUTS!K32</f>
        <v>9</v>
      </c>
      <c r="L31" s="7">
        <f>CO_ATT_INPUTS!L32</f>
        <v>9</v>
      </c>
      <c r="M31" s="7">
        <f>CO_ATT_INPUTS!M32</f>
        <v>9</v>
      </c>
      <c r="N31" s="7">
        <f>CO_ATT_INPUTS!N32</f>
        <v>9</v>
      </c>
      <c r="O31" s="7">
        <f>CO_ATT_INPUTS!O32</f>
        <v>90</v>
      </c>
      <c r="P31" s="1">
        <f>CO_ATT_INPUTS!P32</f>
        <v>100</v>
      </c>
      <c r="Q31" s="7" t="e">
        <f>#REF!</f>
        <v>#REF!</v>
      </c>
      <c r="R31" s="7" t="e">
        <f>#REF!</f>
        <v>#REF!</v>
      </c>
      <c r="S31" s="7" t="e">
        <f>#REF!</f>
        <v>#REF!</v>
      </c>
      <c r="T31" s="7" t="e">
        <f>#REF!</f>
        <v>#REF!</v>
      </c>
      <c r="U31" s="7" t="e">
        <f>#REF!</f>
        <v>#REF!</v>
      </c>
      <c r="V31" s="7" t="e">
        <f>#REF!</f>
        <v>#REF!</v>
      </c>
      <c r="W31" s="7" t="e">
        <f t="shared" si="0"/>
        <v>#REF!</v>
      </c>
      <c r="X31" s="7" t="e">
        <f t="shared" si="1"/>
        <v>#REF!</v>
      </c>
      <c r="Y31" s="7" t="e">
        <f t="shared" si="2"/>
        <v>#REF!</v>
      </c>
      <c r="Z31" s="7" t="e">
        <f t="shared" si="3"/>
        <v>#REF!</v>
      </c>
      <c r="AA31" s="7" t="e">
        <f t="shared" si="4"/>
        <v>#REF!</v>
      </c>
      <c r="AB31" s="7" t="e">
        <f t="shared" si="5"/>
        <v>#REF!</v>
      </c>
      <c r="AC31" s="7" t="e">
        <f t="shared" si="6"/>
        <v>#REF!</v>
      </c>
      <c r="AD31" s="7" t="e">
        <f t="shared" si="7"/>
        <v>#REF!</v>
      </c>
      <c r="AE31" s="7" t="e">
        <f t="shared" si="8"/>
        <v>#REF!</v>
      </c>
      <c r="AF31" s="7" t="e">
        <f t="shared" si="9"/>
        <v>#REF!</v>
      </c>
      <c r="AG31" s="8" t="e">
        <f t="shared" si="10"/>
        <v>#REF!</v>
      </c>
      <c r="AH31" t="str">
        <f t="shared" si="11"/>
        <v>22CC014</v>
      </c>
    </row>
    <row r="32" spans="1:34" x14ac:dyDescent="0.25">
      <c r="A32" s="1">
        <f>CO_ATT_INPUTS!A33</f>
        <v>15</v>
      </c>
      <c r="B32" s="10" t="str">
        <f>CO_ATT_INPUTS!B33</f>
        <v>22CC015</v>
      </c>
      <c r="C32" s="10" t="str">
        <f>CO_ATT_INPUTS!C33</f>
        <v>722822115015</v>
      </c>
      <c r="D32" s="10" t="str">
        <f>CO_ATT_INPUTS!D33</f>
        <v>GOPINATH S</v>
      </c>
      <c r="E32" s="7">
        <f>CO_ATT_INPUTS!E33</f>
        <v>22</v>
      </c>
      <c r="F32" s="7">
        <f>CO_ATT_INPUTS!F33</f>
        <v>23</v>
      </c>
      <c r="G32" s="7">
        <f>CO_ATT_INPUTS!G33</f>
        <v>27</v>
      </c>
      <c r="H32" s="7">
        <f>CO_ATT_INPUTS!H33</f>
        <v>23</v>
      </c>
      <c r="I32" s="7">
        <f>CO_ATT_INPUTS!I33</f>
        <v>17</v>
      </c>
      <c r="J32" s="7">
        <f>CO_ATT_INPUTS!J33</f>
        <v>9</v>
      </c>
      <c r="K32" s="7">
        <f>CO_ATT_INPUTS!K33</f>
        <v>9</v>
      </c>
      <c r="L32" s="7">
        <f>CO_ATT_INPUTS!L33</f>
        <v>9</v>
      </c>
      <c r="M32" s="7">
        <f>CO_ATT_INPUTS!M33</f>
        <v>9</v>
      </c>
      <c r="N32" s="7">
        <f>CO_ATT_INPUTS!N33</f>
        <v>9</v>
      </c>
      <c r="O32" s="7">
        <f>CO_ATT_INPUTS!O33</f>
        <v>84</v>
      </c>
      <c r="P32" s="1">
        <f>CO_ATT_INPUTS!P33</f>
        <v>100</v>
      </c>
      <c r="Q32" s="7" t="e">
        <f>#REF!</f>
        <v>#REF!</v>
      </c>
      <c r="R32" s="7" t="e">
        <f>#REF!</f>
        <v>#REF!</v>
      </c>
      <c r="S32" s="7" t="e">
        <f>#REF!</f>
        <v>#REF!</v>
      </c>
      <c r="T32" s="7" t="e">
        <f>#REF!</f>
        <v>#REF!</v>
      </c>
      <c r="U32" s="7" t="e">
        <f>#REF!</f>
        <v>#REF!</v>
      </c>
      <c r="V32" s="7" t="e">
        <f>#REF!</f>
        <v>#REF!</v>
      </c>
      <c r="W32" s="7" t="e">
        <f t="shared" si="0"/>
        <v>#REF!</v>
      </c>
      <c r="X32" s="7" t="e">
        <f t="shared" si="1"/>
        <v>#REF!</v>
      </c>
      <c r="Y32" s="7" t="e">
        <f t="shared" si="2"/>
        <v>#REF!</v>
      </c>
      <c r="Z32" s="7" t="e">
        <f t="shared" si="3"/>
        <v>#REF!</v>
      </c>
      <c r="AA32" s="7" t="e">
        <f t="shared" si="4"/>
        <v>#REF!</v>
      </c>
      <c r="AB32" s="7" t="e">
        <f t="shared" si="5"/>
        <v>#REF!</v>
      </c>
      <c r="AC32" s="7" t="e">
        <f t="shared" si="6"/>
        <v>#REF!</v>
      </c>
      <c r="AD32" s="7" t="e">
        <f t="shared" si="7"/>
        <v>#REF!</v>
      </c>
      <c r="AE32" s="7" t="e">
        <f t="shared" si="8"/>
        <v>#REF!</v>
      </c>
      <c r="AF32" s="7" t="e">
        <f t="shared" si="9"/>
        <v>#REF!</v>
      </c>
      <c r="AG32" s="8" t="e">
        <f t="shared" si="10"/>
        <v>#REF!</v>
      </c>
      <c r="AH32" t="str">
        <f t="shared" si="11"/>
        <v>22CC015</v>
      </c>
    </row>
    <row r="33" spans="1:34" x14ac:dyDescent="0.25">
      <c r="A33" s="1">
        <f>CO_ATT_INPUTS!A34</f>
        <v>16</v>
      </c>
      <c r="B33" s="10" t="str">
        <f>CO_ATT_INPUTS!B34</f>
        <v>22CC016</v>
      </c>
      <c r="C33" s="10" t="str">
        <f>CO_ATT_INPUTS!C34</f>
        <v>722822115016</v>
      </c>
      <c r="D33" s="10" t="str">
        <f>CO_ATT_INPUTS!D34</f>
        <v>HARIBABU T</v>
      </c>
      <c r="E33" s="7">
        <f>CO_ATT_INPUTS!E34</f>
        <v>25</v>
      </c>
      <c r="F33" s="7">
        <f>CO_ATT_INPUTS!F34</f>
        <v>22</v>
      </c>
      <c r="G33" s="7">
        <f>CO_ATT_INPUTS!G34</f>
        <v>19</v>
      </c>
      <c r="H33" s="7">
        <f>CO_ATT_INPUTS!H34</f>
        <v>23</v>
      </c>
      <c r="I33" s="7">
        <f>CO_ATT_INPUTS!I34</f>
        <v>20</v>
      </c>
      <c r="J33" s="7">
        <f>CO_ATT_INPUTS!J34</f>
        <v>9</v>
      </c>
      <c r="K33" s="7">
        <f>CO_ATT_INPUTS!K34</f>
        <v>9</v>
      </c>
      <c r="L33" s="7">
        <f>CO_ATT_INPUTS!L34</f>
        <v>9</v>
      </c>
      <c r="M33" s="7">
        <f>CO_ATT_INPUTS!M34</f>
        <v>9</v>
      </c>
      <c r="N33" s="7">
        <f>CO_ATT_INPUTS!N34</f>
        <v>9</v>
      </c>
      <c r="O33" s="7">
        <f>CO_ATT_INPUTS!O34</f>
        <v>90</v>
      </c>
      <c r="P33" s="1">
        <f>CO_ATT_INPUTS!P34</f>
        <v>95</v>
      </c>
      <c r="Q33" s="7" t="e">
        <f>#REF!</f>
        <v>#REF!</v>
      </c>
      <c r="R33" s="7" t="e">
        <f>#REF!</f>
        <v>#REF!</v>
      </c>
      <c r="S33" s="7" t="e">
        <f>#REF!</f>
        <v>#REF!</v>
      </c>
      <c r="T33" s="7" t="e">
        <f>#REF!</f>
        <v>#REF!</v>
      </c>
      <c r="U33" s="7" t="e">
        <f>#REF!</f>
        <v>#REF!</v>
      </c>
      <c r="V33" s="7" t="e">
        <f>#REF!</f>
        <v>#REF!</v>
      </c>
      <c r="W33" s="7" t="e">
        <f t="shared" si="0"/>
        <v>#REF!</v>
      </c>
      <c r="X33" s="7" t="e">
        <f t="shared" si="1"/>
        <v>#REF!</v>
      </c>
      <c r="Y33" s="7" t="e">
        <f t="shared" si="2"/>
        <v>#REF!</v>
      </c>
      <c r="Z33" s="7" t="e">
        <f t="shared" si="3"/>
        <v>#REF!</v>
      </c>
      <c r="AA33" s="7" t="e">
        <f t="shared" si="4"/>
        <v>#REF!</v>
      </c>
      <c r="AB33" s="7" t="e">
        <f t="shared" si="5"/>
        <v>#REF!</v>
      </c>
      <c r="AC33" s="7" t="e">
        <f t="shared" si="6"/>
        <v>#REF!</v>
      </c>
      <c r="AD33" s="7" t="e">
        <f t="shared" si="7"/>
        <v>#REF!</v>
      </c>
      <c r="AE33" s="7" t="e">
        <f t="shared" si="8"/>
        <v>#REF!</v>
      </c>
      <c r="AF33" s="7" t="e">
        <f t="shared" si="9"/>
        <v>#REF!</v>
      </c>
      <c r="AG33" s="8" t="e">
        <f t="shared" si="10"/>
        <v>#REF!</v>
      </c>
      <c r="AH33" t="str">
        <f t="shared" si="11"/>
        <v>22CC016</v>
      </c>
    </row>
    <row r="34" spans="1:34" x14ac:dyDescent="0.25">
      <c r="A34" s="1">
        <f>CO_ATT_INPUTS!A35</f>
        <v>17</v>
      </c>
      <c r="B34" s="10" t="str">
        <f>CO_ATT_INPUTS!B35</f>
        <v>22CC017</v>
      </c>
      <c r="C34" s="10" t="str">
        <f>CO_ATT_INPUTS!C35</f>
        <v>722822115017</v>
      </c>
      <c r="D34" s="10" t="str">
        <f>CO_ATT_INPUTS!D35</f>
        <v>HARIBRAGAADESH T A</v>
      </c>
      <c r="E34" s="7">
        <f>CO_ATT_INPUTS!E35</f>
        <v>29</v>
      </c>
      <c r="F34" s="7">
        <f>CO_ATT_INPUTS!F35</f>
        <v>27</v>
      </c>
      <c r="G34" s="7">
        <f>CO_ATT_INPUTS!G35</f>
        <v>23</v>
      </c>
      <c r="H34" s="7">
        <f>CO_ATT_INPUTS!H35</f>
        <v>23</v>
      </c>
      <c r="I34" s="7">
        <f>CO_ATT_INPUTS!I35</f>
        <v>21</v>
      </c>
      <c r="J34" s="7">
        <f>CO_ATT_INPUTS!J35</f>
        <v>8</v>
      </c>
      <c r="K34" s="7">
        <f>CO_ATT_INPUTS!K35</f>
        <v>8</v>
      </c>
      <c r="L34" s="7">
        <f>CO_ATT_INPUTS!L35</f>
        <v>8</v>
      </c>
      <c r="M34" s="7">
        <f>CO_ATT_INPUTS!M35</f>
        <v>8</v>
      </c>
      <c r="N34" s="7">
        <f>CO_ATT_INPUTS!N35</f>
        <v>8</v>
      </c>
      <c r="O34" s="7">
        <f>CO_ATT_INPUTS!O35</f>
        <v>84</v>
      </c>
      <c r="P34" s="1">
        <f>CO_ATT_INPUTS!P35</f>
        <v>93</v>
      </c>
      <c r="Q34" s="7" t="e">
        <f>#REF!</f>
        <v>#REF!</v>
      </c>
      <c r="R34" s="7" t="e">
        <f>#REF!</f>
        <v>#REF!</v>
      </c>
      <c r="S34" s="7" t="e">
        <f>#REF!</f>
        <v>#REF!</v>
      </c>
      <c r="T34" s="7" t="e">
        <f>#REF!</f>
        <v>#REF!</v>
      </c>
      <c r="U34" s="7" t="e">
        <f>#REF!</f>
        <v>#REF!</v>
      </c>
      <c r="V34" s="7" t="e">
        <f>#REF!</f>
        <v>#REF!</v>
      </c>
      <c r="W34" s="7" t="e">
        <f t="shared" si="0"/>
        <v>#REF!</v>
      </c>
      <c r="X34" s="7" t="e">
        <f t="shared" si="1"/>
        <v>#REF!</v>
      </c>
      <c r="Y34" s="7" t="e">
        <f t="shared" si="2"/>
        <v>#REF!</v>
      </c>
      <c r="Z34" s="7" t="e">
        <f t="shared" si="3"/>
        <v>#REF!</v>
      </c>
      <c r="AA34" s="7" t="e">
        <f t="shared" si="4"/>
        <v>#REF!</v>
      </c>
      <c r="AB34" s="7" t="e">
        <f t="shared" si="5"/>
        <v>#REF!</v>
      </c>
      <c r="AC34" s="7" t="e">
        <f t="shared" si="6"/>
        <v>#REF!</v>
      </c>
      <c r="AD34" s="7" t="e">
        <f t="shared" si="7"/>
        <v>#REF!</v>
      </c>
      <c r="AE34" s="7" t="e">
        <f t="shared" si="8"/>
        <v>#REF!</v>
      </c>
      <c r="AF34" s="7" t="e">
        <f t="shared" si="9"/>
        <v>#REF!</v>
      </c>
      <c r="AG34" s="8" t="e">
        <f t="shared" si="10"/>
        <v>#REF!</v>
      </c>
      <c r="AH34" t="str">
        <f t="shared" si="11"/>
        <v>22CC017</v>
      </c>
    </row>
    <row r="35" spans="1:34" x14ac:dyDescent="0.25">
      <c r="A35" s="1">
        <f>CO_ATT_INPUTS!A36</f>
        <v>18</v>
      </c>
      <c r="B35" s="10" t="str">
        <f>CO_ATT_INPUTS!B36</f>
        <v>22CC018</v>
      </c>
      <c r="C35" s="10" t="str">
        <f>CO_ATT_INPUTS!C36</f>
        <v>722822115018</v>
      </c>
      <c r="D35" s="10" t="str">
        <f>CO_ATT_INPUTS!D36</f>
        <v>HARITHA R</v>
      </c>
      <c r="E35" s="7">
        <f>CO_ATT_INPUTS!E36</f>
        <v>30</v>
      </c>
      <c r="F35" s="7">
        <f>CO_ATT_INPUTS!F36</f>
        <v>32</v>
      </c>
      <c r="G35" s="7">
        <f>CO_ATT_INPUTS!G36</f>
        <v>31</v>
      </c>
      <c r="H35" s="7">
        <f>CO_ATT_INPUTS!H36</f>
        <v>34</v>
      </c>
      <c r="I35" s="7">
        <f>CO_ATT_INPUTS!I36</f>
        <v>26</v>
      </c>
      <c r="J35" s="7">
        <f>CO_ATT_INPUTS!J36</f>
        <v>8</v>
      </c>
      <c r="K35" s="7">
        <f>CO_ATT_INPUTS!K36</f>
        <v>8</v>
      </c>
      <c r="L35" s="7">
        <f>CO_ATT_INPUTS!L36</f>
        <v>8</v>
      </c>
      <c r="M35" s="7">
        <f>CO_ATT_INPUTS!M36</f>
        <v>8</v>
      </c>
      <c r="N35" s="7">
        <f>CO_ATT_INPUTS!N36</f>
        <v>8</v>
      </c>
      <c r="O35" s="7">
        <f>CO_ATT_INPUTS!O36</f>
        <v>90</v>
      </c>
      <c r="P35" s="1">
        <f>CO_ATT_INPUTS!P36</f>
        <v>100</v>
      </c>
      <c r="Q35" s="7" t="e">
        <f>#REF!</f>
        <v>#REF!</v>
      </c>
      <c r="R35" s="7" t="e">
        <f>#REF!</f>
        <v>#REF!</v>
      </c>
      <c r="S35" s="7" t="e">
        <f>#REF!</f>
        <v>#REF!</v>
      </c>
      <c r="T35" s="7" t="e">
        <f>#REF!</f>
        <v>#REF!</v>
      </c>
      <c r="U35" s="7" t="e">
        <f>#REF!</f>
        <v>#REF!</v>
      </c>
      <c r="V35" s="7" t="e">
        <f>#REF!</f>
        <v>#REF!</v>
      </c>
      <c r="W35" s="7" t="e">
        <f t="shared" si="0"/>
        <v>#REF!</v>
      </c>
      <c r="X35" s="7" t="e">
        <f t="shared" si="1"/>
        <v>#REF!</v>
      </c>
      <c r="Y35" s="7" t="e">
        <f t="shared" si="2"/>
        <v>#REF!</v>
      </c>
      <c r="Z35" s="7" t="e">
        <f t="shared" si="3"/>
        <v>#REF!</v>
      </c>
      <c r="AA35" s="7" t="e">
        <f t="shared" si="4"/>
        <v>#REF!</v>
      </c>
      <c r="AB35" s="7" t="e">
        <f t="shared" si="5"/>
        <v>#REF!</v>
      </c>
      <c r="AC35" s="7" t="e">
        <f t="shared" si="6"/>
        <v>#REF!</v>
      </c>
      <c r="AD35" s="7" t="e">
        <f t="shared" si="7"/>
        <v>#REF!</v>
      </c>
      <c r="AE35" s="7" t="e">
        <f t="shared" si="8"/>
        <v>#REF!</v>
      </c>
      <c r="AF35" s="7" t="e">
        <f t="shared" si="9"/>
        <v>#REF!</v>
      </c>
      <c r="AG35" s="8" t="e">
        <f t="shared" si="10"/>
        <v>#REF!</v>
      </c>
      <c r="AH35" t="str">
        <f t="shared" si="11"/>
        <v>22CC018</v>
      </c>
    </row>
    <row r="36" spans="1:34" x14ac:dyDescent="0.25">
      <c r="A36" s="1">
        <f>CO_ATT_INPUTS!A37</f>
        <v>19</v>
      </c>
      <c r="B36" s="10" t="str">
        <f>CO_ATT_INPUTS!B37</f>
        <v>22CC019</v>
      </c>
      <c r="C36" s="10" t="str">
        <f>CO_ATT_INPUTS!C37</f>
        <v>722822115019</v>
      </c>
      <c r="D36" s="10" t="str">
        <f>CO_ATT_INPUTS!D37</f>
        <v>JANANI M</v>
      </c>
      <c r="E36" s="7">
        <f>CO_ATT_INPUTS!E37</f>
        <v>27</v>
      </c>
      <c r="F36" s="7">
        <f>CO_ATT_INPUTS!F37</f>
        <v>35</v>
      </c>
      <c r="G36" s="7">
        <f>CO_ATT_INPUTS!G37</f>
        <v>32</v>
      </c>
      <c r="H36" s="7">
        <f>CO_ATT_INPUTS!H37</f>
        <v>33</v>
      </c>
      <c r="I36" s="7">
        <f>CO_ATT_INPUTS!I37</f>
        <v>34</v>
      </c>
      <c r="J36" s="7">
        <f>CO_ATT_INPUTS!J37</f>
        <v>10</v>
      </c>
      <c r="K36" s="7">
        <f>CO_ATT_INPUTS!K37</f>
        <v>10</v>
      </c>
      <c r="L36" s="7">
        <f>CO_ATT_INPUTS!L37</f>
        <v>10</v>
      </c>
      <c r="M36" s="7">
        <f>CO_ATT_INPUTS!M37</f>
        <v>10</v>
      </c>
      <c r="N36" s="7">
        <f>CO_ATT_INPUTS!N37</f>
        <v>10</v>
      </c>
      <c r="O36" s="7">
        <f>CO_ATT_INPUTS!O37</f>
        <v>94</v>
      </c>
      <c r="P36" s="1">
        <f>CO_ATT_INPUTS!P37</f>
        <v>100</v>
      </c>
      <c r="Q36" s="7" t="e">
        <f>#REF!</f>
        <v>#REF!</v>
      </c>
      <c r="R36" s="7" t="e">
        <f>#REF!</f>
        <v>#REF!</v>
      </c>
      <c r="S36" s="7" t="e">
        <f>#REF!</f>
        <v>#REF!</v>
      </c>
      <c r="T36" s="7" t="e">
        <f>#REF!</f>
        <v>#REF!</v>
      </c>
      <c r="U36" s="7" t="e">
        <f>#REF!</f>
        <v>#REF!</v>
      </c>
      <c r="V36" s="7" t="e">
        <f>#REF!</f>
        <v>#REF!</v>
      </c>
      <c r="W36" s="7" t="e">
        <f t="shared" si="0"/>
        <v>#REF!</v>
      </c>
      <c r="X36" s="7" t="e">
        <f t="shared" si="1"/>
        <v>#REF!</v>
      </c>
      <c r="Y36" s="7" t="e">
        <f t="shared" si="2"/>
        <v>#REF!</v>
      </c>
      <c r="Z36" s="7" t="e">
        <f t="shared" si="3"/>
        <v>#REF!</v>
      </c>
      <c r="AA36" s="7" t="e">
        <f t="shared" si="4"/>
        <v>#REF!</v>
      </c>
      <c r="AB36" s="7" t="e">
        <f t="shared" si="5"/>
        <v>#REF!</v>
      </c>
      <c r="AC36" s="7" t="e">
        <f t="shared" si="6"/>
        <v>#REF!</v>
      </c>
      <c r="AD36" s="7" t="e">
        <f t="shared" si="7"/>
        <v>#REF!</v>
      </c>
      <c r="AE36" s="7" t="e">
        <f t="shared" si="8"/>
        <v>#REF!</v>
      </c>
      <c r="AF36" s="7" t="e">
        <f t="shared" si="9"/>
        <v>#REF!</v>
      </c>
      <c r="AG36" s="8" t="e">
        <f t="shared" si="10"/>
        <v>#REF!</v>
      </c>
      <c r="AH36" t="str">
        <f t="shared" si="11"/>
        <v>22CC019</v>
      </c>
    </row>
    <row r="37" spans="1:34" x14ac:dyDescent="0.25">
      <c r="A37" s="1">
        <f>CO_ATT_INPUTS!A38</f>
        <v>20</v>
      </c>
      <c r="B37" s="10" t="str">
        <f>CO_ATT_INPUTS!B38</f>
        <v>22CC020</v>
      </c>
      <c r="C37" s="10" t="str">
        <f>CO_ATT_INPUTS!C38</f>
        <v>722822115020</v>
      </c>
      <c r="D37" s="10" t="str">
        <f>CO_ATT_INPUTS!D38</f>
        <v>KABINESH S</v>
      </c>
      <c r="E37" s="7">
        <f>CO_ATT_INPUTS!E38</f>
        <v>15</v>
      </c>
      <c r="F37" s="7">
        <f>CO_ATT_INPUTS!F38</f>
        <v>15</v>
      </c>
      <c r="G37" s="7">
        <f>CO_ATT_INPUTS!G38</f>
        <v>3</v>
      </c>
      <c r="H37" s="7">
        <f>CO_ATT_INPUTS!H38</f>
        <v>30</v>
      </c>
      <c r="I37" s="7">
        <f>CO_ATT_INPUTS!I38</f>
        <v>25</v>
      </c>
      <c r="J37" s="7">
        <f>CO_ATT_INPUTS!J38</f>
        <v>9</v>
      </c>
      <c r="K37" s="7">
        <f>CO_ATT_INPUTS!K38</f>
        <v>9</v>
      </c>
      <c r="L37" s="7">
        <f>CO_ATT_INPUTS!L38</f>
        <v>9</v>
      </c>
      <c r="M37" s="7">
        <f>CO_ATT_INPUTS!M38</f>
        <v>9</v>
      </c>
      <c r="N37" s="7">
        <f>CO_ATT_INPUTS!N38</f>
        <v>9</v>
      </c>
      <c r="O37" s="7">
        <f>CO_ATT_INPUTS!O38</f>
        <v>100</v>
      </c>
      <c r="P37" s="1">
        <f>CO_ATT_INPUTS!P38</f>
        <v>100</v>
      </c>
      <c r="Q37" s="7" t="e">
        <f>#REF!</f>
        <v>#REF!</v>
      </c>
      <c r="R37" s="7" t="e">
        <f>#REF!</f>
        <v>#REF!</v>
      </c>
      <c r="S37" s="7" t="e">
        <f>#REF!</f>
        <v>#REF!</v>
      </c>
      <c r="T37" s="7" t="e">
        <f>#REF!</f>
        <v>#REF!</v>
      </c>
      <c r="U37" s="7" t="e">
        <f>#REF!</f>
        <v>#REF!</v>
      </c>
      <c r="V37" s="7" t="e">
        <f>#REF!</f>
        <v>#REF!</v>
      </c>
      <c r="W37" s="7" t="e">
        <f t="shared" si="0"/>
        <v>#REF!</v>
      </c>
      <c r="X37" s="7" t="e">
        <f t="shared" si="1"/>
        <v>#REF!</v>
      </c>
      <c r="Y37" s="7" t="e">
        <f t="shared" si="2"/>
        <v>#REF!</v>
      </c>
      <c r="Z37" s="7" t="e">
        <f t="shared" si="3"/>
        <v>#REF!</v>
      </c>
      <c r="AA37" s="7" t="e">
        <f t="shared" si="4"/>
        <v>#REF!</v>
      </c>
      <c r="AB37" s="7" t="e">
        <f t="shared" si="5"/>
        <v>#REF!</v>
      </c>
      <c r="AC37" s="7" t="e">
        <f t="shared" si="6"/>
        <v>#REF!</v>
      </c>
      <c r="AD37" s="7" t="e">
        <f t="shared" si="7"/>
        <v>#REF!</v>
      </c>
      <c r="AE37" s="7" t="e">
        <f t="shared" si="8"/>
        <v>#REF!</v>
      </c>
      <c r="AF37" s="7" t="e">
        <f t="shared" si="9"/>
        <v>#REF!</v>
      </c>
      <c r="AG37" s="8" t="e">
        <f t="shared" si="10"/>
        <v>#REF!</v>
      </c>
      <c r="AH37" t="str">
        <f t="shared" si="11"/>
        <v>22CC020</v>
      </c>
    </row>
    <row r="38" spans="1:34" x14ac:dyDescent="0.25">
      <c r="A38" s="1">
        <f>CO_ATT_INPUTS!A39</f>
        <v>21</v>
      </c>
      <c r="B38" s="10" t="str">
        <f>CO_ATT_INPUTS!B39</f>
        <v>22CC021</v>
      </c>
      <c r="C38" s="10" t="str">
        <f>CO_ATT_INPUTS!C39</f>
        <v>722822115021</v>
      </c>
      <c r="D38" s="10" t="str">
        <f>CO_ATT_INPUTS!D39</f>
        <v>KAMALESH R</v>
      </c>
      <c r="E38" s="7">
        <f>CO_ATT_INPUTS!E39</f>
        <v>29</v>
      </c>
      <c r="F38" s="7">
        <f>CO_ATT_INPUTS!F39</f>
        <v>30</v>
      </c>
      <c r="G38" s="7">
        <f>CO_ATT_INPUTS!G39</f>
        <v>23</v>
      </c>
      <c r="H38" s="7">
        <f>CO_ATT_INPUTS!H39</f>
        <v>33</v>
      </c>
      <c r="I38" s="7">
        <f>CO_ATT_INPUTS!I39</f>
        <v>31</v>
      </c>
      <c r="J38" s="7">
        <f>CO_ATT_INPUTS!J39</f>
        <v>9</v>
      </c>
      <c r="K38" s="7">
        <f>CO_ATT_INPUTS!K39</f>
        <v>9</v>
      </c>
      <c r="L38" s="7">
        <f>CO_ATT_INPUTS!L39</f>
        <v>9</v>
      </c>
      <c r="M38" s="7">
        <f>CO_ATT_INPUTS!M39</f>
        <v>9</v>
      </c>
      <c r="N38" s="7">
        <f>CO_ATT_INPUTS!N39</f>
        <v>9</v>
      </c>
      <c r="O38" s="7">
        <f>CO_ATT_INPUTS!O39</f>
        <v>92</v>
      </c>
      <c r="P38" s="1">
        <f>CO_ATT_INPUTS!P39</f>
        <v>100</v>
      </c>
      <c r="Q38" s="7" t="e">
        <f>#REF!</f>
        <v>#REF!</v>
      </c>
      <c r="R38" s="7" t="e">
        <f>#REF!</f>
        <v>#REF!</v>
      </c>
      <c r="S38" s="7" t="e">
        <f>#REF!</f>
        <v>#REF!</v>
      </c>
      <c r="T38" s="7" t="e">
        <f>#REF!</f>
        <v>#REF!</v>
      </c>
      <c r="U38" s="7" t="e">
        <f>#REF!</f>
        <v>#REF!</v>
      </c>
      <c r="V38" s="7" t="e">
        <f>#REF!</f>
        <v>#REF!</v>
      </c>
      <c r="W38" s="7" t="e">
        <f t="shared" si="0"/>
        <v>#REF!</v>
      </c>
      <c r="X38" s="7" t="e">
        <f t="shared" si="1"/>
        <v>#REF!</v>
      </c>
      <c r="Y38" s="7" t="e">
        <f t="shared" si="2"/>
        <v>#REF!</v>
      </c>
      <c r="Z38" s="7" t="e">
        <f t="shared" si="3"/>
        <v>#REF!</v>
      </c>
      <c r="AA38" s="7" t="e">
        <f t="shared" si="4"/>
        <v>#REF!</v>
      </c>
      <c r="AB38" s="7" t="e">
        <f t="shared" si="5"/>
        <v>#REF!</v>
      </c>
      <c r="AC38" s="7" t="e">
        <f t="shared" si="6"/>
        <v>#REF!</v>
      </c>
      <c r="AD38" s="7" t="e">
        <f t="shared" si="7"/>
        <v>#REF!</v>
      </c>
      <c r="AE38" s="7" t="e">
        <f t="shared" si="8"/>
        <v>#REF!</v>
      </c>
      <c r="AF38" s="7" t="e">
        <f t="shared" si="9"/>
        <v>#REF!</v>
      </c>
      <c r="AG38" s="8" t="e">
        <f t="shared" si="10"/>
        <v>#REF!</v>
      </c>
      <c r="AH38" t="str">
        <f t="shared" si="11"/>
        <v>22CC021</v>
      </c>
    </row>
    <row r="39" spans="1:34" x14ac:dyDescent="0.25">
      <c r="A39" s="1">
        <f>CO_ATT_INPUTS!A40</f>
        <v>22</v>
      </c>
      <c r="B39" s="10" t="str">
        <f>CO_ATT_INPUTS!B40</f>
        <v>22CC022</v>
      </c>
      <c r="C39" s="10" t="str">
        <f>CO_ATT_INPUTS!C40</f>
        <v>722822115022</v>
      </c>
      <c r="D39" s="10" t="str">
        <f>CO_ATT_INPUTS!D40</f>
        <v>KARTHICK M G</v>
      </c>
      <c r="E39" s="7">
        <f>CO_ATT_INPUTS!E40</f>
        <v>29</v>
      </c>
      <c r="F39" s="7">
        <f>CO_ATT_INPUTS!F40</f>
        <v>28</v>
      </c>
      <c r="G39" s="7">
        <f>CO_ATT_INPUTS!G40</f>
        <v>25</v>
      </c>
      <c r="H39" s="7">
        <f>CO_ATT_INPUTS!H40</f>
        <v>33</v>
      </c>
      <c r="I39" s="7">
        <f>CO_ATT_INPUTS!I40</f>
        <v>33</v>
      </c>
      <c r="J39" s="7">
        <f>CO_ATT_INPUTS!J40</f>
        <v>9</v>
      </c>
      <c r="K39" s="7">
        <f>CO_ATT_INPUTS!K40</f>
        <v>9</v>
      </c>
      <c r="L39" s="7">
        <f>CO_ATT_INPUTS!L40</f>
        <v>9</v>
      </c>
      <c r="M39" s="7">
        <f>CO_ATT_INPUTS!M40</f>
        <v>9</v>
      </c>
      <c r="N39" s="7">
        <f>CO_ATT_INPUTS!N40</f>
        <v>9</v>
      </c>
      <c r="O39" s="7">
        <f>CO_ATT_INPUTS!O40</f>
        <v>88</v>
      </c>
      <c r="P39" s="1">
        <f>CO_ATT_INPUTS!P40</f>
        <v>100</v>
      </c>
      <c r="Q39" s="7" t="e">
        <f>#REF!</f>
        <v>#REF!</v>
      </c>
      <c r="R39" s="7" t="e">
        <f>#REF!</f>
        <v>#REF!</v>
      </c>
      <c r="S39" s="7" t="e">
        <f>#REF!</f>
        <v>#REF!</v>
      </c>
      <c r="T39" s="7" t="e">
        <f>#REF!</f>
        <v>#REF!</v>
      </c>
      <c r="U39" s="7" t="e">
        <f>#REF!</f>
        <v>#REF!</v>
      </c>
      <c r="V39" s="7" t="e">
        <f>#REF!</f>
        <v>#REF!</v>
      </c>
      <c r="W39" s="7" t="e">
        <f t="shared" si="0"/>
        <v>#REF!</v>
      </c>
      <c r="X39" s="7" t="e">
        <f t="shared" si="1"/>
        <v>#REF!</v>
      </c>
      <c r="Y39" s="7" t="e">
        <f t="shared" si="2"/>
        <v>#REF!</v>
      </c>
      <c r="Z39" s="7" t="e">
        <f t="shared" si="3"/>
        <v>#REF!</v>
      </c>
      <c r="AA39" s="7" t="e">
        <f t="shared" si="4"/>
        <v>#REF!</v>
      </c>
      <c r="AB39" s="7" t="e">
        <f t="shared" si="5"/>
        <v>#REF!</v>
      </c>
      <c r="AC39" s="7" t="e">
        <f t="shared" si="6"/>
        <v>#REF!</v>
      </c>
      <c r="AD39" s="7" t="e">
        <f t="shared" si="7"/>
        <v>#REF!</v>
      </c>
      <c r="AE39" s="7" t="e">
        <f t="shared" si="8"/>
        <v>#REF!</v>
      </c>
      <c r="AF39" s="7" t="e">
        <f t="shared" si="9"/>
        <v>#REF!</v>
      </c>
      <c r="AG39" s="8" t="e">
        <f t="shared" si="10"/>
        <v>#REF!</v>
      </c>
      <c r="AH39" t="str">
        <f t="shared" si="11"/>
        <v>22CC022</v>
      </c>
    </row>
    <row r="40" spans="1:34" x14ac:dyDescent="0.25">
      <c r="A40" s="1">
        <f>CO_ATT_INPUTS!A41</f>
        <v>23</v>
      </c>
      <c r="B40" s="10" t="str">
        <f>CO_ATT_INPUTS!B41</f>
        <v>22CC023</v>
      </c>
      <c r="C40" s="10" t="str">
        <f>CO_ATT_INPUTS!C41</f>
        <v>722822115023</v>
      </c>
      <c r="D40" s="10" t="str">
        <f>CO_ATT_INPUTS!D41</f>
        <v>KARTHIK S</v>
      </c>
      <c r="E40" s="7">
        <f>CO_ATT_INPUTS!E41</f>
        <v>27</v>
      </c>
      <c r="F40" s="7">
        <f>CO_ATT_INPUTS!F41</f>
        <v>21</v>
      </c>
      <c r="G40" s="7">
        <f>CO_ATT_INPUTS!G41</f>
        <v>15</v>
      </c>
      <c r="H40" s="7">
        <f>CO_ATT_INPUTS!H41</f>
        <v>30</v>
      </c>
      <c r="I40" s="7">
        <f>CO_ATT_INPUTS!I41</f>
        <v>29</v>
      </c>
      <c r="J40" s="7">
        <f>CO_ATT_INPUTS!J41</f>
        <v>8</v>
      </c>
      <c r="K40" s="7">
        <f>CO_ATT_INPUTS!K41</f>
        <v>8</v>
      </c>
      <c r="L40" s="7">
        <f>CO_ATT_INPUTS!L41</f>
        <v>8</v>
      </c>
      <c r="M40" s="7">
        <f>CO_ATT_INPUTS!M41</f>
        <v>8</v>
      </c>
      <c r="N40" s="7">
        <f>CO_ATT_INPUTS!N41</f>
        <v>8</v>
      </c>
      <c r="O40" s="7">
        <f>CO_ATT_INPUTS!O41</f>
        <v>90</v>
      </c>
      <c r="P40" s="1">
        <f>CO_ATT_INPUTS!P41</f>
        <v>100</v>
      </c>
      <c r="Q40" s="7" t="e">
        <f>#REF!</f>
        <v>#REF!</v>
      </c>
      <c r="R40" s="7" t="e">
        <f>#REF!</f>
        <v>#REF!</v>
      </c>
      <c r="S40" s="7" t="e">
        <f>#REF!</f>
        <v>#REF!</v>
      </c>
      <c r="T40" s="7" t="e">
        <f>#REF!</f>
        <v>#REF!</v>
      </c>
      <c r="U40" s="7" t="e">
        <f>#REF!</f>
        <v>#REF!</v>
      </c>
      <c r="V40" s="7" t="e">
        <f>#REF!</f>
        <v>#REF!</v>
      </c>
      <c r="W40" s="7" t="e">
        <f t="shared" si="0"/>
        <v>#REF!</v>
      </c>
      <c r="X40" s="7" t="e">
        <f t="shared" si="1"/>
        <v>#REF!</v>
      </c>
      <c r="Y40" s="7" t="e">
        <f t="shared" si="2"/>
        <v>#REF!</v>
      </c>
      <c r="Z40" s="7" t="e">
        <f t="shared" si="3"/>
        <v>#REF!</v>
      </c>
      <c r="AA40" s="7" t="e">
        <f t="shared" si="4"/>
        <v>#REF!</v>
      </c>
      <c r="AB40" s="7" t="e">
        <f t="shared" si="5"/>
        <v>#REF!</v>
      </c>
      <c r="AC40" s="7" t="e">
        <f t="shared" si="6"/>
        <v>#REF!</v>
      </c>
      <c r="AD40" s="7" t="e">
        <f t="shared" si="7"/>
        <v>#REF!</v>
      </c>
      <c r="AE40" s="7" t="e">
        <f t="shared" si="8"/>
        <v>#REF!</v>
      </c>
      <c r="AF40" s="7" t="e">
        <f t="shared" si="9"/>
        <v>#REF!</v>
      </c>
      <c r="AG40" s="8" t="e">
        <f t="shared" si="10"/>
        <v>#REF!</v>
      </c>
      <c r="AH40" t="str">
        <f t="shared" si="11"/>
        <v>22CC023</v>
      </c>
    </row>
    <row r="41" spans="1:34" x14ac:dyDescent="0.25">
      <c r="A41" s="1">
        <f>CO_ATT_INPUTS!A42</f>
        <v>24</v>
      </c>
      <c r="B41" s="10" t="str">
        <f>CO_ATT_INPUTS!B42</f>
        <v>22CC024</v>
      </c>
      <c r="C41" s="10" t="str">
        <f>CO_ATT_INPUTS!C42</f>
        <v>722822115024</v>
      </c>
      <c r="D41" s="10" t="str">
        <f>CO_ATT_INPUTS!D42</f>
        <v>KATHIRVEL R</v>
      </c>
      <c r="E41" s="7">
        <f>CO_ATT_INPUTS!E42</f>
        <v>12</v>
      </c>
      <c r="F41" s="7">
        <f>CO_ATT_INPUTS!F42</f>
        <v>14</v>
      </c>
      <c r="G41" s="7">
        <f>CO_ATT_INPUTS!G42</f>
        <v>3</v>
      </c>
      <c r="H41" s="7">
        <f>CO_ATT_INPUTS!H42</f>
        <v>30</v>
      </c>
      <c r="I41" s="7">
        <f>CO_ATT_INPUTS!I42</f>
        <v>30</v>
      </c>
      <c r="J41" s="7">
        <f>CO_ATT_INPUTS!J42</f>
        <v>8</v>
      </c>
      <c r="K41" s="7">
        <f>CO_ATT_INPUTS!K42</f>
        <v>8</v>
      </c>
      <c r="L41" s="7">
        <f>CO_ATT_INPUTS!L42</f>
        <v>8</v>
      </c>
      <c r="M41" s="7">
        <f>CO_ATT_INPUTS!M42</f>
        <v>8</v>
      </c>
      <c r="N41" s="7">
        <f>CO_ATT_INPUTS!N42</f>
        <v>8</v>
      </c>
      <c r="O41" s="7">
        <f>CO_ATT_INPUTS!O42</f>
        <v>94</v>
      </c>
      <c r="P41" s="1">
        <f>CO_ATT_INPUTS!P42</f>
        <v>100</v>
      </c>
      <c r="Q41" s="7" t="e">
        <f>#REF!</f>
        <v>#REF!</v>
      </c>
      <c r="R41" s="7" t="e">
        <f>#REF!</f>
        <v>#REF!</v>
      </c>
      <c r="S41" s="7" t="e">
        <f>#REF!</f>
        <v>#REF!</v>
      </c>
      <c r="T41" s="7" t="e">
        <f>#REF!</f>
        <v>#REF!</v>
      </c>
      <c r="U41" s="7" t="e">
        <f>#REF!</f>
        <v>#REF!</v>
      </c>
      <c r="V41" s="7" t="e">
        <f>#REF!</f>
        <v>#REF!</v>
      </c>
      <c r="W41" s="7" t="e">
        <f t="shared" si="0"/>
        <v>#REF!</v>
      </c>
      <c r="X41" s="7" t="e">
        <f t="shared" si="1"/>
        <v>#REF!</v>
      </c>
      <c r="Y41" s="7" t="e">
        <f t="shared" si="2"/>
        <v>#REF!</v>
      </c>
      <c r="Z41" s="7" t="e">
        <f t="shared" si="3"/>
        <v>#REF!</v>
      </c>
      <c r="AA41" s="7" t="e">
        <f t="shared" si="4"/>
        <v>#REF!</v>
      </c>
      <c r="AB41" s="7" t="e">
        <f t="shared" si="5"/>
        <v>#REF!</v>
      </c>
      <c r="AC41" s="7" t="e">
        <f t="shared" si="6"/>
        <v>#REF!</v>
      </c>
      <c r="AD41" s="7" t="e">
        <f t="shared" si="7"/>
        <v>#REF!</v>
      </c>
      <c r="AE41" s="7" t="e">
        <f t="shared" si="8"/>
        <v>#REF!</v>
      </c>
      <c r="AF41" s="7" t="e">
        <f t="shared" si="9"/>
        <v>#REF!</v>
      </c>
      <c r="AG41" s="8" t="e">
        <f t="shared" si="10"/>
        <v>#REF!</v>
      </c>
      <c r="AH41" t="str">
        <f t="shared" si="11"/>
        <v>22CC024</v>
      </c>
    </row>
    <row r="42" spans="1:34" x14ac:dyDescent="0.25">
      <c r="A42" s="1">
        <f>CO_ATT_INPUTS!A43</f>
        <v>25</v>
      </c>
      <c r="B42" s="10" t="str">
        <f>CO_ATT_INPUTS!B43</f>
        <v>22CC025</v>
      </c>
      <c r="C42" s="10" t="str">
        <f>CO_ATT_INPUTS!C43</f>
        <v>722822115025</v>
      </c>
      <c r="D42" s="10" t="str">
        <f>CO_ATT_INPUTS!D43</f>
        <v>KAVIYA A</v>
      </c>
      <c r="E42" s="7">
        <f>CO_ATT_INPUTS!E43</f>
        <v>21</v>
      </c>
      <c r="F42" s="7">
        <f>CO_ATT_INPUTS!F43</f>
        <v>25</v>
      </c>
      <c r="G42" s="7">
        <f>CO_ATT_INPUTS!G43</f>
        <v>26</v>
      </c>
      <c r="H42" s="7">
        <f>CO_ATT_INPUTS!H43</f>
        <v>28</v>
      </c>
      <c r="I42" s="7">
        <f>CO_ATT_INPUTS!I43</f>
        <v>21</v>
      </c>
      <c r="J42" s="7">
        <f>CO_ATT_INPUTS!J43</f>
        <v>9</v>
      </c>
      <c r="K42" s="7">
        <f>CO_ATT_INPUTS!K43</f>
        <v>9</v>
      </c>
      <c r="L42" s="7">
        <f>CO_ATT_INPUTS!L43</f>
        <v>9</v>
      </c>
      <c r="M42" s="7">
        <f>CO_ATT_INPUTS!M43</f>
        <v>9</v>
      </c>
      <c r="N42" s="7">
        <f>CO_ATT_INPUTS!N43</f>
        <v>9</v>
      </c>
      <c r="O42" s="7">
        <f>CO_ATT_INPUTS!O43</f>
        <v>88</v>
      </c>
      <c r="P42" s="1">
        <f>CO_ATT_INPUTS!P43</f>
        <v>100</v>
      </c>
      <c r="Q42" s="7" t="e">
        <f>#REF!</f>
        <v>#REF!</v>
      </c>
      <c r="R42" s="7" t="e">
        <f>#REF!</f>
        <v>#REF!</v>
      </c>
      <c r="S42" s="7" t="e">
        <f>#REF!</f>
        <v>#REF!</v>
      </c>
      <c r="T42" s="7" t="e">
        <f>#REF!</f>
        <v>#REF!</v>
      </c>
      <c r="U42" s="7" t="e">
        <f>#REF!</f>
        <v>#REF!</v>
      </c>
      <c r="V42" s="7" t="e">
        <f>#REF!</f>
        <v>#REF!</v>
      </c>
      <c r="W42" s="7" t="e">
        <f t="shared" si="0"/>
        <v>#REF!</v>
      </c>
      <c r="X42" s="7" t="e">
        <f t="shared" si="1"/>
        <v>#REF!</v>
      </c>
      <c r="Y42" s="7" t="e">
        <f t="shared" si="2"/>
        <v>#REF!</v>
      </c>
      <c r="Z42" s="7" t="e">
        <f t="shared" si="3"/>
        <v>#REF!</v>
      </c>
      <c r="AA42" s="7" t="e">
        <f t="shared" si="4"/>
        <v>#REF!</v>
      </c>
      <c r="AB42" s="7" t="e">
        <f t="shared" si="5"/>
        <v>#REF!</v>
      </c>
      <c r="AC42" s="7" t="e">
        <f t="shared" si="6"/>
        <v>#REF!</v>
      </c>
      <c r="AD42" s="7" t="e">
        <f t="shared" si="7"/>
        <v>#REF!</v>
      </c>
      <c r="AE42" s="7" t="e">
        <f t="shared" si="8"/>
        <v>#REF!</v>
      </c>
      <c r="AF42" s="7" t="e">
        <f t="shared" si="9"/>
        <v>#REF!</v>
      </c>
      <c r="AG42" s="8" t="e">
        <f t="shared" si="10"/>
        <v>#REF!</v>
      </c>
      <c r="AH42" t="str">
        <f t="shared" si="11"/>
        <v>22CC025</v>
      </c>
    </row>
    <row r="43" spans="1:34" x14ac:dyDescent="0.25">
      <c r="A43" s="1">
        <f>CO_ATT_INPUTS!A44</f>
        <v>26</v>
      </c>
      <c r="B43" s="10" t="str">
        <f>CO_ATT_INPUTS!B44</f>
        <v>22CC026</v>
      </c>
      <c r="C43" s="10" t="str">
        <f>CO_ATT_INPUTS!C44</f>
        <v>722822115026</v>
      </c>
      <c r="D43" s="10" t="str">
        <f>CO_ATT_INPUTS!D44</f>
        <v>LOGESHWARAN V</v>
      </c>
      <c r="E43" s="7">
        <f>CO_ATT_INPUTS!E44</f>
        <v>30</v>
      </c>
      <c r="F43" s="7">
        <f>CO_ATT_INPUTS!F44</f>
        <v>18</v>
      </c>
      <c r="G43" s="7">
        <f>CO_ATT_INPUTS!G44</f>
        <v>22</v>
      </c>
      <c r="H43" s="7">
        <f>CO_ATT_INPUTS!H44</f>
        <v>32</v>
      </c>
      <c r="I43" s="7">
        <f>CO_ATT_INPUTS!I44</f>
        <v>20</v>
      </c>
      <c r="J43" s="7">
        <f>CO_ATT_INPUTS!J44</f>
        <v>8</v>
      </c>
      <c r="K43" s="7">
        <f>CO_ATT_INPUTS!K44</f>
        <v>8</v>
      </c>
      <c r="L43" s="7">
        <f>CO_ATT_INPUTS!L44</f>
        <v>8</v>
      </c>
      <c r="M43" s="7">
        <f>CO_ATT_INPUTS!M44</f>
        <v>8</v>
      </c>
      <c r="N43" s="7">
        <f>CO_ATT_INPUTS!N44</f>
        <v>8</v>
      </c>
      <c r="O43" s="7">
        <f>CO_ATT_INPUTS!O44</f>
        <v>86</v>
      </c>
      <c r="P43" s="1">
        <f>CO_ATT_INPUTS!P44</f>
        <v>100</v>
      </c>
      <c r="Q43" s="7" t="e">
        <f>#REF!</f>
        <v>#REF!</v>
      </c>
      <c r="R43" s="7" t="e">
        <f>#REF!</f>
        <v>#REF!</v>
      </c>
      <c r="S43" s="7" t="e">
        <f>#REF!</f>
        <v>#REF!</v>
      </c>
      <c r="T43" s="7" t="e">
        <f>#REF!</f>
        <v>#REF!</v>
      </c>
      <c r="U43" s="7" t="e">
        <f>#REF!</f>
        <v>#REF!</v>
      </c>
      <c r="V43" s="7" t="e">
        <f>#REF!</f>
        <v>#REF!</v>
      </c>
      <c r="W43" s="7" t="e">
        <f t="shared" si="0"/>
        <v>#REF!</v>
      </c>
      <c r="X43" s="7" t="e">
        <f t="shared" si="1"/>
        <v>#REF!</v>
      </c>
      <c r="Y43" s="7" t="e">
        <f t="shared" si="2"/>
        <v>#REF!</v>
      </c>
      <c r="Z43" s="7" t="e">
        <f t="shared" si="3"/>
        <v>#REF!</v>
      </c>
      <c r="AA43" s="7" t="e">
        <f t="shared" si="4"/>
        <v>#REF!</v>
      </c>
      <c r="AB43" s="7" t="e">
        <f t="shared" si="5"/>
        <v>#REF!</v>
      </c>
      <c r="AC43" s="7" t="e">
        <f t="shared" si="6"/>
        <v>#REF!</v>
      </c>
      <c r="AD43" s="7" t="e">
        <f t="shared" si="7"/>
        <v>#REF!</v>
      </c>
      <c r="AE43" s="7" t="e">
        <f t="shared" si="8"/>
        <v>#REF!</v>
      </c>
      <c r="AF43" s="7" t="e">
        <f t="shared" si="9"/>
        <v>#REF!</v>
      </c>
      <c r="AG43" s="8" t="e">
        <f t="shared" si="10"/>
        <v>#REF!</v>
      </c>
      <c r="AH43" t="str">
        <f t="shared" si="11"/>
        <v>22CC026</v>
      </c>
    </row>
    <row r="44" spans="1:34" x14ac:dyDescent="0.25">
      <c r="A44" s="1">
        <f>CO_ATT_INPUTS!A45</f>
        <v>27</v>
      </c>
      <c r="B44" s="10" t="str">
        <f>CO_ATT_INPUTS!B45</f>
        <v>22CC027</v>
      </c>
      <c r="C44" s="10" t="str">
        <f>CO_ATT_INPUTS!C45</f>
        <v>722822115027</v>
      </c>
      <c r="D44" s="10" t="str">
        <f>CO_ATT_INPUTS!D45</f>
        <v>MADHAN A</v>
      </c>
      <c r="E44" s="7">
        <f>CO_ATT_INPUTS!E45</f>
        <v>16</v>
      </c>
      <c r="F44" s="7">
        <f>CO_ATT_INPUTS!F45</f>
        <v>11</v>
      </c>
      <c r="G44" s="7">
        <f>CO_ATT_INPUTS!G45</f>
        <v>15</v>
      </c>
      <c r="H44" s="7">
        <f>CO_ATT_INPUTS!H45</f>
        <v>28</v>
      </c>
      <c r="I44" s="7">
        <f>CO_ATT_INPUTS!I45</f>
        <v>28</v>
      </c>
      <c r="J44" s="7">
        <f>CO_ATT_INPUTS!J45</f>
        <v>9</v>
      </c>
      <c r="K44" s="7">
        <f>CO_ATT_INPUTS!K45</f>
        <v>9</v>
      </c>
      <c r="L44" s="7">
        <f>CO_ATT_INPUTS!L45</f>
        <v>9</v>
      </c>
      <c r="M44" s="7">
        <f>CO_ATT_INPUTS!M45</f>
        <v>9</v>
      </c>
      <c r="N44" s="7">
        <f>CO_ATT_INPUTS!N45</f>
        <v>9</v>
      </c>
      <c r="O44" s="7">
        <f>CO_ATT_INPUTS!O45</f>
        <v>88</v>
      </c>
      <c r="P44" s="1">
        <f>CO_ATT_INPUTS!P45</f>
        <v>98</v>
      </c>
      <c r="Q44" s="7" t="e">
        <f>#REF!</f>
        <v>#REF!</v>
      </c>
      <c r="R44" s="7" t="e">
        <f>#REF!</f>
        <v>#REF!</v>
      </c>
      <c r="S44" s="7" t="e">
        <f>#REF!</f>
        <v>#REF!</v>
      </c>
      <c r="T44" s="7" t="e">
        <f>#REF!</f>
        <v>#REF!</v>
      </c>
      <c r="U44" s="7" t="e">
        <f>#REF!</f>
        <v>#REF!</v>
      </c>
      <c r="V44" s="7" t="e">
        <f>#REF!</f>
        <v>#REF!</v>
      </c>
      <c r="W44" s="7" t="e">
        <f t="shared" si="0"/>
        <v>#REF!</v>
      </c>
      <c r="X44" s="7" t="e">
        <f t="shared" si="1"/>
        <v>#REF!</v>
      </c>
      <c r="Y44" s="7" t="e">
        <f t="shared" si="2"/>
        <v>#REF!</v>
      </c>
      <c r="Z44" s="7" t="e">
        <f t="shared" si="3"/>
        <v>#REF!</v>
      </c>
      <c r="AA44" s="7" t="e">
        <f t="shared" si="4"/>
        <v>#REF!</v>
      </c>
      <c r="AB44" s="7" t="e">
        <f t="shared" si="5"/>
        <v>#REF!</v>
      </c>
      <c r="AC44" s="7" t="e">
        <f t="shared" si="6"/>
        <v>#REF!</v>
      </c>
      <c r="AD44" s="7" t="e">
        <f t="shared" si="7"/>
        <v>#REF!</v>
      </c>
      <c r="AE44" s="7" t="e">
        <f t="shared" si="8"/>
        <v>#REF!</v>
      </c>
      <c r="AF44" s="7" t="e">
        <f t="shared" si="9"/>
        <v>#REF!</v>
      </c>
      <c r="AG44" s="8" t="e">
        <f t="shared" si="10"/>
        <v>#REF!</v>
      </c>
      <c r="AH44" t="str">
        <f t="shared" si="11"/>
        <v>22CC027</v>
      </c>
    </row>
    <row r="45" spans="1:34" x14ac:dyDescent="0.25">
      <c r="A45" s="1">
        <f>CO_ATT_INPUTS!A46</f>
        <v>28</v>
      </c>
      <c r="B45" s="10" t="str">
        <f>CO_ATT_INPUTS!B46</f>
        <v>22CC028</v>
      </c>
      <c r="C45" s="10" t="str">
        <f>CO_ATT_INPUTS!C46</f>
        <v>722822115028</v>
      </c>
      <c r="D45" s="10" t="str">
        <f>CO_ATT_INPUTS!D46</f>
        <v>MANGAIYARKARASI R</v>
      </c>
      <c r="E45" s="7">
        <f>CO_ATT_INPUTS!E46</f>
        <v>30</v>
      </c>
      <c r="F45" s="7">
        <f>CO_ATT_INPUTS!F46</f>
        <v>30</v>
      </c>
      <c r="G45" s="7">
        <f>CO_ATT_INPUTS!G46</f>
        <v>31</v>
      </c>
      <c r="H45" s="7">
        <f>CO_ATT_INPUTS!H46</f>
        <v>33</v>
      </c>
      <c r="I45" s="7">
        <f>CO_ATT_INPUTS!I46</f>
        <v>34</v>
      </c>
      <c r="J45" s="7">
        <f>CO_ATT_INPUTS!J46</f>
        <v>9</v>
      </c>
      <c r="K45" s="7">
        <f>CO_ATT_INPUTS!K46</f>
        <v>9</v>
      </c>
      <c r="L45" s="7">
        <f>CO_ATT_INPUTS!L46</f>
        <v>9</v>
      </c>
      <c r="M45" s="7">
        <f>CO_ATT_INPUTS!M46</f>
        <v>9</v>
      </c>
      <c r="N45" s="7">
        <f>CO_ATT_INPUTS!N46</f>
        <v>9</v>
      </c>
      <c r="O45" s="7">
        <f>CO_ATT_INPUTS!O46</f>
        <v>90</v>
      </c>
      <c r="P45" s="1">
        <f>CO_ATT_INPUTS!P46</f>
        <v>100</v>
      </c>
      <c r="Q45" s="7" t="e">
        <f>#REF!</f>
        <v>#REF!</v>
      </c>
      <c r="R45" s="7" t="e">
        <f>#REF!</f>
        <v>#REF!</v>
      </c>
      <c r="S45" s="7" t="e">
        <f>#REF!</f>
        <v>#REF!</v>
      </c>
      <c r="T45" s="7" t="e">
        <f>#REF!</f>
        <v>#REF!</v>
      </c>
      <c r="U45" s="7" t="e">
        <f>#REF!</f>
        <v>#REF!</v>
      </c>
      <c r="V45" s="7" t="e">
        <f>#REF!</f>
        <v>#REF!</v>
      </c>
      <c r="W45" s="7" t="e">
        <f t="shared" si="0"/>
        <v>#REF!</v>
      </c>
      <c r="X45" s="7" t="e">
        <f t="shared" si="1"/>
        <v>#REF!</v>
      </c>
      <c r="Y45" s="7" t="e">
        <f t="shared" si="2"/>
        <v>#REF!</v>
      </c>
      <c r="Z45" s="7" t="e">
        <f t="shared" si="3"/>
        <v>#REF!</v>
      </c>
      <c r="AA45" s="7" t="e">
        <f t="shared" si="4"/>
        <v>#REF!</v>
      </c>
      <c r="AB45" s="7" t="e">
        <f t="shared" si="5"/>
        <v>#REF!</v>
      </c>
      <c r="AC45" s="7" t="e">
        <f t="shared" si="6"/>
        <v>#REF!</v>
      </c>
      <c r="AD45" s="7" t="e">
        <f t="shared" si="7"/>
        <v>#REF!</v>
      </c>
      <c r="AE45" s="7" t="e">
        <f t="shared" si="8"/>
        <v>#REF!</v>
      </c>
      <c r="AF45" s="7" t="e">
        <f t="shared" si="9"/>
        <v>#REF!</v>
      </c>
      <c r="AG45" s="8" t="e">
        <f t="shared" si="10"/>
        <v>#REF!</v>
      </c>
      <c r="AH45" t="str">
        <f t="shared" si="11"/>
        <v>22CC028</v>
      </c>
    </row>
    <row r="46" spans="1:34" x14ac:dyDescent="0.25">
      <c r="A46" s="1">
        <f>CO_ATT_INPUTS!A47</f>
        <v>29</v>
      </c>
      <c r="B46" s="10" t="str">
        <f>CO_ATT_INPUTS!B47</f>
        <v>22CC029</v>
      </c>
      <c r="C46" s="10" t="str">
        <f>CO_ATT_INPUTS!C47</f>
        <v>722822115029</v>
      </c>
      <c r="D46" s="10" t="str">
        <f>CO_ATT_INPUTS!D47</f>
        <v>MOHAMED AFSAR A</v>
      </c>
      <c r="E46" s="7">
        <f>CO_ATT_INPUTS!E47</f>
        <v>23</v>
      </c>
      <c r="F46" s="7">
        <f>CO_ATT_INPUTS!F47</f>
        <v>22</v>
      </c>
      <c r="G46" s="7">
        <f>CO_ATT_INPUTS!G47</f>
        <v>28</v>
      </c>
      <c r="H46" s="7">
        <f>CO_ATT_INPUTS!H47</f>
        <v>24</v>
      </c>
      <c r="I46" s="7">
        <f>CO_ATT_INPUTS!I47</f>
        <v>20</v>
      </c>
      <c r="J46" s="7">
        <f>CO_ATT_INPUTS!J47</f>
        <v>9</v>
      </c>
      <c r="K46" s="7">
        <f>CO_ATT_INPUTS!K47</f>
        <v>9</v>
      </c>
      <c r="L46" s="7">
        <f>CO_ATT_INPUTS!L47</f>
        <v>9</v>
      </c>
      <c r="M46" s="7">
        <f>CO_ATT_INPUTS!M47</f>
        <v>9</v>
      </c>
      <c r="N46" s="7">
        <f>CO_ATT_INPUTS!N47</f>
        <v>9</v>
      </c>
      <c r="O46" s="7">
        <f>CO_ATT_INPUTS!O47</f>
        <v>90</v>
      </c>
      <c r="P46" s="1">
        <f>CO_ATT_INPUTS!P47</f>
        <v>100</v>
      </c>
      <c r="Q46" s="7" t="e">
        <f>#REF!</f>
        <v>#REF!</v>
      </c>
      <c r="R46" s="7" t="e">
        <f>#REF!</f>
        <v>#REF!</v>
      </c>
      <c r="S46" s="7" t="e">
        <f>#REF!</f>
        <v>#REF!</v>
      </c>
      <c r="T46" s="7" t="e">
        <f>#REF!</f>
        <v>#REF!</v>
      </c>
      <c r="U46" s="7" t="e">
        <f>#REF!</f>
        <v>#REF!</v>
      </c>
      <c r="V46" s="7" t="e">
        <f>#REF!</f>
        <v>#REF!</v>
      </c>
      <c r="W46" s="7" t="e">
        <f t="shared" si="0"/>
        <v>#REF!</v>
      </c>
      <c r="X46" s="7" t="e">
        <f t="shared" si="1"/>
        <v>#REF!</v>
      </c>
      <c r="Y46" s="7" t="e">
        <f t="shared" si="2"/>
        <v>#REF!</v>
      </c>
      <c r="Z46" s="7" t="e">
        <f t="shared" si="3"/>
        <v>#REF!</v>
      </c>
      <c r="AA46" s="7" t="e">
        <f t="shared" si="4"/>
        <v>#REF!</v>
      </c>
      <c r="AB46" s="7" t="e">
        <f t="shared" si="5"/>
        <v>#REF!</v>
      </c>
      <c r="AC46" s="7" t="e">
        <f t="shared" si="6"/>
        <v>#REF!</v>
      </c>
      <c r="AD46" s="7" t="e">
        <f t="shared" si="7"/>
        <v>#REF!</v>
      </c>
      <c r="AE46" s="7" t="e">
        <f t="shared" si="8"/>
        <v>#REF!</v>
      </c>
      <c r="AF46" s="7" t="e">
        <f t="shared" si="9"/>
        <v>#REF!</v>
      </c>
      <c r="AG46" s="8" t="e">
        <f t="shared" si="10"/>
        <v>#REF!</v>
      </c>
      <c r="AH46" t="str">
        <f t="shared" si="11"/>
        <v>22CC029</v>
      </c>
    </row>
    <row r="47" spans="1:34" x14ac:dyDescent="0.25">
      <c r="A47" s="1">
        <f>CO_ATT_INPUTS!A48</f>
        <v>30</v>
      </c>
      <c r="B47" s="10" t="str">
        <f>CO_ATT_INPUTS!B48</f>
        <v>22CC030</v>
      </c>
      <c r="C47" s="10" t="str">
        <f>CO_ATT_INPUTS!C48</f>
        <v>722822115030</v>
      </c>
      <c r="D47" s="10" t="str">
        <f>CO_ATT_INPUTS!D48</f>
        <v>MUTHU RAJA S</v>
      </c>
      <c r="E47" s="7">
        <f>CO_ATT_INPUTS!E48</f>
        <v>26</v>
      </c>
      <c r="F47" s="7">
        <f>CO_ATT_INPUTS!F48</f>
        <v>23</v>
      </c>
      <c r="G47" s="7">
        <f>CO_ATT_INPUTS!G48</f>
        <v>26</v>
      </c>
      <c r="H47" s="7">
        <f>CO_ATT_INPUTS!H48</f>
        <v>28</v>
      </c>
      <c r="I47" s="7">
        <f>CO_ATT_INPUTS!I48</f>
        <v>25</v>
      </c>
      <c r="J47" s="7">
        <f>CO_ATT_INPUTS!J48</f>
        <v>9</v>
      </c>
      <c r="K47" s="7">
        <f>CO_ATT_INPUTS!K48</f>
        <v>9</v>
      </c>
      <c r="L47" s="7">
        <f>CO_ATT_INPUTS!L48</f>
        <v>9</v>
      </c>
      <c r="M47" s="7">
        <f>CO_ATT_INPUTS!M48</f>
        <v>9</v>
      </c>
      <c r="N47" s="7">
        <f>CO_ATT_INPUTS!N48</f>
        <v>9</v>
      </c>
      <c r="O47" s="7">
        <f>CO_ATT_INPUTS!O48</f>
        <v>90</v>
      </c>
      <c r="P47" s="1">
        <f>CO_ATT_INPUTS!P48</f>
        <v>93</v>
      </c>
      <c r="Q47" s="7" t="e">
        <f>#REF!</f>
        <v>#REF!</v>
      </c>
      <c r="R47" s="7" t="e">
        <f>#REF!</f>
        <v>#REF!</v>
      </c>
      <c r="S47" s="7" t="e">
        <f>#REF!</f>
        <v>#REF!</v>
      </c>
      <c r="T47" s="7" t="e">
        <f>#REF!</f>
        <v>#REF!</v>
      </c>
      <c r="U47" s="7" t="e">
        <f>#REF!</f>
        <v>#REF!</v>
      </c>
      <c r="V47" s="7" t="e">
        <f>#REF!</f>
        <v>#REF!</v>
      </c>
      <c r="W47" s="7" t="e">
        <f t="shared" si="0"/>
        <v>#REF!</v>
      </c>
      <c r="X47" s="7" t="e">
        <f t="shared" si="1"/>
        <v>#REF!</v>
      </c>
      <c r="Y47" s="7" t="e">
        <f t="shared" si="2"/>
        <v>#REF!</v>
      </c>
      <c r="Z47" s="7" t="e">
        <f t="shared" si="3"/>
        <v>#REF!</v>
      </c>
      <c r="AA47" s="7" t="e">
        <f t="shared" si="4"/>
        <v>#REF!</v>
      </c>
      <c r="AB47" s="7" t="e">
        <f t="shared" si="5"/>
        <v>#REF!</v>
      </c>
      <c r="AC47" s="7" t="e">
        <f t="shared" si="6"/>
        <v>#REF!</v>
      </c>
      <c r="AD47" s="7" t="e">
        <f t="shared" si="7"/>
        <v>#REF!</v>
      </c>
      <c r="AE47" s="7" t="e">
        <f t="shared" si="8"/>
        <v>#REF!</v>
      </c>
      <c r="AF47" s="7" t="e">
        <f t="shared" si="9"/>
        <v>#REF!</v>
      </c>
      <c r="AG47" s="8" t="e">
        <f t="shared" si="10"/>
        <v>#REF!</v>
      </c>
      <c r="AH47" t="str">
        <f t="shared" si="11"/>
        <v>22CC030</v>
      </c>
    </row>
    <row r="48" spans="1:34" x14ac:dyDescent="0.25">
      <c r="A48" s="1">
        <f>CO_ATT_INPUTS!A49</f>
        <v>31</v>
      </c>
      <c r="B48" s="10" t="str">
        <f>CO_ATT_INPUTS!B49</f>
        <v>22CC031</v>
      </c>
      <c r="C48" s="10" t="str">
        <f>CO_ATT_INPUTS!C49</f>
        <v>722822115031</v>
      </c>
      <c r="D48" s="10" t="str">
        <f>CO_ATT_INPUTS!D49</f>
        <v>MUTHUVEL A</v>
      </c>
      <c r="E48" s="7">
        <f>CO_ATT_INPUTS!E49</f>
        <v>29</v>
      </c>
      <c r="F48" s="7">
        <f>CO_ATT_INPUTS!F49</f>
        <v>27</v>
      </c>
      <c r="G48" s="7">
        <f>CO_ATT_INPUTS!G49</f>
        <v>29</v>
      </c>
      <c r="H48" s="7">
        <f>CO_ATT_INPUTS!H49</f>
        <v>31</v>
      </c>
      <c r="I48" s="7">
        <f>CO_ATT_INPUTS!I49</f>
        <v>28</v>
      </c>
      <c r="J48" s="7">
        <f>CO_ATT_INPUTS!J49</f>
        <v>9</v>
      </c>
      <c r="K48" s="7">
        <f>CO_ATT_INPUTS!K49</f>
        <v>9</v>
      </c>
      <c r="L48" s="7">
        <f>CO_ATT_INPUTS!L49</f>
        <v>9</v>
      </c>
      <c r="M48" s="7">
        <f>CO_ATT_INPUTS!M49</f>
        <v>9</v>
      </c>
      <c r="N48" s="7">
        <f>CO_ATT_INPUTS!N49</f>
        <v>9</v>
      </c>
      <c r="O48" s="7">
        <f>CO_ATT_INPUTS!O49</f>
        <v>92</v>
      </c>
      <c r="P48" s="1">
        <f>CO_ATT_INPUTS!P49</f>
        <v>100</v>
      </c>
      <c r="Q48" s="7" t="e">
        <f>#REF!</f>
        <v>#REF!</v>
      </c>
      <c r="R48" s="7" t="e">
        <f>#REF!</f>
        <v>#REF!</v>
      </c>
      <c r="S48" s="7" t="e">
        <f>#REF!</f>
        <v>#REF!</v>
      </c>
      <c r="T48" s="7" t="e">
        <f>#REF!</f>
        <v>#REF!</v>
      </c>
      <c r="U48" s="7" t="e">
        <f>#REF!</f>
        <v>#REF!</v>
      </c>
      <c r="V48" s="7" t="e">
        <f>#REF!</f>
        <v>#REF!</v>
      </c>
      <c r="W48" s="7" t="e">
        <f t="shared" si="0"/>
        <v>#REF!</v>
      </c>
      <c r="X48" s="7" t="e">
        <f t="shared" si="1"/>
        <v>#REF!</v>
      </c>
      <c r="Y48" s="7" t="e">
        <f t="shared" si="2"/>
        <v>#REF!</v>
      </c>
      <c r="Z48" s="7" t="e">
        <f t="shared" si="3"/>
        <v>#REF!</v>
      </c>
      <c r="AA48" s="7" t="e">
        <f t="shared" si="4"/>
        <v>#REF!</v>
      </c>
      <c r="AB48" s="7" t="e">
        <f t="shared" si="5"/>
        <v>#REF!</v>
      </c>
      <c r="AC48" s="7" t="e">
        <f t="shared" si="6"/>
        <v>#REF!</v>
      </c>
      <c r="AD48" s="7" t="e">
        <f t="shared" si="7"/>
        <v>#REF!</v>
      </c>
      <c r="AE48" s="7" t="e">
        <f t="shared" si="8"/>
        <v>#REF!</v>
      </c>
      <c r="AF48" s="7" t="e">
        <f t="shared" si="9"/>
        <v>#REF!</v>
      </c>
      <c r="AG48" s="8" t="e">
        <f t="shared" si="10"/>
        <v>#REF!</v>
      </c>
      <c r="AH48" t="str">
        <f t="shared" si="11"/>
        <v>22CC031</v>
      </c>
    </row>
    <row r="49" spans="1:34" x14ac:dyDescent="0.25">
      <c r="A49" s="1">
        <f>CO_ATT_INPUTS!A50</f>
        <v>32</v>
      </c>
      <c r="B49" s="10" t="str">
        <f>CO_ATT_INPUTS!B50</f>
        <v>22CC032</v>
      </c>
      <c r="C49" s="10" t="str">
        <f>CO_ATT_INPUTS!C50</f>
        <v>722822115032</v>
      </c>
      <c r="D49" s="10" t="str">
        <f>CO_ATT_INPUTS!D50</f>
        <v>NARAYANI S</v>
      </c>
      <c r="E49" s="7">
        <f>CO_ATT_INPUTS!E50</f>
        <v>31</v>
      </c>
      <c r="F49" s="7">
        <f>CO_ATT_INPUTS!F50</f>
        <v>25</v>
      </c>
      <c r="G49" s="7">
        <f>CO_ATT_INPUTS!G50</f>
        <v>24</v>
      </c>
      <c r="H49" s="7">
        <f>CO_ATT_INPUTS!H50</f>
        <v>34</v>
      </c>
      <c r="I49" s="7">
        <f>CO_ATT_INPUTS!I50</f>
        <v>22</v>
      </c>
      <c r="J49" s="7">
        <f>CO_ATT_INPUTS!J50</f>
        <v>9</v>
      </c>
      <c r="K49" s="7">
        <f>CO_ATT_INPUTS!K50</f>
        <v>9</v>
      </c>
      <c r="L49" s="7">
        <f>CO_ATT_INPUTS!L50</f>
        <v>9</v>
      </c>
      <c r="M49" s="7">
        <f>CO_ATT_INPUTS!M50</f>
        <v>9</v>
      </c>
      <c r="N49" s="7">
        <f>CO_ATT_INPUTS!N50</f>
        <v>9</v>
      </c>
      <c r="O49" s="7">
        <f>CO_ATT_INPUTS!O50</f>
        <v>90</v>
      </c>
      <c r="P49" s="1">
        <f>CO_ATT_INPUTS!P50</f>
        <v>98</v>
      </c>
      <c r="Q49" s="7" t="e">
        <f>#REF!</f>
        <v>#REF!</v>
      </c>
      <c r="R49" s="7" t="e">
        <f>#REF!</f>
        <v>#REF!</v>
      </c>
      <c r="S49" s="7" t="e">
        <f>#REF!</f>
        <v>#REF!</v>
      </c>
      <c r="T49" s="7" t="e">
        <f>#REF!</f>
        <v>#REF!</v>
      </c>
      <c r="U49" s="7" t="e">
        <f>#REF!</f>
        <v>#REF!</v>
      </c>
      <c r="V49" s="7" t="e">
        <f>#REF!</f>
        <v>#REF!</v>
      </c>
      <c r="W49" s="7" t="e">
        <f t="shared" si="0"/>
        <v>#REF!</v>
      </c>
      <c r="X49" s="7" t="e">
        <f t="shared" si="1"/>
        <v>#REF!</v>
      </c>
      <c r="Y49" s="7" t="e">
        <f t="shared" si="2"/>
        <v>#REF!</v>
      </c>
      <c r="Z49" s="7" t="e">
        <f t="shared" si="3"/>
        <v>#REF!</v>
      </c>
      <c r="AA49" s="7" t="e">
        <f t="shared" si="4"/>
        <v>#REF!</v>
      </c>
      <c r="AB49" s="7" t="e">
        <f t="shared" si="5"/>
        <v>#REF!</v>
      </c>
      <c r="AC49" s="7" t="e">
        <f t="shared" si="6"/>
        <v>#REF!</v>
      </c>
      <c r="AD49" s="7" t="e">
        <f t="shared" si="7"/>
        <v>#REF!</v>
      </c>
      <c r="AE49" s="7" t="e">
        <f t="shared" si="8"/>
        <v>#REF!</v>
      </c>
      <c r="AF49" s="7" t="e">
        <f t="shared" si="9"/>
        <v>#REF!</v>
      </c>
      <c r="AG49" s="8" t="e">
        <f t="shared" si="10"/>
        <v>#REF!</v>
      </c>
      <c r="AH49" t="str">
        <f t="shared" si="11"/>
        <v>22CC032</v>
      </c>
    </row>
    <row r="50" spans="1:34" x14ac:dyDescent="0.25">
      <c r="A50" s="1">
        <f>CO_ATT_INPUTS!A51</f>
        <v>33</v>
      </c>
      <c r="B50" s="10" t="str">
        <f>CO_ATT_INPUTS!B51</f>
        <v>22CC033</v>
      </c>
      <c r="C50" s="10" t="str">
        <f>CO_ATT_INPUTS!C51</f>
        <v>722822115033</v>
      </c>
      <c r="D50" s="10" t="str">
        <f>CO_ATT_INPUTS!D51</f>
        <v>NAVEEN K S</v>
      </c>
      <c r="E50" s="7">
        <f>CO_ATT_INPUTS!E51</f>
        <v>24</v>
      </c>
      <c r="F50" s="7">
        <f>CO_ATT_INPUTS!F51</f>
        <v>23</v>
      </c>
      <c r="G50" s="7">
        <f>CO_ATT_INPUTS!G51</f>
        <v>23</v>
      </c>
      <c r="H50" s="7">
        <f>CO_ATT_INPUTS!H51</f>
        <v>30</v>
      </c>
      <c r="I50" s="7">
        <f>CO_ATT_INPUTS!I51</f>
        <v>22</v>
      </c>
      <c r="J50" s="7">
        <f>CO_ATT_INPUTS!J51</f>
        <v>9</v>
      </c>
      <c r="K50" s="7">
        <f>CO_ATT_INPUTS!K51</f>
        <v>9</v>
      </c>
      <c r="L50" s="7">
        <f>CO_ATT_INPUTS!L51</f>
        <v>9</v>
      </c>
      <c r="M50" s="7">
        <f>CO_ATT_INPUTS!M51</f>
        <v>9</v>
      </c>
      <c r="N50" s="7">
        <f>CO_ATT_INPUTS!N51</f>
        <v>9</v>
      </c>
      <c r="O50" s="7">
        <f>CO_ATT_INPUTS!O51</f>
        <v>90</v>
      </c>
      <c r="P50" s="1">
        <f>CO_ATT_INPUTS!P51</f>
        <v>93</v>
      </c>
      <c r="Q50" s="7" t="e">
        <f>#REF!</f>
        <v>#REF!</v>
      </c>
      <c r="R50" s="7" t="e">
        <f>#REF!</f>
        <v>#REF!</v>
      </c>
      <c r="S50" s="7" t="e">
        <f>#REF!</f>
        <v>#REF!</v>
      </c>
      <c r="T50" s="7" t="e">
        <f>#REF!</f>
        <v>#REF!</v>
      </c>
      <c r="U50" s="7" t="e">
        <f>#REF!</f>
        <v>#REF!</v>
      </c>
      <c r="V50" s="7" t="e">
        <f>#REF!</f>
        <v>#REF!</v>
      </c>
      <c r="W50" s="7" t="e">
        <f t="shared" si="0"/>
        <v>#REF!</v>
      </c>
      <c r="X50" s="7" t="e">
        <f t="shared" si="1"/>
        <v>#REF!</v>
      </c>
      <c r="Y50" s="7" t="e">
        <f t="shared" si="2"/>
        <v>#REF!</v>
      </c>
      <c r="Z50" s="7" t="e">
        <f t="shared" si="3"/>
        <v>#REF!</v>
      </c>
      <c r="AA50" s="7" t="e">
        <f t="shared" si="4"/>
        <v>#REF!</v>
      </c>
      <c r="AB50" s="7" t="e">
        <f t="shared" si="5"/>
        <v>#REF!</v>
      </c>
      <c r="AC50" s="7" t="e">
        <f t="shared" si="6"/>
        <v>#REF!</v>
      </c>
      <c r="AD50" s="7" t="e">
        <f t="shared" si="7"/>
        <v>#REF!</v>
      </c>
      <c r="AE50" s="7" t="e">
        <f t="shared" si="8"/>
        <v>#REF!</v>
      </c>
      <c r="AF50" s="7" t="e">
        <f t="shared" si="9"/>
        <v>#REF!</v>
      </c>
      <c r="AG50" s="8" t="e">
        <f t="shared" si="10"/>
        <v>#REF!</v>
      </c>
      <c r="AH50" t="str">
        <f t="shared" si="11"/>
        <v>22CC033</v>
      </c>
    </row>
    <row r="51" spans="1:34" x14ac:dyDescent="0.25">
      <c r="A51" s="1">
        <f>CO_ATT_INPUTS!A52</f>
        <v>34</v>
      </c>
      <c r="B51" s="10" t="str">
        <f>CO_ATT_INPUTS!B52</f>
        <v>22CC034</v>
      </c>
      <c r="C51" s="10" t="str">
        <f>CO_ATT_INPUTS!C52</f>
        <v>722822115034</v>
      </c>
      <c r="D51" s="10" t="str">
        <f>CO_ATT_INPUTS!D52</f>
        <v>NIRMALKUMAR M</v>
      </c>
      <c r="E51" s="7">
        <f>CO_ATT_INPUTS!E52</f>
        <v>26</v>
      </c>
      <c r="F51" s="7">
        <f>CO_ATT_INPUTS!F52</f>
        <v>25</v>
      </c>
      <c r="G51" s="7">
        <f>CO_ATT_INPUTS!G52</f>
        <v>21</v>
      </c>
      <c r="H51" s="7">
        <f>CO_ATT_INPUTS!H52</f>
        <v>29</v>
      </c>
      <c r="I51" s="7">
        <f>CO_ATT_INPUTS!I52</f>
        <v>26</v>
      </c>
      <c r="J51" s="7">
        <f>CO_ATT_INPUTS!J52</f>
        <v>9</v>
      </c>
      <c r="K51" s="7">
        <f>CO_ATT_INPUTS!K52</f>
        <v>9</v>
      </c>
      <c r="L51" s="7">
        <f>CO_ATT_INPUTS!L52</f>
        <v>9</v>
      </c>
      <c r="M51" s="7">
        <f>CO_ATT_INPUTS!M52</f>
        <v>9</v>
      </c>
      <c r="N51" s="7">
        <f>CO_ATT_INPUTS!N52</f>
        <v>9</v>
      </c>
      <c r="O51" s="7">
        <f>CO_ATT_INPUTS!O52</f>
        <v>90</v>
      </c>
      <c r="P51" s="1">
        <f>CO_ATT_INPUTS!P52</f>
        <v>100</v>
      </c>
      <c r="Q51" s="7" t="e">
        <f>#REF!</f>
        <v>#REF!</v>
      </c>
      <c r="R51" s="7" t="e">
        <f>#REF!</f>
        <v>#REF!</v>
      </c>
      <c r="S51" s="7" t="e">
        <f>#REF!</f>
        <v>#REF!</v>
      </c>
      <c r="T51" s="7" t="e">
        <f>#REF!</f>
        <v>#REF!</v>
      </c>
      <c r="U51" s="7" t="e">
        <f>#REF!</f>
        <v>#REF!</v>
      </c>
      <c r="V51" s="7" t="e">
        <f>#REF!</f>
        <v>#REF!</v>
      </c>
      <c r="W51" s="7" t="e">
        <f t="shared" si="0"/>
        <v>#REF!</v>
      </c>
      <c r="X51" s="7" t="e">
        <f t="shared" si="1"/>
        <v>#REF!</v>
      </c>
      <c r="Y51" s="7" t="e">
        <f t="shared" si="2"/>
        <v>#REF!</v>
      </c>
      <c r="Z51" s="7" t="e">
        <f t="shared" si="3"/>
        <v>#REF!</v>
      </c>
      <c r="AA51" s="7" t="e">
        <f t="shared" si="4"/>
        <v>#REF!</v>
      </c>
      <c r="AB51" s="7" t="e">
        <f t="shared" si="5"/>
        <v>#REF!</v>
      </c>
      <c r="AC51" s="7" t="e">
        <f t="shared" si="6"/>
        <v>#REF!</v>
      </c>
      <c r="AD51" s="7" t="e">
        <f t="shared" si="7"/>
        <v>#REF!</v>
      </c>
      <c r="AE51" s="7" t="e">
        <f t="shared" si="8"/>
        <v>#REF!</v>
      </c>
      <c r="AF51" s="7" t="e">
        <f t="shared" si="9"/>
        <v>#REF!</v>
      </c>
      <c r="AG51" s="8" t="e">
        <f t="shared" si="10"/>
        <v>#REF!</v>
      </c>
      <c r="AH51" t="str">
        <f t="shared" si="11"/>
        <v>22CC034</v>
      </c>
    </row>
    <row r="52" spans="1:34" x14ac:dyDescent="0.25">
      <c r="A52" s="1">
        <f>CO_ATT_INPUTS!A53</f>
        <v>35</v>
      </c>
      <c r="B52" s="10" t="str">
        <f>CO_ATT_INPUTS!B53</f>
        <v>22CC035</v>
      </c>
      <c r="C52" s="10" t="str">
        <f>CO_ATT_INPUTS!C53</f>
        <v>722822115035</v>
      </c>
      <c r="D52" s="10" t="str">
        <f>CO_ATT_INPUTS!D53</f>
        <v>PRAKASH KUMAR M</v>
      </c>
      <c r="E52" s="7">
        <f>CO_ATT_INPUTS!E53</f>
        <v>26</v>
      </c>
      <c r="F52" s="7">
        <f>CO_ATT_INPUTS!F53</f>
        <v>28</v>
      </c>
      <c r="G52" s="7">
        <f>CO_ATT_INPUTS!G53</f>
        <v>31</v>
      </c>
      <c r="H52" s="7">
        <f>CO_ATT_INPUTS!H53</f>
        <v>24</v>
      </c>
      <c r="I52" s="7">
        <f>CO_ATT_INPUTS!I53</f>
        <v>21</v>
      </c>
      <c r="J52" s="7">
        <f>CO_ATT_INPUTS!J53</f>
        <v>9</v>
      </c>
      <c r="K52" s="7">
        <f>CO_ATT_INPUTS!K53</f>
        <v>9</v>
      </c>
      <c r="L52" s="7">
        <f>CO_ATT_INPUTS!L53</f>
        <v>9</v>
      </c>
      <c r="M52" s="7">
        <f>CO_ATT_INPUTS!M53</f>
        <v>9</v>
      </c>
      <c r="N52" s="7">
        <f>CO_ATT_INPUTS!N53</f>
        <v>9</v>
      </c>
      <c r="O52" s="7">
        <f>CO_ATT_INPUTS!O53</f>
        <v>96</v>
      </c>
      <c r="P52" s="1">
        <f>CO_ATT_INPUTS!P53</f>
        <v>100</v>
      </c>
      <c r="Q52" s="7" t="e">
        <f>#REF!</f>
        <v>#REF!</v>
      </c>
      <c r="R52" s="7" t="e">
        <f>#REF!</f>
        <v>#REF!</v>
      </c>
      <c r="S52" s="7" t="e">
        <f>#REF!</f>
        <v>#REF!</v>
      </c>
      <c r="T52" s="7" t="e">
        <f>#REF!</f>
        <v>#REF!</v>
      </c>
      <c r="U52" s="7" t="e">
        <f>#REF!</f>
        <v>#REF!</v>
      </c>
      <c r="V52" s="7" t="e">
        <f>#REF!</f>
        <v>#REF!</v>
      </c>
      <c r="W52" s="7" t="e">
        <f t="shared" si="0"/>
        <v>#REF!</v>
      </c>
      <c r="X52" s="7" t="e">
        <f t="shared" si="1"/>
        <v>#REF!</v>
      </c>
      <c r="Y52" s="7" t="e">
        <f t="shared" si="2"/>
        <v>#REF!</v>
      </c>
      <c r="Z52" s="7" t="e">
        <f t="shared" si="3"/>
        <v>#REF!</v>
      </c>
      <c r="AA52" s="7" t="e">
        <f t="shared" si="4"/>
        <v>#REF!</v>
      </c>
      <c r="AB52" s="7" t="e">
        <f t="shared" si="5"/>
        <v>#REF!</v>
      </c>
      <c r="AC52" s="7" t="e">
        <f t="shared" si="6"/>
        <v>#REF!</v>
      </c>
      <c r="AD52" s="7" t="e">
        <f t="shared" si="7"/>
        <v>#REF!</v>
      </c>
      <c r="AE52" s="7" t="e">
        <f t="shared" si="8"/>
        <v>#REF!</v>
      </c>
      <c r="AF52" s="7" t="e">
        <f t="shared" si="9"/>
        <v>#REF!</v>
      </c>
      <c r="AG52" s="8" t="e">
        <f t="shared" si="10"/>
        <v>#REF!</v>
      </c>
      <c r="AH52" t="str">
        <f t="shared" si="11"/>
        <v>22CC035</v>
      </c>
    </row>
    <row r="53" spans="1:34" x14ac:dyDescent="0.25">
      <c r="A53" s="1">
        <f>CO_ATT_INPUTS!A54</f>
        <v>36</v>
      </c>
      <c r="B53" s="10" t="str">
        <f>CO_ATT_INPUTS!B54</f>
        <v>22CC036</v>
      </c>
      <c r="C53" s="10" t="str">
        <f>CO_ATT_INPUTS!C54</f>
        <v>722822115036</v>
      </c>
      <c r="D53" s="10" t="str">
        <f>CO_ATT_INPUTS!D54</f>
        <v>PRASANNAKUMAR V G</v>
      </c>
      <c r="E53" s="7">
        <f>CO_ATT_INPUTS!E54</f>
        <v>30</v>
      </c>
      <c r="F53" s="7">
        <f>CO_ATT_INPUTS!F54</f>
        <v>25</v>
      </c>
      <c r="G53" s="7">
        <f>CO_ATT_INPUTS!G54</f>
        <v>24</v>
      </c>
      <c r="H53" s="7">
        <f>CO_ATT_INPUTS!H54</f>
        <v>30</v>
      </c>
      <c r="I53" s="7">
        <f>CO_ATT_INPUTS!I54</f>
        <v>25</v>
      </c>
      <c r="J53" s="7">
        <f>CO_ATT_INPUTS!J54</f>
        <v>8</v>
      </c>
      <c r="K53" s="7">
        <f>CO_ATT_INPUTS!K54</f>
        <v>8</v>
      </c>
      <c r="L53" s="7">
        <f>CO_ATT_INPUTS!L54</f>
        <v>8</v>
      </c>
      <c r="M53" s="7">
        <f>CO_ATT_INPUTS!M54</f>
        <v>8</v>
      </c>
      <c r="N53" s="7">
        <f>CO_ATT_INPUTS!N54</f>
        <v>8</v>
      </c>
      <c r="O53" s="7">
        <f>CO_ATT_INPUTS!O54</f>
        <v>90</v>
      </c>
      <c r="P53" s="1">
        <f>CO_ATT_INPUTS!P54</f>
        <v>100</v>
      </c>
      <c r="Q53" s="7" t="e">
        <f>#REF!</f>
        <v>#REF!</v>
      </c>
      <c r="R53" s="7" t="e">
        <f>#REF!</f>
        <v>#REF!</v>
      </c>
      <c r="S53" s="7" t="e">
        <f>#REF!</f>
        <v>#REF!</v>
      </c>
      <c r="T53" s="7" t="e">
        <f>#REF!</f>
        <v>#REF!</v>
      </c>
      <c r="U53" s="7" t="e">
        <f>#REF!</f>
        <v>#REF!</v>
      </c>
      <c r="V53" s="7" t="e">
        <f>#REF!</f>
        <v>#REF!</v>
      </c>
      <c r="W53" s="7" t="e">
        <f t="shared" si="0"/>
        <v>#REF!</v>
      </c>
      <c r="X53" s="7" t="e">
        <f t="shared" si="1"/>
        <v>#REF!</v>
      </c>
      <c r="Y53" s="7" t="e">
        <f t="shared" si="2"/>
        <v>#REF!</v>
      </c>
      <c r="Z53" s="7" t="e">
        <f t="shared" si="3"/>
        <v>#REF!</v>
      </c>
      <c r="AA53" s="7" t="e">
        <f t="shared" si="4"/>
        <v>#REF!</v>
      </c>
      <c r="AB53" s="7" t="e">
        <f t="shared" si="5"/>
        <v>#REF!</v>
      </c>
      <c r="AC53" s="7" t="e">
        <f t="shared" si="6"/>
        <v>#REF!</v>
      </c>
      <c r="AD53" s="7" t="e">
        <f t="shared" si="7"/>
        <v>#REF!</v>
      </c>
      <c r="AE53" s="7" t="e">
        <f t="shared" si="8"/>
        <v>#REF!</v>
      </c>
      <c r="AF53" s="7" t="e">
        <f t="shared" si="9"/>
        <v>#REF!</v>
      </c>
      <c r="AG53" s="8" t="e">
        <f t="shared" si="10"/>
        <v>#REF!</v>
      </c>
      <c r="AH53" t="str">
        <f t="shared" si="11"/>
        <v>22CC036</v>
      </c>
    </row>
    <row r="54" spans="1:34" x14ac:dyDescent="0.25">
      <c r="A54" s="1">
        <f>CO_ATT_INPUTS!A55</f>
        <v>37</v>
      </c>
      <c r="B54" s="10" t="str">
        <f>CO_ATT_INPUTS!B55</f>
        <v>22CC037</v>
      </c>
      <c r="C54" s="10" t="str">
        <f>CO_ATT_INPUTS!C55</f>
        <v>722822115037</v>
      </c>
      <c r="D54" s="10" t="str">
        <f>CO_ATT_INPUTS!D55</f>
        <v>PUGALENTHI A S</v>
      </c>
      <c r="E54" s="7">
        <f>CO_ATT_INPUTS!E55</f>
        <v>26</v>
      </c>
      <c r="F54" s="7">
        <f>CO_ATT_INPUTS!F55</f>
        <v>4</v>
      </c>
      <c r="G54" s="7">
        <f>CO_ATT_INPUTS!G55</f>
        <v>6</v>
      </c>
      <c r="H54" s="7">
        <f>CO_ATT_INPUTS!H55</f>
        <v>29</v>
      </c>
      <c r="I54" s="7">
        <f>CO_ATT_INPUTS!I55</f>
        <v>29</v>
      </c>
      <c r="J54" s="7">
        <f>CO_ATT_INPUTS!J55</f>
        <v>8</v>
      </c>
      <c r="K54" s="7">
        <f>CO_ATT_INPUTS!K55</f>
        <v>8</v>
      </c>
      <c r="L54" s="7">
        <f>CO_ATT_INPUTS!L55</f>
        <v>8</v>
      </c>
      <c r="M54" s="7">
        <f>CO_ATT_INPUTS!M55</f>
        <v>8</v>
      </c>
      <c r="N54" s="7">
        <f>CO_ATT_INPUTS!N55</f>
        <v>8</v>
      </c>
      <c r="O54" s="7">
        <f>CO_ATT_INPUTS!O55</f>
        <v>98</v>
      </c>
      <c r="P54" s="1">
        <f>CO_ATT_INPUTS!P55</f>
        <v>100</v>
      </c>
      <c r="Q54" s="7" t="e">
        <f>#REF!</f>
        <v>#REF!</v>
      </c>
      <c r="R54" s="7" t="e">
        <f>#REF!</f>
        <v>#REF!</v>
      </c>
      <c r="S54" s="7" t="e">
        <f>#REF!</f>
        <v>#REF!</v>
      </c>
      <c r="T54" s="7" t="e">
        <f>#REF!</f>
        <v>#REF!</v>
      </c>
      <c r="U54" s="7" t="e">
        <f>#REF!</f>
        <v>#REF!</v>
      </c>
      <c r="V54" s="7" t="e">
        <f>#REF!</f>
        <v>#REF!</v>
      </c>
      <c r="W54" s="7" t="e">
        <f t="shared" si="0"/>
        <v>#REF!</v>
      </c>
      <c r="X54" s="7" t="e">
        <f t="shared" si="1"/>
        <v>#REF!</v>
      </c>
      <c r="Y54" s="7" t="e">
        <f t="shared" si="2"/>
        <v>#REF!</v>
      </c>
      <c r="Z54" s="7" t="e">
        <f t="shared" si="3"/>
        <v>#REF!</v>
      </c>
      <c r="AA54" s="7" t="e">
        <f t="shared" si="4"/>
        <v>#REF!</v>
      </c>
      <c r="AB54" s="7" t="e">
        <f t="shared" si="5"/>
        <v>#REF!</v>
      </c>
      <c r="AC54" s="7" t="e">
        <f t="shared" si="6"/>
        <v>#REF!</v>
      </c>
      <c r="AD54" s="7" t="e">
        <f t="shared" si="7"/>
        <v>#REF!</v>
      </c>
      <c r="AE54" s="7" t="e">
        <f t="shared" si="8"/>
        <v>#REF!</v>
      </c>
      <c r="AF54" s="7" t="e">
        <f t="shared" si="9"/>
        <v>#REF!</v>
      </c>
      <c r="AG54" s="8" t="e">
        <f t="shared" si="10"/>
        <v>#REF!</v>
      </c>
      <c r="AH54" t="str">
        <f t="shared" si="11"/>
        <v>22CC037</v>
      </c>
    </row>
    <row r="55" spans="1:34" x14ac:dyDescent="0.25">
      <c r="A55" s="1">
        <f>CO_ATT_INPUTS!A56</f>
        <v>38</v>
      </c>
      <c r="B55" s="10" t="str">
        <f>CO_ATT_INPUTS!B56</f>
        <v>22CC038</v>
      </c>
      <c r="C55" s="10" t="str">
        <f>CO_ATT_INPUTS!C56</f>
        <v>722822115038</v>
      </c>
      <c r="D55" s="10" t="str">
        <f>CO_ATT_INPUTS!D56</f>
        <v>RAJESH KUMAR M</v>
      </c>
      <c r="E55" s="7">
        <f>CO_ATT_INPUTS!E56</f>
        <v>18</v>
      </c>
      <c r="F55" s="7">
        <f>CO_ATT_INPUTS!F56</f>
        <v>18</v>
      </c>
      <c r="G55" s="7">
        <f>CO_ATT_INPUTS!G56</f>
        <v>27</v>
      </c>
      <c r="H55" s="7">
        <f>CO_ATT_INPUTS!H56</f>
        <v>28</v>
      </c>
      <c r="I55" s="7">
        <f>CO_ATT_INPUTS!I56</f>
        <v>20</v>
      </c>
      <c r="J55" s="7">
        <f>CO_ATT_INPUTS!J56</f>
        <v>10</v>
      </c>
      <c r="K55" s="7">
        <f>CO_ATT_INPUTS!K56</f>
        <v>10</v>
      </c>
      <c r="L55" s="7">
        <f>CO_ATT_INPUTS!L56</f>
        <v>10</v>
      </c>
      <c r="M55" s="7">
        <f>CO_ATT_INPUTS!M56</f>
        <v>10</v>
      </c>
      <c r="N55" s="7">
        <f>CO_ATT_INPUTS!N56</f>
        <v>10</v>
      </c>
      <c r="O55" s="7">
        <f>CO_ATT_INPUTS!O56</f>
        <v>84</v>
      </c>
      <c r="P55" s="1">
        <f>CO_ATT_INPUTS!P56</f>
        <v>92</v>
      </c>
      <c r="Q55" s="7" t="e">
        <f>#REF!</f>
        <v>#REF!</v>
      </c>
      <c r="R55" s="7" t="e">
        <f>#REF!</f>
        <v>#REF!</v>
      </c>
      <c r="S55" s="7" t="e">
        <f>#REF!</f>
        <v>#REF!</v>
      </c>
      <c r="T55" s="7" t="e">
        <f>#REF!</f>
        <v>#REF!</v>
      </c>
      <c r="U55" s="7" t="e">
        <f>#REF!</f>
        <v>#REF!</v>
      </c>
      <c r="V55" s="7" t="e">
        <f>#REF!</f>
        <v>#REF!</v>
      </c>
      <c r="W55" s="7" t="e">
        <f t="shared" si="0"/>
        <v>#REF!</v>
      </c>
      <c r="X55" s="7" t="e">
        <f t="shared" si="1"/>
        <v>#REF!</v>
      </c>
      <c r="Y55" s="7" t="e">
        <f t="shared" si="2"/>
        <v>#REF!</v>
      </c>
      <c r="Z55" s="7" t="e">
        <f t="shared" si="3"/>
        <v>#REF!</v>
      </c>
      <c r="AA55" s="7" t="e">
        <f t="shared" si="4"/>
        <v>#REF!</v>
      </c>
      <c r="AB55" s="7" t="e">
        <f t="shared" si="5"/>
        <v>#REF!</v>
      </c>
      <c r="AC55" s="7" t="e">
        <f t="shared" si="6"/>
        <v>#REF!</v>
      </c>
      <c r="AD55" s="7" t="e">
        <f t="shared" si="7"/>
        <v>#REF!</v>
      </c>
      <c r="AE55" s="7" t="e">
        <f t="shared" si="8"/>
        <v>#REF!</v>
      </c>
      <c r="AF55" s="7" t="e">
        <f t="shared" si="9"/>
        <v>#REF!</v>
      </c>
      <c r="AG55" s="8" t="e">
        <f t="shared" si="10"/>
        <v>#REF!</v>
      </c>
      <c r="AH55" t="str">
        <f t="shared" si="11"/>
        <v>22CC038</v>
      </c>
    </row>
    <row r="56" spans="1:34" x14ac:dyDescent="0.25">
      <c r="A56" s="1">
        <f>CO_ATT_INPUTS!A57</f>
        <v>39</v>
      </c>
      <c r="B56" s="10" t="str">
        <f>CO_ATT_INPUTS!B57</f>
        <v>22CC039</v>
      </c>
      <c r="C56" s="10" t="str">
        <f>CO_ATT_INPUTS!C57</f>
        <v>722822115039</v>
      </c>
      <c r="D56" s="10" t="str">
        <f>CO_ATT_INPUTS!D57</f>
        <v>RENUKA K</v>
      </c>
      <c r="E56" s="7">
        <f>CO_ATT_INPUTS!E57</f>
        <v>32</v>
      </c>
      <c r="F56" s="7">
        <f>CO_ATT_INPUTS!F57</f>
        <v>25</v>
      </c>
      <c r="G56" s="7">
        <f>CO_ATT_INPUTS!G57</f>
        <v>24</v>
      </c>
      <c r="H56" s="7">
        <f>CO_ATT_INPUTS!H57</f>
        <v>29</v>
      </c>
      <c r="I56" s="7">
        <f>CO_ATT_INPUTS!I57</f>
        <v>20</v>
      </c>
      <c r="J56" s="7">
        <f>CO_ATT_INPUTS!J57</f>
        <v>9</v>
      </c>
      <c r="K56" s="7">
        <f>CO_ATT_INPUTS!K57</f>
        <v>9</v>
      </c>
      <c r="L56" s="7">
        <f>CO_ATT_INPUTS!L57</f>
        <v>9</v>
      </c>
      <c r="M56" s="7">
        <f>CO_ATT_INPUTS!M57</f>
        <v>9</v>
      </c>
      <c r="N56" s="7">
        <f>CO_ATT_INPUTS!N57</f>
        <v>9</v>
      </c>
      <c r="O56" s="7">
        <f>CO_ATT_INPUTS!O57</f>
        <v>88</v>
      </c>
      <c r="P56" s="1">
        <f>CO_ATT_INPUTS!P57</f>
        <v>100</v>
      </c>
      <c r="Q56" s="7" t="e">
        <f>#REF!</f>
        <v>#REF!</v>
      </c>
      <c r="R56" s="7" t="e">
        <f>#REF!</f>
        <v>#REF!</v>
      </c>
      <c r="S56" s="7" t="e">
        <f>#REF!</f>
        <v>#REF!</v>
      </c>
      <c r="T56" s="7" t="e">
        <f>#REF!</f>
        <v>#REF!</v>
      </c>
      <c r="U56" s="7" t="e">
        <f>#REF!</f>
        <v>#REF!</v>
      </c>
      <c r="V56" s="7" t="e">
        <f>#REF!</f>
        <v>#REF!</v>
      </c>
      <c r="W56" s="7" t="e">
        <f t="shared" si="0"/>
        <v>#REF!</v>
      </c>
      <c r="X56" s="7" t="e">
        <f t="shared" si="1"/>
        <v>#REF!</v>
      </c>
      <c r="Y56" s="7" t="e">
        <f t="shared" si="2"/>
        <v>#REF!</v>
      </c>
      <c r="Z56" s="7" t="e">
        <f t="shared" si="3"/>
        <v>#REF!</v>
      </c>
      <c r="AA56" s="7" t="e">
        <f t="shared" si="4"/>
        <v>#REF!</v>
      </c>
      <c r="AB56" s="7" t="e">
        <f t="shared" si="5"/>
        <v>#REF!</v>
      </c>
      <c r="AC56" s="7" t="e">
        <f t="shared" si="6"/>
        <v>#REF!</v>
      </c>
      <c r="AD56" s="7" t="e">
        <f t="shared" si="7"/>
        <v>#REF!</v>
      </c>
      <c r="AE56" s="7" t="e">
        <f t="shared" si="8"/>
        <v>#REF!</v>
      </c>
      <c r="AF56" s="7" t="e">
        <f t="shared" si="9"/>
        <v>#REF!</v>
      </c>
      <c r="AG56" s="8" t="e">
        <f t="shared" si="10"/>
        <v>#REF!</v>
      </c>
      <c r="AH56" t="str">
        <f t="shared" si="11"/>
        <v>22CC039</v>
      </c>
    </row>
    <row r="57" spans="1:34" x14ac:dyDescent="0.25">
      <c r="A57" s="1">
        <f>CO_ATT_INPUTS!A58</f>
        <v>40</v>
      </c>
      <c r="B57" s="10" t="str">
        <f>CO_ATT_INPUTS!B58</f>
        <v>22CC040</v>
      </c>
      <c r="C57" s="10" t="str">
        <f>CO_ATT_INPUTS!C58</f>
        <v>722822115040</v>
      </c>
      <c r="D57" s="10" t="str">
        <f>CO_ATT_INPUTS!D58</f>
        <v>RISHAB S</v>
      </c>
      <c r="E57" s="7">
        <f>CO_ATT_INPUTS!E58</f>
        <v>16</v>
      </c>
      <c r="F57" s="7">
        <f>CO_ATT_INPUTS!F58</f>
        <v>27</v>
      </c>
      <c r="G57" s="7">
        <f>CO_ATT_INPUTS!G58</f>
        <v>17</v>
      </c>
      <c r="H57" s="7">
        <f>CO_ATT_INPUTS!H58</f>
        <v>20</v>
      </c>
      <c r="I57" s="7">
        <f>CO_ATT_INPUTS!I58</f>
        <v>10</v>
      </c>
      <c r="J57" s="7">
        <f>CO_ATT_INPUTS!J58</f>
        <v>8</v>
      </c>
      <c r="K57" s="7">
        <f>CO_ATT_INPUTS!K58</f>
        <v>8</v>
      </c>
      <c r="L57" s="7">
        <f>CO_ATT_INPUTS!L58</f>
        <v>8</v>
      </c>
      <c r="M57" s="7">
        <f>CO_ATT_INPUTS!M58</f>
        <v>8</v>
      </c>
      <c r="N57" s="7">
        <f>CO_ATT_INPUTS!N58</f>
        <v>8</v>
      </c>
      <c r="O57" s="7">
        <f>CO_ATT_INPUTS!O58</f>
        <v>88</v>
      </c>
      <c r="P57" s="1">
        <f>CO_ATT_INPUTS!P58</f>
        <v>100</v>
      </c>
      <c r="Q57" s="7" t="e">
        <f>#REF!</f>
        <v>#REF!</v>
      </c>
      <c r="R57" s="7" t="e">
        <f>#REF!</f>
        <v>#REF!</v>
      </c>
      <c r="S57" s="7" t="e">
        <f>#REF!</f>
        <v>#REF!</v>
      </c>
      <c r="T57" s="7" t="e">
        <f>#REF!</f>
        <v>#REF!</v>
      </c>
      <c r="U57" s="7" t="e">
        <f>#REF!</f>
        <v>#REF!</v>
      </c>
      <c r="V57" s="7" t="e">
        <f>#REF!</f>
        <v>#REF!</v>
      </c>
      <c r="W57" s="7" t="e">
        <f t="shared" si="0"/>
        <v>#REF!</v>
      </c>
      <c r="X57" s="7" t="e">
        <f t="shared" si="1"/>
        <v>#REF!</v>
      </c>
      <c r="Y57" s="7" t="e">
        <f t="shared" si="2"/>
        <v>#REF!</v>
      </c>
      <c r="Z57" s="7" t="e">
        <f t="shared" si="3"/>
        <v>#REF!</v>
      </c>
      <c r="AA57" s="7" t="e">
        <f t="shared" si="4"/>
        <v>#REF!</v>
      </c>
      <c r="AB57" s="7" t="e">
        <f t="shared" si="5"/>
        <v>#REF!</v>
      </c>
      <c r="AC57" s="7" t="e">
        <f t="shared" si="6"/>
        <v>#REF!</v>
      </c>
      <c r="AD57" s="7" t="e">
        <f t="shared" si="7"/>
        <v>#REF!</v>
      </c>
      <c r="AE57" s="7" t="e">
        <f t="shared" si="8"/>
        <v>#REF!</v>
      </c>
      <c r="AF57" s="7" t="e">
        <f t="shared" si="9"/>
        <v>#REF!</v>
      </c>
      <c r="AG57" s="8" t="e">
        <f t="shared" si="10"/>
        <v>#REF!</v>
      </c>
      <c r="AH57" t="str">
        <f t="shared" si="11"/>
        <v>22CC040</v>
      </c>
    </row>
    <row r="58" spans="1:34" x14ac:dyDescent="0.25">
      <c r="A58" s="1">
        <f>CO_ATT_INPUTS!A59</f>
        <v>41</v>
      </c>
      <c r="B58" s="10" t="str">
        <f>CO_ATT_INPUTS!B59</f>
        <v>22CC041</v>
      </c>
      <c r="C58" s="10" t="str">
        <f>CO_ATT_INPUTS!C59</f>
        <v>722822115041</v>
      </c>
      <c r="D58" s="10" t="str">
        <f>CO_ATT_INPUTS!D59</f>
        <v>RITHIKA S</v>
      </c>
      <c r="E58" s="7">
        <f>CO_ATT_INPUTS!E59</f>
        <v>34</v>
      </c>
      <c r="F58" s="7">
        <f>CO_ATT_INPUTS!F59</f>
        <v>30</v>
      </c>
      <c r="G58" s="7">
        <f>CO_ATT_INPUTS!G59</f>
        <v>29</v>
      </c>
      <c r="H58" s="7">
        <f>CO_ATT_INPUTS!H59</f>
        <v>35</v>
      </c>
      <c r="I58" s="7">
        <f>CO_ATT_INPUTS!I59</f>
        <v>32</v>
      </c>
      <c r="J58" s="7">
        <f>CO_ATT_INPUTS!J59</f>
        <v>9</v>
      </c>
      <c r="K58" s="7">
        <f>CO_ATT_INPUTS!K59</f>
        <v>9</v>
      </c>
      <c r="L58" s="7">
        <f>CO_ATT_INPUTS!L59</f>
        <v>9</v>
      </c>
      <c r="M58" s="7">
        <f>CO_ATT_INPUTS!M59</f>
        <v>9</v>
      </c>
      <c r="N58" s="7">
        <f>CO_ATT_INPUTS!N59</f>
        <v>9</v>
      </c>
      <c r="O58" s="7">
        <f>CO_ATT_INPUTS!O59</f>
        <v>96</v>
      </c>
      <c r="P58" s="1">
        <f>CO_ATT_INPUTS!P59</f>
        <v>100</v>
      </c>
      <c r="Q58" s="7" t="e">
        <f>#REF!</f>
        <v>#REF!</v>
      </c>
      <c r="R58" s="7" t="e">
        <f>#REF!</f>
        <v>#REF!</v>
      </c>
      <c r="S58" s="7" t="e">
        <f>#REF!</f>
        <v>#REF!</v>
      </c>
      <c r="T58" s="7" t="e">
        <f>#REF!</f>
        <v>#REF!</v>
      </c>
      <c r="U58" s="7" t="e">
        <f>#REF!</f>
        <v>#REF!</v>
      </c>
      <c r="V58" s="7" t="e">
        <f>#REF!</f>
        <v>#REF!</v>
      </c>
      <c r="W58" s="7" t="e">
        <f t="shared" si="0"/>
        <v>#REF!</v>
      </c>
      <c r="X58" s="7" t="e">
        <f t="shared" si="1"/>
        <v>#REF!</v>
      </c>
      <c r="Y58" s="7" t="e">
        <f t="shared" si="2"/>
        <v>#REF!</v>
      </c>
      <c r="Z58" s="7" t="e">
        <f t="shared" si="3"/>
        <v>#REF!</v>
      </c>
      <c r="AA58" s="7" t="e">
        <f t="shared" si="4"/>
        <v>#REF!</v>
      </c>
      <c r="AB58" s="7" t="e">
        <f t="shared" si="5"/>
        <v>#REF!</v>
      </c>
      <c r="AC58" s="7" t="e">
        <f t="shared" si="6"/>
        <v>#REF!</v>
      </c>
      <c r="AD58" s="7" t="e">
        <f t="shared" si="7"/>
        <v>#REF!</v>
      </c>
      <c r="AE58" s="7" t="e">
        <f t="shared" si="8"/>
        <v>#REF!</v>
      </c>
      <c r="AF58" s="7" t="e">
        <f t="shared" si="9"/>
        <v>#REF!</v>
      </c>
      <c r="AG58" s="8" t="e">
        <f t="shared" si="10"/>
        <v>#REF!</v>
      </c>
      <c r="AH58" t="str">
        <f t="shared" si="11"/>
        <v>22CC041</v>
      </c>
    </row>
    <row r="59" spans="1:34" x14ac:dyDescent="0.25">
      <c r="A59" s="1">
        <f>CO_ATT_INPUTS!A60</f>
        <v>42</v>
      </c>
      <c r="B59" s="10" t="str">
        <f>CO_ATT_INPUTS!B60</f>
        <v>22CC042</v>
      </c>
      <c r="C59" s="10" t="str">
        <f>CO_ATT_INPUTS!C60</f>
        <v>722822115042</v>
      </c>
      <c r="D59" s="10" t="str">
        <f>CO_ATT_INPUTS!D60</f>
        <v>RITHISH S</v>
      </c>
      <c r="E59" s="7">
        <f>CO_ATT_INPUTS!E60</f>
        <v>32</v>
      </c>
      <c r="F59" s="7">
        <f>CO_ATT_INPUTS!F60</f>
        <v>27</v>
      </c>
      <c r="G59" s="7">
        <f>CO_ATT_INPUTS!G60</f>
        <v>16</v>
      </c>
      <c r="H59" s="7">
        <f>CO_ATT_INPUTS!H60</f>
        <v>28</v>
      </c>
      <c r="I59" s="7">
        <f>CO_ATT_INPUTS!I60</f>
        <v>25</v>
      </c>
      <c r="J59" s="7">
        <f>CO_ATT_INPUTS!J60</f>
        <v>9</v>
      </c>
      <c r="K59" s="7">
        <f>CO_ATT_INPUTS!K60</f>
        <v>9</v>
      </c>
      <c r="L59" s="7">
        <f>CO_ATT_INPUTS!L60</f>
        <v>9</v>
      </c>
      <c r="M59" s="7">
        <f>CO_ATT_INPUTS!M60</f>
        <v>9</v>
      </c>
      <c r="N59" s="7">
        <f>CO_ATT_INPUTS!N60</f>
        <v>9</v>
      </c>
      <c r="O59" s="7">
        <f>CO_ATT_INPUTS!O60</f>
        <v>90</v>
      </c>
      <c r="P59" s="1">
        <f>CO_ATT_INPUTS!P60</f>
        <v>83</v>
      </c>
      <c r="Q59" s="7" t="e">
        <f>#REF!</f>
        <v>#REF!</v>
      </c>
      <c r="R59" s="7" t="e">
        <f>#REF!</f>
        <v>#REF!</v>
      </c>
      <c r="S59" s="7" t="e">
        <f>#REF!</f>
        <v>#REF!</v>
      </c>
      <c r="T59" s="7" t="e">
        <f>#REF!</f>
        <v>#REF!</v>
      </c>
      <c r="U59" s="7" t="e">
        <f>#REF!</f>
        <v>#REF!</v>
      </c>
      <c r="V59" s="7" t="e">
        <f>#REF!</f>
        <v>#REF!</v>
      </c>
      <c r="W59" s="7" t="e">
        <f t="shared" si="0"/>
        <v>#REF!</v>
      </c>
      <c r="X59" s="7" t="e">
        <f t="shared" si="1"/>
        <v>#REF!</v>
      </c>
      <c r="Y59" s="7" t="e">
        <f t="shared" si="2"/>
        <v>#REF!</v>
      </c>
      <c r="Z59" s="7" t="e">
        <f t="shared" si="3"/>
        <v>#REF!</v>
      </c>
      <c r="AA59" s="7" t="e">
        <f t="shared" si="4"/>
        <v>#REF!</v>
      </c>
      <c r="AB59" s="7" t="e">
        <f t="shared" si="5"/>
        <v>#REF!</v>
      </c>
      <c r="AC59" s="7" t="e">
        <f t="shared" si="6"/>
        <v>#REF!</v>
      </c>
      <c r="AD59" s="7" t="e">
        <f t="shared" si="7"/>
        <v>#REF!</v>
      </c>
      <c r="AE59" s="7" t="e">
        <f t="shared" si="8"/>
        <v>#REF!</v>
      </c>
      <c r="AF59" s="7" t="e">
        <f t="shared" si="9"/>
        <v>#REF!</v>
      </c>
      <c r="AG59" s="8" t="e">
        <f t="shared" si="10"/>
        <v>#REF!</v>
      </c>
      <c r="AH59" t="str">
        <f t="shared" si="11"/>
        <v>22CC042</v>
      </c>
    </row>
    <row r="60" spans="1:34" x14ac:dyDescent="0.25">
      <c r="A60" s="1">
        <f>CO_ATT_INPUTS!A61</f>
        <v>43</v>
      </c>
      <c r="B60" s="10" t="str">
        <f>CO_ATT_INPUTS!B61</f>
        <v>22CC043</v>
      </c>
      <c r="C60" s="10" t="str">
        <f>CO_ATT_INPUTS!C61</f>
        <v>722822115043</v>
      </c>
      <c r="D60" s="10" t="str">
        <f>CO_ATT_INPUTS!D61</f>
        <v>ROHIT K S</v>
      </c>
      <c r="E60" s="7">
        <f>CO_ATT_INPUTS!E61</f>
        <v>28</v>
      </c>
      <c r="F60" s="7">
        <f>CO_ATT_INPUTS!F61</f>
        <v>34</v>
      </c>
      <c r="G60" s="7">
        <f>CO_ATT_INPUTS!G61</f>
        <v>21</v>
      </c>
      <c r="H60" s="7">
        <f>CO_ATT_INPUTS!H61</f>
        <v>33</v>
      </c>
      <c r="I60" s="7">
        <f>CO_ATT_INPUTS!I61</f>
        <v>26</v>
      </c>
      <c r="J60" s="7">
        <f>CO_ATT_INPUTS!J61</f>
        <v>9</v>
      </c>
      <c r="K60" s="7">
        <f>CO_ATT_INPUTS!K61</f>
        <v>9</v>
      </c>
      <c r="L60" s="7">
        <f>CO_ATT_INPUTS!L61</f>
        <v>9</v>
      </c>
      <c r="M60" s="7">
        <f>CO_ATT_INPUTS!M61</f>
        <v>9</v>
      </c>
      <c r="N60" s="7">
        <f>CO_ATT_INPUTS!N61</f>
        <v>9</v>
      </c>
      <c r="O60" s="7">
        <f>CO_ATT_INPUTS!O61</f>
        <v>86</v>
      </c>
      <c r="P60" s="1">
        <f>CO_ATT_INPUTS!P61</f>
        <v>93</v>
      </c>
      <c r="Q60" s="7" t="e">
        <f>#REF!</f>
        <v>#REF!</v>
      </c>
      <c r="R60" s="7" t="e">
        <f>#REF!</f>
        <v>#REF!</v>
      </c>
      <c r="S60" s="7" t="e">
        <f>#REF!</f>
        <v>#REF!</v>
      </c>
      <c r="T60" s="7" t="e">
        <f>#REF!</f>
        <v>#REF!</v>
      </c>
      <c r="U60" s="7" t="e">
        <f>#REF!</f>
        <v>#REF!</v>
      </c>
      <c r="V60" s="7" t="e">
        <f>#REF!</f>
        <v>#REF!</v>
      </c>
      <c r="W60" s="7" t="e">
        <f t="shared" si="0"/>
        <v>#REF!</v>
      </c>
      <c r="X60" s="7" t="e">
        <f t="shared" si="1"/>
        <v>#REF!</v>
      </c>
      <c r="Y60" s="7" t="e">
        <f t="shared" si="2"/>
        <v>#REF!</v>
      </c>
      <c r="Z60" s="7" t="e">
        <f t="shared" si="3"/>
        <v>#REF!</v>
      </c>
      <c r="AA60" s="7" t="e">
        <f t="shared" si="4"/>
        <v>#REF!</v>
      </c>
      <c r="AB60" s="7" t="e">
        <f t="shared" si="5"/>
        <v>#REF!</v>
      </c>
      <c r="AC60" s="7" t="e">
        <f t="shared" si="6"/>
        <v>#REF!</v>
      </c>
      <c r="AD60" s="7" t="e">
        <f t="shared" si="7"/>
        <v>#REF!</v>
      </c>
      <c r="AE60" s="7" t="e">
        <f t="shared" si="8"/>
        <v>#REF!</v>
      </c>
      <c r="AF60" s="7" t="e">
        <f t="shared" si="9"/>
        <v>#REF!</v>
      </c>
      <c r="AG60" s="8" t="e">
        <f t="shared" si="10"/>
        <v>#REF!</v>
      </c>
      <c r="AH60" t="str">
        <f t="shared" si="11"/>
        <v>22CC043</v>
      </c>
    </row>
    <row r="61" spans="1:34" x14ac:dyDescent="0.25">
      <c r="A61" s="1">
        <f>CO_ATT_INPUTS!A62</f>
        <v>44</v>
      </c>
      <c r="B61" s="10" t="str">
        <f>CO_ATT_INPUTS!B62</f>
        <v>22CC044</v>
      </c>
      <c r="C61" s="10" t="str">
        <f>CO_ATT_INPUTS!C62</f>
        <v>722822115044</v>
      </c>
      <c r="D61" s="10" t="str">
        <f>CO_ATT_INPUTS!D62</f>
        <v>SAKTHI VIGNESH S</v>
      </c>
      <c r="E61" s="7">
        <f>CO_ATT_INPUTS!E62</f>
        <v>29</v>
      </c>
      <c r="F61" s="7">
        <f>CO_ATT_INPUTS!F62</f>
        <v>30</v>
      </c>
      <c r="G61" s="7">
        <f>CO_ATT_INPUTS!G62</f>
        <v>33</v>
      </c>
      <c r="H61" s="7">
        <f>CO_ATT_INPUTS!H62</f>
        <v>34</v>
      </c>
      <c r="I61" s="7">
        <f>CO_ATT_INPUTS!I62</f>
        <v>34</v>
      </c>
      <c r="J61" s="7">
        <f>CO_ATT_INPUTS!J62</f>
        <v>9</v>
      </c>
      <c r="K61" s="7">
        <f>CO_ATT_INPUTS!K62</f>
        <v>9</v>
      </c>
      <c r="L61" s="7">
        <f>CO_ATT_INPUTS!L62</f>
        <v>9</v>
      </c>
      <c r="M61" s="7">
        <f>CO_ATT_INPUTS!M62</f>
        <v>9</v>
      </c>
      <c r="N61" s="7">
        <f>CO_ATT_INPUTS!N62</f>
        <v>9</v>
      </c>
      <c r="O61" s="7">
        <f>CO_ATT_INPUTS!O62</f>
        <v>88</v>
      </c>
      <c r="P61" s="1">
        <f>CO_ATT_INPUTS!P62</f>
        <v>95</v>
      </c>
      <c r="Q61" s="7" t="e">
        <f>#REF!</f>
        <v>#REF!</v>
      </c>
      <c r="R61" s="7" t="e">
        <f>#REF!</f>
        <v>#REF!</v>
      </c>
      <c r="S61" s="7" t="e">
        <f>#REF!</f>
        <v>#REF!</v>
      </c>
      <c r="T61" s="7" t="e">
        <f>#REF!</f>
        <v>#REF!</v>
      </c>
      <c r="U61" s="7" t="e">
        <f>#REF!</f>
        <v>#REF!</v>
      </c>
      <c r="V61" s="7" t="e">
        <f>#REF!</f>
        <v>#REF!</v>
      </c>
      <c r="W61" s="7" t="e">
        <f t="shared" si="0"/>
        <v>#REF!</v>
      </c>
      <c r="X61" s="7" t="e">
        <f t="shared" si="1"/>
        <v>#REF!</v>
      </c>
      <c r="Y61" s="7" t="e">
        <f t="shared" si="2"/>
        <v>#REF!</v>
      </c>
      <c r="Z61" s="7" t="e">
        <f t="shared" si="3"/>
        <v>#REF!</v>
      </c>
      <c r="AA61" s="7" t="e">
        <f t="shared" si="4"/>
        <v>#REF!</v>
      </c>
      <c r="AB61" s="7" t="e">
        <f t="shared" si="5"/>
        <v>#REF!</v>
      </c>
      <c r="AC61" s="7" t="e">
        <f t="shared" si="6"/>
        <v>#REF!</v>
      </c>
      <c r="AD61" s="7" t="e">
        <f t="shared" si="7"/>
        <v>#REF!</v>
      </c>
      <c r="AE61" s="7" t="e">
        <f t="shared" si="8"/>
        <v>#REF!</v>
      </c>
      <c r="AF61" s="7" t="e">
        <f t="shared" si="9"/>
        <v>#REF!</v>
      </c>
      <c r="AG61" s="8" t="e">
        <f t="shared" si="10"/>
        <v>#REF!</v>
      </c>
      <c r="AH61" t="str">
        <f t="shared" si="11"/>
        <v>22CC044</v>
      </c>
    </row>
    <row r="62" spans="1:34" x14ac:dyDescent="0.25">
      <c r="A62" s="1">
        <f>CO_ATT_INPUTS!A63</f>
        <v>45</v>
      </c>
      <c r="B62" s="10" t="str">
        <f>CO_ATT_INPUTS!B63</f>
        <v>22CC045</v>
      </c>
      <c r="C62" s="10" t="str">
        <f>CO_ATT_INPUTS!C63</f>
        <v>722822115045</v>
      </c>
      <c r="D62" s="10" t="str">
        <f>CO_ATT_INPUTS!D63</f>
        <v>SAKTHIVEL M</v>
      </c>
      <c r="E62" s="7">
        <f>CO_ATT_INPUTS!E63</f>
        <v>34</v>
      </c>
      <c r="F62" s="7">
        <f>CO_ATT_INPUTS!F63</f>
        <v>36</v>
      </c>
      <c r="G62" s="7">
        <f>CO_ATT_INPUTS!G63</f>
        <v>31</v>
      </c>
      <c r="H62" s="7">
        <f>CO_ATT_INPUTS!H63</f>
        <v>34</v>
      </c>
      <c r="I62" s="7">
        <f>CO_ATT_INPUTS!I63</f>
        <v>28</v>
      </c>
      <c r="J62" s="7">
        <f>CO_ATT_INPUTS!J63</f>
        <v>9</v>
      </c>
      <c r="K62" s="7">
        <f>CO_ATT_INPUTS!K63</f>
        <v>9</v>
      </c>
      <c r="L62" s="7">
        <f>CO_ATT_INPUTS!L63</f>
        <v>9</v>
      </c>
      <c r="M62" s="7">
        <f>CO_ATT_INPUTS!M63</f>
        <v>9</v>
      </c>
      <c r="N62" s="7">
        <f>CO_ATT_INPUTS!N63</f>
        <v>9</v>
      </c>
      <c r="O62" s="7">
        <f>CO_ATT_INPUTS!O63</f>
        <v>92</v>
      </c>
      <c r="P62" s="1">
        <f>CO_ATT_INPUTS!P63</f>
        <v>100</v>
      </c>
      <c r="Q62" s="7" t="e">
        <f>#REF!</f>
        <v>#REF!</v>
      </c>
      <c r="R62" s="7" t="e">
        <f>#REF!</f>
        <v>#REF!</v>
      </c>
      <c r="S62" s="7" t="e">
        <f>#REF!</f>
        <v>#REF!</v>
      </c>
      <c r="T62" s="7" t="e">
        <f>#REF!</f>
        <v>#REF!</v>
      </c>
      <c r="U62" s="7" t="e">
        <f>#REF!</f>
        <v>#REF!</v>
      </c>
      <c r="V62" s="7" t="e">
        <f>#REF!</f>
        <v>#REF!</v>
      </c>
      <c r="W62" s="7" t="e">
        <f t="shared" si="0"/>
        <v>#REF!</v>
      </c>
      <c r="X62" s="7" t="e">
        <f t="shared" si="1"/>
        <v>#REF!</v>
      </c>
      <c r="Y62" s="7" t="e">
        <f t="shared" si="2"/>
        <v>#REF!</v>
      </c>
      <c r="Z62" s="7" t="e">
        <f t="shared" si="3"/>
        <v>#REF!</v>
      </c>
      <c r="AA62" s="7" t="e">
        <f t="shared" si="4"/>
        <v>#REF!</v>
      </c>
      <c r="AB62" s="7" t="e">
        <f t="shared" si="5"/>
        <v>#REF!</v>
      </c>
      <c r="AC62" s="7" t="e">
        <f t="shared" si="6"/>
        <v>#REF!</v>
      </c>
      <c r="AD62" s="7" t="e">
        <f t="shared" si="7"/>
        <v>#REF!</v>
      </c>
      <c r="AE62" s="7" t="e">
        <f t="shared" si="8"/>
        <v>#REF!</v>
      </c>
      <c r="AF62" s="7" t="e">
        <f t="shared" si="9"/>
        <v>#REF!</v>
      </c>
      <c r="AG62" s="8" t="e">
        <f t="shared" si="10"/>
        <v>#REF!</v>
      </c>
      <c r="AH62" t="str">
        <f t="shared" si="11"/>
        <v>22CC045</v>
      </c>
    </row>
    <row r="63" spans="1:34" x14ac:dyDescent="0.25">
      <c r="A63" s="1">
        <f>CO_ATT_INPUTS!A64</f>
        <v>46</v>
      </c>
      <c r="B63" s="10" t="str">
        <f>CO_ATT_INPUTS!B64</f>
        <v>22CC046</v>
      </c>
      <c r="C63" s="10" t="str">
        <f>CO_ATT_INPUTS!C64</f>
        <v>722822115046</v>
      </c>
      <c r="D63" s="10" t="str">
        <f>CO_ATT_INPUTS!D64</f>
        <v>SAMRAAT M</v>
      </c>
      <c r="E63" s="7">
        <f>CO_ATT_INPUTS!E64</f>
        <v>28</v>
      </c>
      <c r="F63" s="7">
        <f>CO_ATT_INPUTS!F64</f>
        <v>16</v>
      </c>
      <c r="G63" s="7">
        <f>CO_ATT_INPUTS!G64</f>
        <v>20</v>
      </c>
      <c r="H63" s="7">
        <f>CO_ATT_INPUTS!H64</f>
        <v>25</v>
      </c>
      <c r="I63" s="7">
        <f>CO_ATT_INPUTS!I64</f>
        <v>20</v>
      </c>
      <c r="J63" s="7">
        <f>CO_ATT_INPUTS!J64</f>
        <v>9</v>
      </c>
      <c r="K63" s="7">
        <f>CO_ATT_INPUTS!K64</f>
        <v>9</v>
      </c>
      <c r="L63" s="7">
        <f>CO_ATT_INPUTS!L64</f>
        <v>9</v>
      </c>
      <c r="M63" s="7">
        <f>CO_ATT_INPUTS!M64</f>
        <v>9</v>
      </c>
      <c r="N63" s="7">
        <f>CO_ATT_INPUTS!N64</f>
        <v>9</v>
      </c>
      <c r="O63" s="7">
        <f>CO_ATT_INPUTS!O64</f>
        <v>86</v>
      </c>
      <c r="P63" s="1">
        <f>CO_ATT_INPUTS!P64</f>
        <v>100</v>
      </c>
      <c r="Q63" s="7" t="e">
        <f>#REF!</f>
        <v>#REF!</v>
      </c>
      <c r="R63" s="7" t="e">
        <f>#REF!</f>
        <v>#REF!</v>
      </c>
      <c r="S63" s="7" t="e">
        <f>#REF!</f>
        <v>#REF!</v>
      </c>
      <c r="T63" s="7" t="e">
        <f>#REF!</f>
        <v>#REF!</v>
      </c>
      <c r="U63" s="7" t="e">
        <f>#REF!</f>
        <v>#REF!</v>
      </c>
      <c r="V63" s="7" t="e">
        <f>#REF!</f>
        <v>#REF!</v>
      </c>
      <c r="W63" s="7" t="e">
        <f t="shared" si="0"/>
        <v>#REF!</v>
      </c>
      <c r="X63" s="7" t="e">
        <f t="shared" si="1"/>
        <v>#REF!</v>
      </c>
      <c r="Y63" s="7" t="e">
        <f t="shared" si="2"/>
        <v>#REF!</v>
      </c>
      <c r="Z63" s="7" t="e">
        <f t="shared" si="3"/>
        <v>#REF!</v>
      </c>
      <c r="AA63" s="7" t="e">
        <f t="shared" si="4"/>
        <v>#REF!</v>
      </c>
      <c r="AB63" s="7" t="e">
        <f t="shared" si="5"/>
        <v>#REF!</v>
      </c>
      <c r="AC63" s="7" t="e">
        <f t="shared" si="6"/>
        <v>#REF!</v>
      </c>
      <c r="AD63" s="7" t="e">
        <f t="shared" si="7"/>
        <v>#REF!</v>
      </c>
      <c r="AE63" s="7" t="e">
        <f t="shared" si="8"/>
        <v>#REF!</v>
      </c>
      <c r="AF63" s="7" t="e">
        <f t="shared" si="9"/>
        <v>#REF!</v>
      </c>
      <c r="AG63" s="8" t="e">
        <f t="shared" si="10"/>
        <v>#REF!</v>
      </c>
      <c r="AH63" t="str">
        <f t="shared" si="11"/>
        <v>22CC046</v>
      </c>
    </row>
    <row r="64" spans="1:34" x14ac:dyDescent="0.25">
      <c r="A64" s="1">
        <f>CO_ATT_INPUTS!A65</f>
        <v>47</v>
      </c>
      <c r="B64" s="10" t="str">
        <f>CO_ATT_INPUTS!B65</f>
        <v>22CC047</v>
      </c>
      <c r="C64" s="10" t="str">
        <f>CO_ATT_INPUTS!C65</f>
        <v>722822115047</v>
      </c>
      <c r="D64" s="10" t="str">
        <f>CO_ATT_INPUTS!D65</f>
        <v>SHANMUGAPRIYA M</v>
      </c>
      <c r="E64" s="7">
        <f>CO_ATT_INPUTS!E65</f>
        <v>30</v>
      </c>
      <c r="F64" s="7">
        <f>CO_ATT_INPUTS!F65</f>
        <v>34</v>
      </c>
      <c r="G64" s="7">
        <f>CO_ATT_INPUTS!G65</f>
        <v>33</v>
      </c>
      <c r="H64" s="7">
        <f>CO_ATT_INPUTS!H65</f>
        <v>36</v>
      </c>
      <c r="I64" s="7">
        <f>CO_ATT_INPUTS!I65</f>
        <v>36</v>
      </c>
      <c r="J64" s="7">
        <f>CO_ATT_INPUTS!J65</f>
        <v>9</v>
      </c>
      <c r="K64" s="7">
        <f>CO_ATT_INPUTS!K65</f>
        <v>9</v>
      </c>
      <c r="L64" s="7">
        <f>CO_ATT_INPUTS!L65</f>
        <v>9</v>
      </c>
      <c r="M64" s="7">
        <f>CO_ATT_INPUTS!M65</f>
        <v>9</v>
      </c>
      <c r="N64" s="7">
        <f>CO_ATT_INPUTS!N65</f>
        <v>9</v>
      </c>
      <c r="O64" s="7">
        <f>CO_ATT_INPUTS!O65</f>
        <v>96</v>
      </c>
      <c r="P64" s="1">
        <f>CO_ATT_INPUTS!P65</f>
        <v>97</v>
      </c>
      <c r="Q64" s="7" t="e">
        <f>#REF!</f>
        <v>#REF!</v>
      </c>
      <c r="R64" s="7" t="e">
        <f>#REF!</f>
        <v>#REF!</v>
      </c>
      <c r="S64" s="7" t="e">
        <f>#REF!</f>
        <v>#REF!</v>
      </c>
      <c r="T64" s="7" t="e">
        <f>#REF!</f>
        <v>#REF!</v>
      </c>
      <c r="U64" s="7" t="e">
        <f>#REF!</f>
        <v>#REF!</v>
      </c>
      <c r="V64" s="7" t="e">
        <f>#REF!</f>
        <v>#REF!</v>
      </c>
      <c r="W64" s="7" t="e">
        <f t="shared" si="0"/>
        <v>#REF!</v>
      </c>
      <c r="X64" s="7" t="e">
        <f t="shared" si="1"/>
        <v>#REF!</v>
      </c>
      <c r="Y64" s="7" t="e">
        <f t="shared" si="2"/>
        <v>#REF!</v>
      </c>
      <c r="Z64" s="7" t="e">
        <f t="shared" si="3"/>
        <v>#REF!</v>
      </c>
      <c r="AA64" s="7" t="e">
        <f t="shared" si="4"/>
        <v>#REF!</v>
      </c>
      <c r="AB64" s="7" t="e">
        <f t="shared" si="5"/>
        <v>#REF!</v>
      </c>
      <c r="AC64" s="7" t="e">
        <f t="shared" si="6"/>
        <v>#REF!</v>
      </c>
      <c r="AD64" s="7" t="e">
        <f t="shared" si="7"/>
        <v>#REF!</v>
      </c>
      <c r="AE64" s="7" t="e">
        <f t="shared" si="8"/>
        <v>#REF!</v>
      </c>
      <c r="AF64" s="7" t="e">
        <f t="shared" si="9"/>
        <v>#REF!</v>
      </c>
      <c r="AG64" s="8" t="e">
        <f t="shared" si="10"/>
        <v>#REF!</v>
      </c>
      <c r="AH64" t="str">
        <f t="shared" si="11"/>
        <v>22CC047</v>
      </c>
    </row>
    <row r="65" spans="1:34" x14ac:dyDescent="0.25">
      <c r="A65" s="1">
        <f>CO_ATT_INPUTS!A66</f>
        <v>48</v>
      </c>
      <c r="B65" s="10" t="str">
        <f>CO_ATT_INPUTS!B66</f>
        <v>22CC048</v>
      </c>
      <c r="C65" s="10" t="str">
        <f>CO_ATT_INPUTS!C66</f>
        <v>722822115048</v>
      </c>
      <c r="D65" s="10" t="str">
        <f>CO_ATT_INPUTS!D66</f>
        <v>SHRINAYA S K</v>
      </c>
      <c r="E65" s="7">
        <f>CO_ATT_INPUTS!E66</f>
        <v>34</v>
      </c>
      <c r="F65" s="7">
        <f>CO_ATT_INPUTS!F66</f>
        <v>29</v>
      </c>
      <c r="G65" s="7">
        <f>CO_ATT_INPUTS!G66</f>
        <v>35</v>
      </c>
      <c r="H65" s="7">
        <f>CO_ATT_INPUTS!H66</f>
        <v>35</v>
      </c>
      <c r="I65" s="7">
        <f>CO_ATT_INPUTS!I66</f>
        <v>35</v>
      </c>
      <c r="J65" s="7">
        <f>CO_ATT_INPUTS!J66</f>
        <v>9</v>
      </c>
      <c r="K65" s="7">
        <f>CO_ATT_INPUTS!K66</f>
        <v>9</v>
      </c>
      <c r="L65" s="7">
        <f>CO_ATT_INPUTS!L66</f>
        <v>9</v>
      </c>
      <c r="M65" s="7">
        <f>CO_ATT_INPUTS!M66</f>
        <v>9</v>
      </c>
      <c r="N65" s="7">
        <f>CO_ATT_INPUTS!N66</f>
        <v>9</v>
      </c>
      <c r="O65" s="7">
        <f>CO_ATT_INPUTS!O66</f>
        <v>94</v>
      </c>
      <c r="P65" s="1">
        <f>CO_ATT_INPUTS!P66</f>
        <v>100</v>
      </c>
      <c r="Q65" s="7" t="e">
        <f>#REF!</f>
        <v>#REF!</v>
      </c>
      <c r="R65" s="7" t="e">
        <f>#REF!</f>
        <v>#REF!</v>
      </c>
      <c r="S65" s="7" t="e">
        <f>#REF!</f>
        <v>#REF!</v>
      </c>
      <c r="T65" s="7" t="e">
        <f>#REF!</f>
        <v>#REF!</v>
      </c>
      <c r="U65" s="7" t="e">
        <f>#REF!</f>
        <v>#REF!</v>
      </c>
      <c r="V65" s="7" t="e">
        <f>#REF!</f>
        <v>#REF!</v>
      </c>
      <c r="W65" s="7" t="e">
        <f t="shared" si="0"/>
        <v>#REF!</v>
      </c>
      <c r="X65" s="7" t="e">
        <f t="shared" si="1"/>
        <v>#REF!</v>
      </c>
      <c r="Y65" s="7" t="e">
        <f t="shared" si="2"/>
        <v>#REF!</v>
      </c>
      <c r="Z65" s="7" t="e">
        <f t="shared" si="3"/>
        <v>#REF!</v>
      </c>
      <c r="AA65" s="7" t="e">
        <f t="shared" si="4"/>
        <v>#REF!</v>
      </c>
      <c r="AB65" s="7" t="e">
        <f t="shared" si="5"/>
        <v>#REF!</v>
      </c>
      <c r="AC65" s="7" t="e">
        <f t="shared" si="6"/>
        <v>#REF!</v>
      </c>
      <c r="AD65" s="7" t="e">
        <f t="shared" si="7"/>
        <v>#REF!</v>
      </c>
      <c r="AE65" s="7" t="e">
        <f t="shared" si="8"/>
        <v>#REF!</v>
      </c>
      <c r="AF65" s="7" t="e">
        <f t="shared" si="9"/>
        <v>#REF!</v>
      </c>
      <c r="AG65" s="8" t="e">
        <f t="shared" si="10"/>
        <v>#REF!</v>
      </c>
      <c r="AH65" t="str">
        <f t="shared" si="11"/>
        <v>22CC048</v>
      </c>
    </row>
    <row r="66" spans="1:34" x14ac:dyDescent="0.25">
      <c r="A66" s="1">
        <f>CO_ATT_INPUTS!A67</f>
        <v>49</v>
      </c>
      <c r="B66" s="10" t="str">
        <f>CO_ATT_INPUTS!B67</f>
        <v>22CC049</v>
      </c>
      <c r="C66" s="10" t="str">
        <f>CO_ATT_INPUTS!C67</f>
        <v>722822115049</v>
      </c>
      <c r="D66" s="10" t="str">
        <f>CO_ATT_INPUTS!D67</f>
        <v>SIDDARTHAN S</v>
      </c>
      <c r="E66" s="7">
        <f>CO_ATT_INPUTS!E67</f>
        <v>14</v>
      </c>
      <c r="F66" s="7">
        <f>CO_ATT_INPUTS!F67</f>
        <v>13</v>
      </c>
      <c r="G66" s="7">
        <f>CO_ATT_INPUTS!G67</f>
        <v>17</v>
      </c>
      <c r="H66" s="7">
        <f>CO_ATT_INPUTS!H67</f>
        <v>29</v>
      </c>
      <c r="I66" s="7">
        <f>CO_ATT_INPUTS!I67</f>
        <v>30</v>
      </c>
      <c r="J66" s="7">
        <f>CO_ATT_INPUTS!J67</f>
        <v>9</v>
      </c>
      <c r="K66" s="7">
        <f>CO_ATT_INPUTS!K67</f>
        <v>9</v>
      </c>
      <c r="L66" s="7">
        <f>CO_ATT_INPUTS!L67</f>
        <v>9</v>
      </c>
      <c r="M66" s="7">
        <f>CO_ATT_INPUTS!M67</f>
        <v>9</v>
      </c>
      <c r="N66" s="7">
        <f>CO_ATT_INPUTS!N67</f>
        <v>9</v>
      </c>
      <c r="O66" s="7">
        <f>CO_ATT_INPUTS!O67</f>
        <v>88</v>
      </c>
      <c r="P66" s="1">
        <f>CO_ATT_INPUTS!P67</f>
        <v>100</v>
      </c>
      <c r="Q66" s="7" t="e">
        <f>#REF!</f>
        <v>#REF!</v>
      </c>
      <c r="R66" s="7" t="e">
        <f>#REF!</f>
        <v>#REF!</v>
      </c>
      <c r="S66" s="7" t="e">
        <f>#REF!</f>
        <v>#REF!</v>
      </c>
      <c r="T66" s="7" t="e">
        <f>#REF!</f>
        <v>#REF!</v>
      </c>
      <c r="U66" s="7" t="e">
        <f>#REF!</f>
        <v>#REF!</v>
      </c>
      <c r="V66" s="7" t="e">
        <f>#REF!</f>
        <v>#REF!</v>
      </c>
      <c r="W66" s="7" t="e">
        <f t="shared" si="0"/>
        <v>#REF!</v>
      </c>
      <c r="X66" s="7" t="e">
        <f t="shared" si="1"/>
        <v>#REF!</v>
      </c>
      <c r="Y66" s="7" t="e">
        <f t="shared" si="2"/>
        <v>#REF!</v>
      </c>
      <c r="Z66" s="7" t="e">
        <f t="shared" si="3"/>
        <v>#REF!</v>
      </c>
      <c r="AA66" s="7" t="e">
        <f t="shared" si="4"/>
        <v>#REF!</v>
      </c>
      <c r="AB66" s="7" t="e">
        <f t="shared" si="5"/>
        <v>#REF!</v>
      </c>
      <c r="AC66" s="7" t="e">
        <f t="shared" si="6"/>
        <v>#REF!</v>
      </c>
      <c r="AD66" s="7" t="e">
        <f t="shared" si="7"/>
        <v>#REF!</v>
      </c>
      <c r="AE66" s="7" t="e">
        <f t="shared" si="8"/>
        <v>#REF!</v>
      </c>
      <c r="AF66" s="7" t="e">
        <f t="shared" si="9"/>
        <v>#REF!</v>
      </c>
      <c r="AG66" s="8" t="e">
        <f t="shared" si="10"/>
        <v>#REF!</v>
      </c>
      <c r="AH66" t="str">
        <f t="shared" si="11"/>
        <v>22CC049</v>
      </c>
    </row>
    <row r="67" spans="1:34" x14ac:dyDescent="0.25">
      <c r="A67" s="1">
        <f>CO_ATT_INPUTS!A68</f>
        <v>50</v>
      </c>
      <c r="B67" s="10" t="str">
        <f>CO_ATT_INPUTS!B68</f>
        <v>22CC050</v>
      </c>
      <c r="C67" s="10" t="str">
        <f>CO_ATT_INPUTS!C68</f>
        <v>722822115050</v>
      </c>
      <c r="D67" s="10" t="str">
        <f>CO_ATT_INPUTS!D68</f>
        <v>SIVANANTHAM A</v>
      </c>
      <c r="E67" s="7">
        <f>CO_ATT_INPUTS!E68</f>
        <v>10</v>
      </c>
      <c r="F67" s="7">
        <f>CO_ATT_INPUTS!F68</f>
        <v>20</v>
      </c>
      <c r="G67" s="7">
        <f>CO_ATT_INPUTS!G68</f>
        <v>23</v>
      </c>
      <c r="H67" s="7">
        <f>CO_ATT_INPUTS!H68</f>
        <v>19</v>
      </c>
      <c r="I67" s="7">
        <f>CO_ATT_INPUTS!I68</f>
        <v>25</v>
      </c>
      <c r="J67" s="7">
        <f>CO_ATT_INPUTS!J68</f>
        <v>8</v>
      </c>
      <c r="K67" s="7">
        <f>CO_ATT_INPUTS!K68</f>
        <v>8</v>
      </c>
      <c r="L67" s="7">
        <f>CO_ATT_INPUTS!L68</f>
        <v>8</v>
      </c>
      <c r="M67" s="7">
        <f>CO_ATT_INPUTS!M68</f>
        <v>8</v>
      </c>
      <c r="N67" s="7">
        <f>CO_ATT_INPUTS!N68</f>
        <v>8</v>
      </c>
      <c r="O67" s="7">
        <f>CO_ATT_INPUTS!O68</f>
        <v>88</v>
      </c>
      <c r="P67" s="1">
        <f>CO_ATT_INPUTS!P68</f>
        <v>98</v>
      </c>
      <c r="Q67" s="7" t="e">
        <f>#REF!</f>
        <v>#REF!</v>
      </c>
      <c r="R67" s="7" t="e">
        <f>#REF!</f>
        <v>#REF!</v>
      </c>
      <c r="S67" s="7" t="e">
        <f>#REF!</f>
        <v>#REF!</v>
      </c>
      <c r="T67" s="7" t="e">
        <f>#REF!</f>
        <v>#REF!</v>
      </c>
      <c r="U67" s="7" t="e">
        <f>#REF!</f>
        <v>#REF!</v>
      </c>
      <c r="V67" s="7" t="e">
        <f>#REF!</f>
        <v>#REF!</v>
      </c>
      <c r="W67" s="7" t="e">
        <f t="shared" si="0"/>
        <v>#REF!</v>
      </c>
      <c r="X67" s="7" t="e">
        <f t="shared" si="1"/>
        <v>#REF!</v>
      </c>
      <c r="Y67" s="7" t="e">
        <f t="shared" si="2"/>
        <v>#REF!</v>
      </c>
      <c r="Z67" s="7" t="e">
        <f t="shared" si="3"/>
        <v>#REF!</v>
      </c>
      <c r="AA67" s="7" t="e">
        <f t="shared" si="4"/>
        <v>#REF!</v>
      </c>
      <c r="AB67" s="7" t="e">
        <f t="shared" si="5"/>
        <v>#REF!</v>
      </c>
      <c r="AC67" s="7" t="e">
        <f t="shared" si="6"/>
        <v>#REF!</v>
      </c>
      <c r="AD67" s="7" t="e">
        <f t="shared" si="7"/>
        <v>#REF!</v>
      </c>
      <c r="AE67" s="7" t="e">
        <f t="shared" si="8"/>
        <v>#REF!</v>
      </c>
      <c r="AF67" s="7" t="e">
        <f t="shared" si="9"/>
        <v>#REF!</v>
      </c>
      <c r="AG67" s="8" t="e">
        <f t="shared" si="10"/>
        <v>#REF!</v>
      </c>
      <c r="AH67" t="str">
        <f t="shared" si="11"/>
        <v>22CC050</v>
      </c>
    </row>
    <row r="68" spans="1:34" x14ac:dyDescent="0.25">
      <c r="A68" s="1">
        <f>CO_ATT_INPUTS!A69</f>
        <v>51</v>
      </c>
      <c r="B68" s="10" t="str">
        <f>CO_ATT_INPUTS!B69</f>
        <v>22CC051</v>
      </c>
      <c r="C68" s="10" t="str">
        <f>CO_ATT_INPUTS!C69</f>
        <v>722822115051</v>
      </c>
      <c r="D68" s="10" t="str">
        <f>CO_ATT_INPUTS!D69</f>
        <v>SOFIYA NIVEDHINI  J</v>
      </c>
      <c r="E68" s="7">
        <f>CO_ATT_INPUTS!E69</f>
        <v>3</v>
      </c>
      <c r="F68" s="7">
        <f>CO_ATT_INPUTS!F69</f>
        <v>29</v>
      </c>
      <c r="G68" s="7">
        <f>CO_ATT_INPUTS!G69</f>
        <v>22</v>
      </c>
      <c r="H68" s="7">
        <f>CO_ATT_INPUTS!H69</f>
        <v>31</v>
      </c>
      <c r="I68" s="7">
        <f>CO_ATT_INPUTS!I69</f>
        <v>24</v>
      </c>
      <c r="J68" s="7">
        <f>CO_ATT_INPUTS!J69</f>
        <v>8</v>
      </c>
      <c r="K68" s="7">
        <f>CO_ATT_INPUTS!K69</f>
        <v>8</v>
      </c>
      <c r="L68" s="7">
        <f>CO_ATT_INPUTS!L69</f>
        <v>8</v>
      </c>
      <c r="M68" s="7">
        <f>CO_ATT_INPUTS!M69</f>
        <v>8</v>
      </c>
      <c r="N68" s="7">
        <f>CO_ATT_INPUTS!N69</f>
        <v>8</v>
      </c>
      <c r="O68" s="7">
        <f>CO_ATT_INPUTS!O69</f>
        <v>86</v>
      </c>
      <c r="P68" s="1">
        <f>CO_ATT_INPUTS!P69</f>
        <v>98</v>
      </c>
      <c r="Q68" s="7" t="e">
        <f>#REF!</f>
        <v>#REF!</v>
      </c>
      <c r="R68" s="7" t="e">
        <f>#REF!</f>
        <v>#REF!</v>
      </c>
      <c r="S68" s="7" t="e">
        <f>#REF!</f>
        <v>#REF!</v>
      </c>
      <c r="T68" s="7" t="e">
        <f>#REF!</f>
        <v>#REF!</v>
      </c>
      <c r="U68" s="7" t="e">
        <f>#REF!</f>
        <v>#REF!</v>
      </c>
      <c r="V68" s="7" t="e">
        <f>#REF!</f>
        <v>#REF!</v>
      </c>
      <c r="W68" s="7" t="e">
        <f t="shared" si="0"/>
        <v>#REF!</v>
      </c>
      <c r="X68" s="7" t="e">
        <f t="shared" si="1"/>
        <v>#REF!</v>
      </c>
      <c r="Y68" s="7" t="e">
        <f t="shared" si="2"/>
        <v>#REF!</v>
      </c>
      <c r="Z68" s="7" t="e">
        <f t="shared" si="3"/>
        <v>#REF!</v>
      </c>
      <c r="AA68" s="7" t="e">
        <f t="shared" si="4"/>
        <v>#REF!</v>
      </c>
      <c r="AB68" s="7" t="e">
        <f t="shared" si="5"/>
        <v>#REF!</v>
      </c>
      <c r="AC68" s="7" t="e">
        <f t="shared" si="6"/>
        <v>#REF!</v>
      </c>
      <c r="AD68" s="7" t="e">
        <f t="shared" si="7"/>
        <v>#REF!</v>
      </c>
      <c r="AE68" s="7" t="e">
        <f t="shared" si="8"/>
        <v>#REF!</v>
      </c>
      <c r="AF68" s="7" t="e">
        <f t="shared" si="9"/>
        <v>#REF!</v>
      </c>
      <c r="AG68" s="8" t="e">
        <f t="shared" si="10"/>
        <v>#REF!</v>
      </c>
      <c r="AH68" t="str">
        <f t="shared" si="11"/>
        <v>22CC051</v>
      </c>
    </row>
    <row r="69" spans="1:34" x14ac:dyDescent="0.25">
      <c r="A69" s="1">
        <f>CO_ATT_INPUTS!A70</f>
        <v>52</v>
      </c>
      <c r="B69" s="10" t="str">
        <f>CO_ATT_INPUTS!B70</f>
        <v>22CC052</v>
      </c>
      <c r="C69" s="10" t="str">
        <f>CO_ATT_INPUTS!C70</f>
        <v>722822115052</v>
      </c>
      <c r="D69" s="10" t="str">
        <f>CO_ATT_INPUTS!D70</f>
        <v>SOWBHARNIKA  P G</v>
      </c>
      <c r="E69" s="7">
        <f>CO_ATT_INPUTS!E70</f>
        <v>27</v>
      </c>
      <c r="F69" s="7">
        <f>CO_ATT_INPUTS!F70</f>
        <v>32</v>
      </c>
      <c r="G69" s="7">
        <f>CO_ATT_INPUTS!G70</f>
        <v>31</v>
      </c>
      <c r="H69" s="7">
        <f>CO_ATT_INPUTS!H70</f>
        <v>35</v>
      </c>
      <c r="I69" s="7">
        <f>CO_ATT_INPUTS!I70</f>
        <v>33</v>
      </c>
      <c r="J69" s="7">
        <f>CO_ATT_INPUTS!J70</f>
        <v>10</v>
      </c>
      <c r="K69" s="7">
        <f>CO_ATT_INPUTS!K70</f>
        <v>10</v>
      </c>
      <c r="L69" s="7">
        <f>CO_ATT_INPUTS!L70</f>
        <v>10</v>
      </c>
      <c r="M69" s="7">
        <f>CO_ATT_INPUTS!M70</f>
        <v>10</v>
      </c>
      <c r="N69" s="7">
        <f>CO_ATT_INPUTS!N70</f>
        <v>10</v>
      </c>
      <c r="O69" s="7">
        <f>CO_ATT_INPUTS!O70</f>
        <v>92</v>
      </c>
      <c r="P69" s="1">
        <f>CO_ATT_INPUTS!P70</f>
        <v>100</v>
      </c>
      <c r="Q69" s="7" t="e">
        <f>#REF!</f>
        <v>#REF!</v>
      </c>
      <c r="R69" s="7" t="e">
        <f>#REF!</f>
        <v>#REF!</v>
      </c>
      <c r="S69" s="7" t="e">
        <f>#REF!</f>
        <v>#REF!</v>
      </c>
      <c r="T69" s="7" t="e">
        <f>#REF!</f>
        <v>#REF!</v>
      </c>
      <c r="U69" s="7" t="e">
        <f>#REF!</f>
        <v>#REF!</v>
      </c>
      <c r="V69" s="7" t="e">
        <f>#REF!</f>
        <v>#REF!</v>
      </c>
      <c r="W69" s="7" t="e">
        <f t="shared" si="0"/>
        <v>#REF!</v>
      </c>
      <c r="X69" s="7" t="e">
        <f t="shared" si="1"/>
        <v>#REF!</v>
      </c>
      <c r="Y69" s="7" t="e">
        <f t="shared" si="2"/>
        <v>#REF!</v>
      </c>
      <c r="Z69" s="7" t="e">
        <f t="shared" si="3"/>
        <v>#REF!</v>
      </c>
      <c r="AA69" s="7" t="e">
        <f t="shared" si="4"/>
        <v>#REF!</v>
      </c>
      <c r="AB69" s="7" t="e">
        <f t="shared" si="5"/>
        <v>#REF!</v>
      </c>
      <c r="AC69" s="7" t="e">
        <f t="shared" si="6"/>
        <v>#REF!</v>
      </c>
      <c r="AD69" s="7" t="e">
        <f t="shared" si="7"/>
        <v>#REF!</v>
      </c>
      <c r="AE69" s="7" t="e">
        <f t="shared" si="8"/>
        <v>#REF!</v>
      </c>
      <c r="AF69" s="7" t="e">
        <f t="shared" si="9"/>
        <v>#REF!</v>
      </c>
      <c r="AG69" s="8" t="e">
        <f t="shared" si="10"/>
        <v>#REF!</v>
      </c>
      <c r="AH69" t="str">
        <f t="shared" si="11"/>
        <v>22CC052</v>
      </c>
    </row>
    <row r="70" spans="1:34" x14ac:dyDescent="0.25">
      <c r="A70" s="1">
        <f>CO_ATT_INPUTS!A71</f>
        <v>53</v>
      </c>
      <c r="B70" s="10" t="str">
        <f>CO_ATT_INPUTS!B71</f>
        <v>22CC053</v>
      </c>
      <c r="C70" s="10" t="str">
        <f>CO_ATT_INPUTS!C71</f>
        <v>722822115053</v>
      </c>
      <c r="D70" s="10" t="str">
        <f>CO_ATT_INPUTS!D71</f>
        <v>SREEMATHI S</v>
      </c>
      <c r="E70" s="7">
        <f>CO_ATT_INPUTS!E71</f>
        <v>29</v>
      </c>
      <c r="F70" s="7">
        <f>CO_ATT_INPUTS!F71</f>
        <v>30</v>
      </c>
      <c r="G70" s="7">
        <f>CO_ATT_INPUTS!G71</f>
        <v>34</v>
      </c>
      <c r="H70" s="7">
        <f>CO_ATT_INPUTS!H71</f>
        <v>36</v>
      </c>
      <c r="I70" s="7">
        <f>CO_ATT_INPUTS!I71</f>
        <v>34</v>
      </c>
      <c r="J70" s="7">
        <f>CO_ATT_INPUTS!J71</f>
        <v>9</v>
      </c>
      <c r="K70" s="7">
        <f>CO_ATT_INPUTS!K71</f>
        <v>9</v>
      </c>
      <c r="L70" s="7">
        <f>CO_ATT_INPUTS!L71</f>
        <v>9</v>
      </c>
      <c r="M70" s="7">
        <f>CO_ATT_INPUTS!M71</f>
        <v>9</v>
      </c>
      <c r="N70" s="7">
        <f>CO_ATT_INPUTS!N71</f>
        <v>9</v>
      </c>
      <c r="O70" s="7">
        <f>CO_ATT_INPUTS!O71</f>
        <v>88</v>
      </c>
      <c r="P70" s="1">
        <f>CO_ATT_INPUTS!P71</f>
        <v>100</v>
      </c>
      <c r="Q70" s="7" t="e">
        <f>#REF!</f>
        <v>#REF!</v>
      </c>
      <c r="R70" s="7" t="e">
        <f>#REF!</f>
        <v>#REF!</v>
      </c>
      <c r="S70" s="7" t="e">
        <f>#REF!</f>
        <v>#REF!</v>
      </c>
      <c r="T70" s="7" t="e">
        <f>#REF!</f>
        <v>#REF!</v>
      </c>
      <c r="U70" s="7" t="e">
        <f>#REF!</f>
        <v>#REF!</v>
      </c>
      <c r="V70" s="7" t="e">
        <f>#REF!</f>
        <v>#REF!</v>
      </c>
      <c r="W70" s="7" t="e">
        <f t="shared" si="0"/>
        <v>#REF!</v>
      </c>
      <c r="X70" s="7" t="e">
        <f t="shared" si="1"/>
        <v>#REF!</v>
      </c>
      <c r="Y70" s="7" t="e">
        <f t="shared" si="2"/>
        <v>#REF!</v>
      </c>
      <c r="Z70" s="7" t="e">
        <f t="shared" si="3"/>
        <v>#REF!</v>
      </c>
      <c r="AA70" s="7" t="e">
        <f t="shared" si="4"/>
        <v>#REF!</v>
      </c>
      <c r="AB70" s="7" t="e">
        <f t="shared" si="5"/>
        <v>#REF!</v>
      </c>
      <c r="AC70" s="7" t="e">
        <f t="shared" si="6"/>
        <v>#REF!</v>
      </c>
      <c r="AD70" s="7" t="e">
        <f t="shared" si="7"/>
        <v>#REF!</v>
      </c>
      <c r="AE70" s="7" t="e">
        <f t="shared" si="8"/>
        <v>#REF!</v>
      </c>
      <c r="AF70" s="7" t="e">
        <f t="shared" si="9"/>
        <v>#REF!</v>
      </c>
      <c r="AG70" s="8" t="e">
        <f t="shared" si="10"/>
        <v>#REF!</v>
      </c>
      <c r="AH70" t="str">
        <f t="shared" si="11"/>
        <v>22CC053</v>
      </c>
    </row>
    <row r="71" spans="1:34" x14ac:dyDescent="0.25">
      <c r="A71" s="1">
        <f>CO_ATT_INPUTS!A72</f>
        <v>54</v>
      </c>
      <c r="B71" s="10" t="str">
        <f>CO_ATT_INPUTS!B72</f>
        <v>22CC054</v>
      </c>
      <c r="C71" s="10" t="str">
        <f>CO_ATT_INPUTS!C72</f>
        <v>722822115054</v>
      </c>
      <c r="D71" s="10" t="str">
        <f>CO_ATT_INPUTS!D72</f>
        <v>SRINIDHI P S</v>
      </c>
      <c r="E71" s="7">
        <f>CO_ATT_INPUTS!E72</f>
        <v>30</v>
      </c>
      <c r="F71" s="7">
        <f>CO_ATT_INPUTS!F72</f>
        <v>31</v>
      </c>
      <c r="G71" s="7">
        <f>CO_ATT_INPUTS!G72</f>
        <v>36</v>
      </c>
      <c r="H71" s="7">
        <f>CO_ATT_INPUTS!H72</f>
        <v>36</v>
      </c>
      <c r="I71" s="7">
        <f>CO_ATT_INPUTS!I72</f>
        <v>29</v>
      </c>
      <c r="J71" s="7">
        <f>CO_ATT_INPUTS!J72</f>
        <v>8</v>
      </c>
      <c r="K71" s="7">
        <f>CO_ATT_INPUTS!K72</f>
        <v>8</v>
      </c>
      <c r="L71" s="7">
        <f>CO_ATT_INPUTS!L72</f>
        <v>8</v>
      </c>
      <c r="M71" s="7">
        <f>CO_ATT_INPUTS!M72</f>
        <v>8</v>
      </c>
      <c r="N71" s="7">
        <f>CO_ATT_INPUTS!N72</f>
        <v>8</v>
      </c>
      <c r="O71" s="7">
        <f>CO_ATT_INPUTS!O72</f>
        <v>94</v>
      </c>
      <c r="P71" s="1">
        <f>CO_ATT_INPUTS!P72</f>
        <v>95</v>
      </c>
      <c r="Q71" s="7" t="e">
        <f>#REF!</f>
        <v>#REF!</v>
      </c>
      <c r="R71" s="7" t="e">
        <f>#REF!</f>
        <v>#REF!</v>
      </c>
      <c r="S71" s="7" t="e">
        <f>#REF!</f>
        <v>#REF!</v>
      </c>
      <c r="T71" s="7" t="e">
        <f>#REF!</f>
        <v>#REF!</v>
      </c>
      <c r="U71" s="7" t="e">
        <f>#REF!</f>
        <v>#REF!</v>
      </c>
      <c r="V71" s="7" t="e">
        <f>#REF!</f>
        <v>#REF!</v>
      </c>
      <c r="W71" s="7" t="e">
        <f t="shared" si="0"/>
        <v>#REF!</v>
      </c>
      <c r="X71" s="7" t="e">
        <f t="shared" si="1"/>
        <v>#REF!</v>
      </c>
      <c r="Y71" s="7" t="e">
        <f t="shared" si="2"/>
        <v>#REF!</v>
      </c>
      <c r="Z71" s="7" t="e">
        <f t="shared" si="3"/>
        <v>#REF!</v>
      </c>
      <c r="AA71" s="7" t="e">
        <f t="shared" si="4"/>
        <v>#REF!</v>
      </c>
      <c r="AB71" s="7" t="e">
        <f t="shared" si="5"/>
        <v>#REF!</v>
      </c>
      <c r="AC71" s="7" t="e">
        <f t="shared" si="6"/>
        <v>#REF!</v>
      </c>
      <c r="AD71" s="7" t="e">
        <f t="shared" si="7"/>
        <v>#REF!</v>
      </c>
      <c r="AE71" s="7" t="e">
        <f t="shared" si="8"/>
        <v>#REF!</v>
      </c>
      <c r="AF71" s="7" t="e">
        <f t="shared" si="9"/>
        <v>#REF!</v>
      </c>
      <c r="AG71" s="8" t="e">
        <f t="shared" si="10"/>
        <v>#REF!</v>
      </c>
      <c r="AH71" t="str">
        <f t="shared" si="11"/>
        <v>22CC054</v>
      </c>
    </row>
    <row r="72" spans="1:34" x14ac:dyDescent="0.25">
      <c r="A72" s="1">
        <f>CO_ATT_INPUTS!A73</f>
        <v>55</v>
      </c>
      <c r="B72" s="10" t="str">
        <f>CO_ATT_INPUTS!B73</f>
        <v>22CC055</v>
      </c>
      <c r="C72" s="10" t="str">
        <f>CO_ATT_INPUTS!C73</f>
        <v>722822115055</v>
      </c>
      <c r="D72" s="10" t="str">
        <f>CO_ATT_INPUTS!D73</f>
        <v>SUGIRTHA VARDHINI  M</v>
      </c>
      <c r="E72" s="7">
        <f>CO_ATT_INPUTS!E73</f>
        <v>29</v>
      </c>
      <c r="F72" s="7">
        <f>CO_ATT_INPUTS!F73</f>
        <v>38</v>
      </c>
      <c r="G72" s="7">
        <f>CO_ATT_INPUTS!G73</f>
        <v>33</v>
      </c>
      <c r="H72" s="7">
        <f>CO_ATT_INPUTS!H73</f>
        <v>35</v>
      </c>
      <c r="I72" s="7">
        <f>CO_ATT_INPUTS!I73</f>
        <v>36</v>
      </c>
      <c r="J72" s="7">
        <f>CO_ATT_INPUTS!J73</f>
        <v>9</v>
      </c>
      <c r="K72" s="7">
        <f>CO_ATT_INPUTS!K73</f>
        <v>9</v>
      </c>
      <c r="L72" s="7">
        <f>CO_ATT_INPUTS!L73</f>
        <v>9</v>
      </c>
      <c r="M72" s="7">
        <f>CO_ATT_INPUTS!M73</f>
        <v>9</v>
      </c>
      <c r="N72" s="7">
        <f>CO_ATT_INPUTS!N73</f>
        <v>9</v>
      </c>
      <c r="O72" s="7">
        <f>CO_ATT_INPUTS!O73</f>
        <v>94</v>
      </c>
      <c r="P72" s="1">
        <f>CO_ATT_INPUTS!P73</f>
        <v>100</v>
      </c>
      <c r="Q72" s="7" t="e">
        <f>#REF!</f>
        <v>#REF!</v>
      </c>
      <c r="R72" s="7" t="e">
        <f>#REF!</f>
        <v>#REF!</v>
      </c>
      <c r="S72" s="7" t="e">
        <f>#REF!</f>
        <v>#REF!</v>
      </c>
      <c r="T72" s="7" t="e">
        <f>#REF!</f>
        <v>#REF!</v>
      </c>
      <c r="U72" s="7" t="e">
        <f>#REF!</f>
        <v>#REF!</v>
      </c>
      <c r="V72" s="7" t="e">
        <f>#REF!</f>
        <v>#REF!</v>
      </c>
      <c r="W72" s="7" t="e">
        <f t="shared" si="0"/>
        <v>#REF!</v>
      </c>
      <c r="X72" s="7" t="e">
        <f t="shared" si="1"/>
        <v>#REF!</v>
      </c>
      <c r="Y72" s="7" t="e">
        <f t="shared" si="2"/>
        <v>#REF!</v>
      </c>
      <c r="Z72" s="7" t="e">
        <f t="shared" si="3"/>
        <v>#REF!</v>
      </c>
      <c r="AA72" s="7" t="e">
        <f t="shared" si="4"/>
        <v>#REF!</v>
      </c>
      <c r="AB72" s="7" t="e">
        <f t="shared" si="5"/>
        <v>#REF!</v>
      </c>
      <c r="AC72" s="7" t="e">
        <f t="shared" si="6"/>
        <v>#REF!</v>
      </c>
      <c r="AD72" s="7" t="e">
        <f t="shared" si="7"/>
        <v>#REF!</v>
      </c>
      <c r="AE72" s="7" t="e">
        <f t="shared" si="8"/>
        <v>#REF!</v>
      </c>
      <c r="AF72" s="7" t="e">
        <f t="shared" si="9"/>
        <v>#REF!</v>
      </c>
      <c r="AG72" s="8" t="e">
        <f t="shared" si="10"/>
        <v>#REF!</v>
      </c>
      <c r="AH72" t="str">
        <f t="shared" si="11"/>
        <v>22CC055</v>
      </c>
    </row>
    <row r="73" spans="1:34" x14ac:dyDescent="0.25">
      <c r="A73" s="1">
        <f>CO_ATT_INPUTS!A74</f>
        <v>56</v>
      </c>
      <c r="B73" s="10" t="str">
        <f>CO_ATT_INPUTS!B74</f>
        <v>22CC056</v>
      </c>
      <c r="C73" s="10" t="str">
        <f>CO_ATT_INPUTS!C74</f>
        <v>722822115056</v>
      </c>
      <c r="D73" s="10" t="str">
        <f>CO_ATT_INPUTS!D74</f>
        <v>SURRYA BHAARATHI S A</v>
      </c>
      <c r="E73" s="7">
        <f>CO_ATT_INPUTS!E74</f>
        <v>14</v>
      </c>
      <c r="F73" s="7">
        <f>CO_ATT_INPUTS!F74</f>
        <v>22</v>
      </c>
      <c r="G73" s="7">
        <f>CO_ATT_INPUTS!G74</f>
        <v>26</v>
      </c>
      <c r="H73" s="7">
        <f>CO_ATT_INPUTS!H74</f>
        <v>34</v>
      </c>
      <c r="I73" s="7">
        <f>CO_ATT_INPUTS!I74</f>
        <v>19</v>
      </c>
      <c r="J73" s="7">
        <f>CO_ATT_INPUTS!J74</f>
        <v>9</v>
      </c>
      <c r="K73" s="7">
        <f>CO_ATT_INPUTS!K74</f>
        <v>9</v>
      </c>
      <c r="L73" s="7">
        <f>CO_ATT_INPUTS!L74</f>
        <v>9</v>
      </c>
      <c r="M73" s="7">
        <f>CO_ATT_INPUTS!M74</f>
        <v>9</v>
      </c>
      <c r="N73" s="7">
        <f>CO_ATT_INPUTS!N74</f>
        <v>9</v>
      </c>
      <c r="O73" s="7">
        <f>CO_ATT_INPUTS!O74</f>
        <v>86</v>
      </c>
      <c r="P73" s="1">
        <f>CO_ATT_INPUTS!P74</f>
        <v>100</v>
      </c>
      <c r="Q73" s="7" t="e">
        <f>#REF!</f>
        <v>#REF!</v>
      </c>
      <c r="R73" s="7" t="e">
        <f>#REF!</f>
        <v>#REF!</v>
      </c>
      <c r="S73" s="7" t="e">
        <f>#REF!</f>
        <v>#REF!</v>
      </c>
      <c r="T73" s="7" t="e">
        <f>#REF!</f>
        <v>#REF!</v>
      </c>
      <c r="U73" s="7" t="e">
        <f>#REF!</f>
        <v>#REF!</v>
      </c>
      <c r="V73" s="7" t="e">
        <f>#REF!</f>
        <v>#REF!</v>
      </c>
      <c r="W73" s="7" t="e">
        <f t="shared" si="0"/>
        <v>#REF!</v>
      </c>
      <c r="X73" s="7" t="e">
        <f t="shared" si="1"/>
        <v>#REF!</v>
      </c>
      <c r="Y73" s="7" t="e">
        <f t="shared" si="2"/>
        <v>#REF!</v>
      </c>
      <c r="Z73" s="7" t="e">
        <f t="shared" si="3"/>
        <v>#REF!</v>
      </c>
      <c r="AA73" s="7" t="e">
        <f t="shared" si="4"/>
        <v>#REF!</v>
      </c>
      <c r="AB73" s="7" t="e">
        <f t="shared" si="5"/>
        <v>#REF!</v>
      </c>
      <c r="AC73" s="7" t="e">
        <f t="shared" si="6"/>
        <v>#REF!</v>
      </c>
      <c r="AD73" s="7" t="e">
        <f t="shared" si="7"/>
        <v>#REF!</v>
      </c>
      <c r="AE73" s="7" t="e">
        <f t="shared" si="8"/>
        <v>#REF!</v>
      </c>
      <c r="AF73" s="7" t="e">
        <f t="shared" si="9"/>
        <v>#REF!</v>
      </c>
      <c r="AG73" s="8" t="e">
        <f t="shared" si="10"/>
        <v>#REF!</v>
      </c>
      <c r="AH73" t="str">
        <f t="shared" si="11"/>
        <v>22CC056</v>
      </c>
    </row>
    <row r="74" spans="1:34" x14ac:dyDescent="0.25">
      <c r="A74" s="1">
        <f>CO_ATT_INPUTS!A75</f>
        <v>57</v>
      </c>
      <c r="B74" s="10" t="str">
        <f>CO_ATT_INPUTS!B75</f>
        <v>22CC057</v>
      </c>
      <c r="C74" s="10" t="str">
        <f>CO_ATT_INPUTS!C75</f>
        <v>722822115057</v>
      </c>
      <c r="D74" s="10" t="str">
        <f>CO_ATT_INPUTS!D75</f>
        <v>SWETHA S</v>
      </c>
      <c r="E74" s="7">
        <f>CO_ATT_INPUTS!E75</f>
        <v>31</v>
      </c>
      <c r="F74" s="7">
        <f>CO_ATT_INPUTS!F75</f>
        <v>30</v>
      </c>
      <c r="G74" s="7">
        <f>CO_ATT_INPUTS!G75</f>
        <v>32</v>
      </c>
      <c r="H74" s="7">
        <f>CO_ATT_INPUTS!H75</f>
        <v>29</v>
      </c>
      <c r="I74" s="7">
        <f>CO_ATT_INPUTS!I75</f>
        <v>29</v>
      </c>
      <c r="J74" s="7">
        <f>CO_ATT_INPUTS!J75</f>
        <v>9</v>
      </c>
      <c r="K74" s="7">
        <f>CO_ATT_INPUTS!K75</f>
        <v>9</v>
      </c>
      <c r="L74" s="7">
        <f>CO_ATT_INPUTS!L75</f>
        <v>9</v>
      </c>
      <c r="M74" s="7">
        <f>CO_ATT_INPUTS!M75</f>
        <v>9</v>
      </c>
      <c r="N74" s="7">
        <f>CO_ATT_INPUTS!N75</f>
        <v>9</v>
      </c>
      <c r="O74" s="7">
        <f>CO_ATT_INPUTS!O75</f>
        <v>96</v>
      </c>
      <c r="P74" s="1">
        <f>CO_ATT_INPUTS!P75</f>
        <v>95</v>
      </c>
      <c r="Q74" s="7" t="e">
        <f>#REF!</f>
        <v>#REF!</v>
      </c>
      <c r="R74" s="7" t="e">
        <f>#REF!</f>
        <v>#REF!</v>
      </c>
      <c r="S74" s="7" t="e">
        <f>#REF!</f>
        <v>#REF!</v>
      </c>
      <c r="T74" s="7" t="e">
        <f>#REF!</f>
        <v>#REF!</v>
      </c>
      <c r="U74" s="7" t="e">
        <f>#REF!</f>
        <v>#REF!</v>
      </c>
      <c r="V74" s="7" t="e">
        <f>#REF!</f>
        <v>#REF!</v>
      </c>
      <c r="W74" s="7" t="e">
        <f t="shared" si="0"/>
        <v>#REF!</v>
      </c>
      <c r="X74" s="7" t="e">
        <f t="shared" si="1"/>
        <v>#REF!</v>
      </c>
      <c r="Y74" s="7" t="e">
        <f t="shared" si="2"/>
        <v>#REF!</v>
      </c>
      <c r="Z74" s="7" t="e">
        <f t="shared" si="3"/>
        <v>#REF!</v>
      </c>
      <c r="AA74" s="7" t="e">
        <f t="shared" si="4"/>
        <v>#REF!</v>
      </c>
      <c r="AB74" s="7" t="e">
        <f t="shared" si="5"/>
        <v>#REF!</v>
      </c>
      <c r="AC74" s="7" t="e">
        <f t="shared" si="6"/>
        <v>#REF!</v>
      </c>
      <c r="AD74" s="7" t="e">
        <f t="shared" si="7"/>
        <v>#REF!</v>
      </c>
      <c r="AE74" s="7" t="e">
        <f t="shared" si="8"/>
        <v>#REF!</v>
      </c>
      <c r="AF74" s="7" t="e">
        <f t="shared" si="9"/>
        <v>#REF!</v>
      </c>
      <c r="AG74" s="8" t="e">
        <f t="shared" si="10"/>
        <v>#REF!</v>
      </c>
      <c r="AH74" t="str">
        <f t="shared" si="11"/>
        <v>22CC057</v>
      </c>
    </row>
    <row r="75" spans="1:34" x14ac:dyDescent="0.25">
      <c r="A75" s="1">
        <f>CO_ATT_INPUTS!A76</f>
        <v>58</v>
      </c>
      <c r="B75" s="10" t="str">
        <f>CO_ATT_INPUTS!B76</f>
        <v>22CC058</v>
      </c>
      <c r="C75" s="10" t="str">
        <f>CO_ATT_INPUTS!C76</f>
        <v>722822115058</v>
      </c>
      <c r="D75" s="10" t="str">
        <f>CO_ATT_INPUTS!D76</f>
        <v>TAMILKUMARAN N</v>
      </c>
      <c r="E75" s="7">
        <f>CO_ATT_INPUTS!E76</f>
        <v>24</v>
      </c>
      <c r="F75" s="7">
        <f>CO_ATT_INPUTS!F76</f>
        <v>29</v>
      </c>
      <c r="G75" s="7">
        <f>CO_ATT_INPUTS!G76</f>
        <v>27</v>
      </c>
      <c r="H75" s="7">
        <f>CO_ATT_INPUTS!H76</f>
        <v>32</v>
      </c>
      <c r="I75" s="7">
        <f>CO_ATT_INPUTS!I76</f>
        <v>30</v>
      </c>
      <c r="J75" s="7">
        <f>CO_ATT_INPUTS!J76</f>
        <v>9</v>
      </c>
      <c r="K75" s="7">
        <f>CO_ATT_INPUTS!K76</f>
        <v>9</v>
      </c>
      <c r="L75" s="7">
        <f>CO_ATT_INPUTS!L76</f>
        <v>9</v>
      </c>
      <c r="M75" s="7">
        <f>CO_ATT_INPUTS!M76</f>
        <v>9</v>
      </c>
      <c r="N75" s="7">
        <f>CO_ATT_INPUTS!N76</f>
        <v>9</v>
      </c>
      <c r="O75" s="7">
        <f>CO_ATT_INPUTS!O76</f>
        <v>90</v>
      </c>
      <c r="P75" s="1">
        <f>CO_ATT_INPUTS!P76</f>
        <v>100</v>
      </c>
      <c r="Q75" s="7" t="e">
        <f>#REF!</f>
        <v>#REF!</v>
      </c>
      <c r="R75" s="7" t="e">
        <f>#REF!</f>
        <v>#REF!</v>
      </c>
      <c r="S75" s="7" t="e">
        <f>#REF!</f>
        <v>#REF!</v>
      </c>
      <c r="T75" s="7" t="e">
        <f>#REF!</f>
        <v>#REF!</v>
      </c>
      <c r="U75" s="7" t="e">
        <f>#REF!</f>
        <v>#REF!</v>
      </c>
      <c r="V75" s="7" t="e">
        <f>#REF!</f>
        <v>#REF!</v>
      </c>
      <c r="W75" s="7" t="e">
        <f t="shared" si="0"/>
        <v>#REF!</v>
      </c>
      <c r="X75" s="7" t="e">
        <f t="shared" si="1"/>
        <v>#REF!</v>
      </c>
      <c r="Y75" s="7" t="e">
        <f t="shared" si="2"/>
        <v>#REF!</v>
      </c>
      <c r="Z75" s="7" t="e">
        <f t="shared" si="3"/>
        <v>#REF!</v>
      </c>
      <c r="AA75" s="7" t="e">
        <f t="shared" si="4"/>
        <v>#REF!</v>
      </c>
      <c r="AB75" s="7" t="e">
        <f t="shared" si="5"/>
        <v>#REF!</v>
      </c>
      <c r="AC75" s="7" t="e">
        <f t="shared" si="6"/>
        <v>#REF!</v>
      </c>
      <c r="AD75" s="7" t="e">
        <f t="shared" si="7"/>
        <v>#REF!</v>
      </c>
      <c r="AE75" s="7" t="e">
        <f t="shared" si="8"/>
        <v>#REF!</v>
      </c>
      <c r="AF75" s="7" t="e">
        <f t="shared" si="9"/>
        <v>#REF!</v>
      </c>
      <c r="AG75" s="8" t="e">
        <f t="shared" si="10"/>
        <v>#REF!</v>
      </c>
      <c r="AH75" t="str">
        <f t="shared" si="11"/>
        <v>22CC058</v>
      </c>
    </row>
    <row r="76" spans="1:34" x14ac:dyDescent="0.25">
      <c r="A76" s="1">
        <f>CO_ATT_INPUTS!A77</f>
        <v>59</v>
      </c>
      <c r="B76" s="10" t="str">
        <f>CO_ATT_INPUTS!B77</f>
        <v>22CC059</v>
      </c>
      <c r="C76" s="10" t="str">
        <f>CO_ATT_INPUTS!C77</f>
        <v>722822115059</v>
      </c>
      <c r="D76" s="10" t="str">
        <f>CO_ATT_INPUTS!D77</f>
        <v>VEDHA KAVYA SRI P</v>
      </c>
      <c r="E76" s="7">
        <f>CO_ATT_INPUTS!E77</f>
        <v>10</v>
      </c>
      <c r="F76" s="7">
        <f>CO_ATT_INPUTS!F77</f>
        <v>8</v>
      </c>
      <c r="G76" s="7">
        <f>CO_ATT_INPUTS!G77</f>
        <v>12</v>
      </c>
      <c r="H76" s="7">
        <f>CO_ATT_INPUTS!H77</f>
        <v>30</v>
      </c>
      <c r="I76" s="7">
        <f>CO_ATT_INPUTS!I77</f>
        <v>30</v>
      </c>
      <c r="J76" s="7">
        <f>CO_ATT_INPUTS!J77</f>
        <v>9</v>
      </c>
      <c r="K76" s="7">
        <f>CO_ATT_INPUTS!K77</f>
        <v>9</v>
      </c>
      <c r="L76" s="7">
        <f>CO_ATT_INPUTS!L77</f>
        <v>9</v>
      </c>
      <c r="M76" s="7">
        <f>CO_ATT_INPUTS!M77</f>
        <v>9</v>
      </c>
      <c r="N76" s="7">
        <f>CO_ATT_INPUTS!N77</f>
        <v>9</v>
      </c>
      <c r="O76" s="7">
        <f>CO_ATT_INPUTS!O77</f>
        <v>86</v>
      </c>
      <c r="P76" s="1">
        <f>CO_ATT_INPUTS!P77</f>
        <v>97</v>
      </c>
      <c r="Q76" s="7" t="e">
        <f>#REF!</f>
        <v>#REF!</v>
      </c>
      <c r="R76" s="7" t="e">
        <f>#REF!</f>
        <v>#REF!</v>
      </c>
      <c r="S76" s="7" t="e">
        <f>#REF!</f>
        <v>#REF!</v>
      </c>
      <c r="T76" s="7" t="e">
        <f>#REF!</f>
        <v>#REF!</v>
      </c>
      <c r="U76" s="7" t="e">
        <f>#REF!</f>
        <v>#REF!</v>
      </c>
      <c r="V76" s="7" t="e">
        <f>#REF!</f>
        <v>#REF!</v>
      </c>
      <c r="W76" s="7" t="e">
        <f t="shared" si="0"/>
        <v>#REF!</v>
      </c>
      <c r="X76" s="7" t="e">
        <f t="shared" si="1"/>
        <v>#REF!</v>
      </c>
      <c r="Y76" s="7" t="e">
        <f t="shared" si="2"/>
        <v>#REF!</v>
      </c>
      <c r="Z76" s="7" t="e">
        <f t="shared" si="3"/>
        <v>#REF!</v>
      </c>
      <c r="AA76" s="7" t="e">
        <f t="shared" si="4"/>
        <v>#REF!</v>
      </c>
      <c r="AB76" s="7" t="e">
        <f t="shared" si="5"/>
        <v>#REF!</v>
      </c>
      <c r="AC76" s="7" t="e">
        <f t="shared" si="6"/>
        <v>#REF!</v>
      </c>
      <c r="AD76" s="7" t="e">
        <f t="shared" si="7"/>
        <v>#REF!</v>
      </c>
      <c r="AE76" s="7" t="e">
        <f t="shared" si="8"/>
        <v>#REF!</v>
      </c>
      <c r="AF76" s="7" t="e">
        <f t="shared" si="9"/>
        <v>#REF!</v>
      </c>
      <c r="AG76" s="8" t="e">
        <f t="shared" si="10"/>
        <v>#REF!</v>
      </c>
      <c r="AH76" t="str">
        <f t="shared" si="11"/>
        <v>22CC059</v>
      </c>
    </row>
    <row r="77" spans="1:34" x14ac:dyDescent="0.25">
      <c r="A77" s="1">
        <f>CO_ATT_INPUTS!A78</f>
        <v>60</v>
      </c>
      <c r="B77" s="10" t="str">
        <f>CO_ATT_INPUTS!B78</f>
        <v>22CC060</v>
      </c>
      <c r="C77" s="10" t="str">
        <f>CO_ATT_INPUTS!C78</f>
        <v>722822115060</v>
      </c>
      <c r="D77" s="10" t="str">
        <f>CO_ATT_INPUTS!D78</f>
        <v>VISHAL KUMAR S</v>
      </c>
      <c r="E77" s="7">
        <f>CO_ATT_INPUTS!E78</f>
        <v>32</v>
      </c>
      <c r="F77" s="7">
        <f>CO_ATT_INPUTS!F78</f>
        <v>12</v>
      </c>
      <c r="G77" s="7">
        <f>CO_ATT_INPUTS!G78</f>
        <v>23</v>
      </c>
      <c r="H77" s="7">
        <f>CO_ATT_INPUTS!H78</f>
        <v>14</v>
      </c>
      <c r="I77" s="7">
        <f>CO_ATT_INPUTS!I78</f>
        <v>5</v>
      </c>
      <c r="J77" s="7">
        <f>CO_ATT_INPUTS!J78</f>
        <v>9</v>
      </c>
      <c r="K77" s="7">
        <f>CO_ATT_INPUTS!K78</f>
        <v>9</v>
      </c>
      <c r="L77" s="7">
        <f>CO_ATT_INPUTS!L78</f>
        <v>9</v>
      </c>
      <c r="M77" s="7">
        <f>CO_ATT_INPUTS!M78</f>
        <v>9</v>
      </c>
      <c r="N77" s="7">
        <f>CO_ATT_INPUTS!N78</f>
        <v>9</v>
      </c>
      <c r="O77" s="7">
        <f>CO_ATT_INPUTS!O78</f>
        <v>92</v>
      </c>
      <c r="P77" s="1">
        <f>CO_ATT_INPUTS!P78</f>
        <v>97</v>
      </c>
      <c r="Q77" s="7" t="e">
        <f>#REF!</f>
        <v>#REF!</v>
      </c>
      <c r="R77" s="7" t="e">
        <f>#REF!</f>
        <v>#REF!</v>
      </c>
      <c r="S77" s="7" t="e">
        <f>#REF!</f>
        <v>#REF!</v>
      </c>
      <c r="T77" s="7" t="e">
        <f>#REF!</f>
        <v>#REF!</v>
      </c>
      <c r="U77" s="7" t="e">
        <f>#REF!</f>
        <v>#REF!</v>
      </c>
      <c r="V77" s="7" t="e">
        <f>#REF!</f>
        <v>#REF!</v>
      </c>
      <c r="W77" s="7" t="e">
        <f t="shared" si="0"/>
        <v>#REF!</v>
      </c>
      <c r="X77" s="7" t="e">
        <f t="shared" si="1"/>
        <v>#REF!</v>
      </c>
      <c r="Y77" s="7" t="e">
        <f t="shared" si="2"/>
        <v>#REF!</v>
      </c>
      <c r="Z77" s="7" t="e">
        <f t="shared" si="3"/>
        <v>#REF!</v>
      </c>
      <c r="AA77" s="7" t="e">
        <f t="shared" si="4"/>
        <v>#REF!</v>
      </c>
      <c r="AB77" s="7" t="e">
        <f t="shared" si="5"/>
        <v>#REF!</v>
      </c>
      <c r="AC77" s="7" t="e">
        <f t="shared" si="6"/>
        <v>#REF!</v>
      </c>
      <c r="AD77" s="7" t="e">
        <f t="shared" si="7"/>
        <v>#REF!</v>
      </c>
      <c r="AE77" s="7" t="e">
        <f t="shared" si="8"/>
        <v>#REF!</v>
      </c>
      <c r="AF77" s="7" t="e">
        <f t="shared" si="9"/>
        <v>#REF!</v>
      </c>
      <c r="AG77" s="8" t="e">
        <f t="shared" si="10"/>
        <v>#REF!</v>
      </c>
      <c r="AH77" t="str">
        <f t="shared" si="11"/>
        <v>22CC060</v>
      </c>
    </row>
    <row r="78" spans="1:34" x14ac:dyDescent="0.25">
      <c r="A78" s="1">
        <f>CO_ATT_INPUTS!A79</f>
        <v>61</v>
      </c>
      <c r="B78" s="10" t="str">
        <f>CO_ATT_INPUTS!B79</f>
        <v>22CC061</v>
      </c>
      <c r="C78" s="10" t="str">
        <f>CO_ATT_INPUTS!C79</f>
        <v>722822115061</v>
      </c>
      <c r="D78" s="10" t="str">
        <f>CO_ATT_INPUTS!D79</f>
        <v>YALINI S</v>
      </c>
      <c r="E78" s="7">
        <f>CO_ATT_INPUTS!E79</f>
        <v>32</v>
      </c>
      <c r="F78" s="7">
        <f>CO_ATT_INPUTS!F79</f>
        <v>32</v>
      </c>
      <c r="G78" s="7">
        <f>CO_ATT_INPUTS!G79</f>
        <v>25</v>
      </c>
      <c r="H78" s="7">
        <f>CO_ATT_INPUTS!H79</f>
        <v>29</v>
      </c>
      <c r="I78" s="7">
        <f>CO_ATT_INPUTS!I79</f>
        <v>26</v>
      </c>
      <c r="J78" s="7">
        <f>CO_ATT_INPUTS!J79</f>
        <v>9</v>
      </c>
      <c r="K78" s="7">
        <f>CO_ATT_INPUTS!K79</f>
        <v>9</v>
      </c>
      <c r="L78" s="7">
        <f>CO_ATT_INPUTS!L79</f>
        <v>9</v>
      </c>
      <c r="M78" s="7">
        <f>CO_ATT_INPUTS!M79</f>
        <v>9</v>
      </c>
      <c r="N78" s="7">
        <f>CO_ATT_INPUTS!N79</f>
        <v>9</v>
      </c>
      <c r="O78" s="7">
        <f>CO_ATT_INPUTS!O79</f>
        <v>92</v>
      </c>
      <c r="P78" s="1">
        <f>CO_ATT_INPUTS!P79</f>
        <v>97</v>
      </c>
      <c r="Q78" s="7" t="e">
        <f>#REF!</f>
        <v>#REF!</v>
      </c>
      <c r="R78" s="7" t="e">
        <f>#REF!</f>
        <v>#REF!</v>
      </c>
      <c r="S78" s="7" t="e">
        <f>#REF!</f>
        <v>#REF!</v>
      </c>
      <c r="T78" s="7" t="e">
        <f>#REF!</f>
        <v>#REF!</v>
      </c>
      <c r="U78" s="7" t="e">
        <f>#REF!</f>
        <v>#REF!</v>
      </c>
      <c r="V78" s="7" t="e">
        <f>#REF!</f>
        <v>#REF!</v>
      </c>
      <c r="W78" s="7" t="e">
        <f t="shared" si="0"/>
        <v>#REF!</v>
      </c>
      <c r="X78" s="7" t="e">
        <f t="shared" si="1"/>
        <v>#REF!</v>
      </c>
      <c r="Y78" s="7" t="e">
        <f t="shared" si="2"/>
        <v>#REF!</v>
      </c>
      <c r="Z78" s="7" t="e">
        <f t="shared" si="3"/>
        <v>#REF!</v>
      </c>
      <c r="AA78" s="7" t="e">
        <f t="shared" si="4"/>
        <v>#REF!</v>
      </c>
      <c r="AB78" s="7" t="e">
        <f t="shared" si="5"/>
        <v>#REF!</v>
      </c>
      <c r="AC78" s="7" t="e">
        <f t="shared" si="6"/>
        <v>#REF!</v>
      </c>
      <c r="AD78" s="7" t="e">
        <f t="shared" si="7"/>
        <v>#REF!</v>
      </c>
      <c r="AE78" s="7" t="e">
        <f t="shared" si="8"/>
        <v>#REF!</v>
      </c>
      <c r="AF78" s="7" t="e">
        <f t="shared" si="9"/>
        <v>#REF!</v>
      </c>
      <c r="AG78" s="8" t="e">
        <f t="shared" si="10"/>
        <v>#REF!</v>
      </c>
      <c r="AH78" t="str">
        <f t="shared" si="11"/>
        <v>22CC061</v>
      </c>
    </row>
    <row r="79" spans="1:34" x14ac:dyDescent="0.25">
      <c r="A79" s="1">
        <f>CO_ATT_INPUTS!A80</f>
        <v>62</v>
      </c>
      <c r="B79" s="10" t="str">
        <f>CO_ATT_INPUTS!B80</f>
        <v>22CC062</v>
      </c>
      <c r="C79" s="10" t="str">
        <f>CO_ATT_INPUTS!C80</f>
        <v>722822115062</v>
      </c>
      <c r="D79" s="10" t="str">
        <f>CO_ATT_INPUTS!D80</f>
        <v>YASHWANTH B</v>
      </c>
      <c r="E79" s="7">
        <f>CO_ATT_INPUTS!E80</f>
        <v>23</v>
      </c>
      <c r="F79" s="7">
        <f>CO_ATT_INPUTS!F80</f>
        <v>20</v>
      </c>
      <c r="G79" s="7">
        <f>CO_ATT_INPUTS!G80</f>
        <v>20</v>
      </c>
      <c r="H79" s="7">
        <f>CO_ATT_INPUTS!H80</f>
        <v>22</v>
      </c>
      <c r="I79" s="7">
        <f>CO_ATT_INPUTS!I80</f>
        <v>27</v>
      </c>
      <c r="J79" s="7">
        <f>CO_ATT_INPUTS!J80</f>
        <v>9</v>
      </c>
      <c r="K79" s="7">
        <f>CO_ATT_INPUTS!K80</f>
        <v>9</v>
      </c>
      <c r="L79" s="7">
        <f>CO_ATT_INPUTS!L80</f>
        <v>9</v>
      </c>
      <c r="M79" s="7">
        <f>CO_ATT_INPUTS!M80</f>
        <v>9</v>
      </c>
      <c r="N79" s="7">
        <f>CO_ATT_INPUTS!N80</f>
        <v>9</v>
      </c>
      <c r="O79" s="7">
        <f>CO_ATT_INPUTS!O80</f>
        <v>88</v>
      </c>
      <c r="P79" s="1">
        <f>CO_ATT_INPUTS!P80</f>
        <v>97</v>
      </c>
      <c r="Q79" s="7" t="e">
        <f>#REF!</f>
        <v>#REF!</v>
      </c>
      <c r="R79" s="7" t="e">
        <f>#REF!</f>
        <v>#REF!</v>
      </c>
      <c r="S79" s="7" t="e">
        <f>#REF!</f>
        <v>#REF!</v>
      </c>
      <c r="T79" s="7" t="e">
        <f>#REF!</f>
        <v>#REF!</v>
      </c>
      <c r="U79" s="7" t="e">
        <f>#REF!</f>
        <v>#REF!</v>
      </c>
      <c r="V79" s="7" t="e">
        <f>#REF!</f>
        <v>#REF!</v>
      </c>
      <c r="W79" s="7" t="e">
        <f t="shared" si="0"/>
        <v>#REF!</v>
      </c>
      <c r="X79" s="7" t="e">
        <f t="shared" si="1"/>
        <v>#REF!</v>
      </c>
      <c r="Y79" s="7" t="e">
        <f t="shared" si="2"/>
        <v>#REF!</v>
      </c>
      <c r="Z79" s="7" t="e">
        <f t="shared" si="3"/>
        <v>#REF!</v>
      </c>
      <c r="AA79" s="7" t="e">
        <f t="shared" si="4"/>
        <v>#REF!</v>
      </c>
      <c r="AB79" s="7" t="e">
        <f t="shared" si="5"/>
        <v>#REF!</v>
      </c>
      <c r="AC79" s="7" t="e">
        <f t="shared" si="6"/>
        <v>#REF!</v>
      </c>
      <c r="AD79" s="7" t="e">
        <f t="shared" si="7"/>
        <v>#REF!</v>
      </c>
      <c r="AE79" s="7" t="e">
        <f t="shared" si="8"/>
        <v>#REF!</v>
      </c>
      <c r="AF79" s="7" t="e">
        <f t="shared" si="9"/>
        <v>#REF!</v>
      </c>
      <c r="AG79" s="8" t="e">
        <f t="shared" si="10"/>
        <v>#REF!</v>
      </c>
      <c r="AH79" t="str">
        <f t="shared" si="11"/>
        <v>22CC062</v>
      </c>
    </row>
    <row r="80" spans="1:34" x14ac:dyDescent="0.25">
      <c r="A80" s="1">
        <f>CO_ATT_INPUTS!A81</f>
        <v>63</v>
      </c>
      <c r="B80" s="10" t="str">
        <f>CO_ATT_INPUTS!B81</f>
        <v>22CC063</v>
      </c>
      <c r="C80" s="10" t="str">
        <f>CO_ATT_INPUTS!C81</f>
        <v>722822115063</v>
      </c>
      <c r="D80" s="10" t="str">
        <f>CO_ATT_INPUTS!D81</f>
        <v>YUKESH R</v>
      </c>
      <c r="E80" s="7">
        <f>CO_ATT_INPUTS!E81</f>
        <v>11</v>
      </c>
      <c r="F80" s="7">
        <f>CO_ATT_INPUTS!F81</f>
        <v>9</v>
      </c>
      <c r="G80" s="7">
        <f>CO_ATT_INPUTS!G81</f>
        <v>16</v>
      </c>
      <c r="H80" s="7">
        <f>CO_ATT_INPUTS!H81</f>
        <v>27</v>
      </c>
      <c r="I80" s="7">
        <f>CO_ATT_INPUTS!I81</f>
        <v>32</v>
      </c>
      <c r="J80" s="7">
        <f>CO_ATT_INPUTS!J81</f>
        <v>9</v>
      </c>
      <c r="K80" s="7">
        <f>CO_ATT_INPUTS!K81</f>
        <v>9</v>
      </c>
      <c r="L80" s="7">
        <f>CO_ATT_INPUTS!L81</f>
        <v>9</v>
      </c>
      <c r="M80" s="7">
        <f>CO_ATT_INPUTS!M81</f>
        <v>9</v>
      </c>
      <c r="N80" s="7">
        <f>CO_ATT_INPUTS!N81</f>
        <v>9</v>
      </c>
      <c r="O80" s="7">
        <f>CO_ATT_INPUTS!O81</f>
        <v>90</v>
      </c>
      <c r="P80" s="1">
        <f>CO_ATT_INPUTS!P81</f>
        <v>97</v>
      </c>
      <c r="Q80" s="7" t="e">
        <f>#REF!</f>
        <v>#REF!</v>
      </c>
      <c r="R80" s="7" t="e">
        <f>#REF!</f>
        <v>#REF!</v>
      </c>
      <c r="S80" s="7" t="e">
        <f>#REF!</f>
        <v>#REF!</v>
      </c>
      <c r="T80" s="7" t="e">
        <f>#REF!</f>
        <v>#REF!</v>
      </c>
      <c r="U80" s="7" t="e">
        <f>#REF!</f>
        <v>#REF!</v>
      </c>
      <c r="V80" s="7" t="e">
        <f>#REF!</f>
        <v>#REF!</v>
      </c>
      <c r="W80" s="7" t="e">
        <f t="shared" si="0"/>
        <v>#REF!</v>
      </c>
      <c r="X80" s="7" t="e">
        <f t="shared" si="1"/>
        <v>#REF!</v>
      </c>
      <c r="Y80" s="7" t="e">
        <f t="shared" si="2"/>
        <v>#REF!</v>
      </c>
      <c r="Z80" s="7" t="e">
        <f t="shared" si="3"/>
        <v>#REF!</v>
      </c>
      <c r="AA80" s="7" t="e">
        <f t="shared" si="4"/>
        <v>#REF!</v>
      </c>
      <c r="AB80" s="7" t="e">
        <f t="shared" si="5"/>
        <v>#REF!</v>
      </c>
      <c r="AC80" s="7" t="e">
        <f t="shared" si="6"/>
        <v>#REF!</v>
      </c>
      <c r="AD80" s="7" t="e">
        <f t="shared" si="7"/>
        <v>#REF!</v>
      </c>
      <c r="AE80" s="7" t="e">
        <f t="shared" si="8"/>
        <v>#REF!</v>
      </c>
      <c r="AF80" s="7" t="e">
        <f t="shared" si="9"/>
        <v>#REF!</v>
      </c>
      <c r="AG80" s="8" t="e">
        <f t="shared" si="10"/>
        <v>#REF!</v>
      </c>
      <c r="AH80" t="str">
        <f t="shared" si="11"/>
        <v>22CC063</v>
      </c>
    </row>
    <row r="81" spans="1:34" x14ac:dyDescent="0.25">
      <c r="A81" s="1">
        <f>CO_ATT_INPUTS!A82</f>
        <v>64</v>
      </c>
      <c r="B81" s="10" t="str">
        <f>CO_ATT_INPUTS!B82</f>
        <v>22CC301</v>
      </c>
      <c r="C81" s="10" t="str">
        <f>CO_ATT_INPUTS!C82</f>
        <v>722822115301</v>
      </c>
      <c r="D81" s="10" t="str">
        <f>CO_ATT_INPUTS!D82</f>
        <v>AJITH DAS S</v>
      </c>
      <c r="E81" s="7">
        <f>CO_ATT_INPUTS!E82</f>
        <v>9</v>
      </c>
      <c r="F81" s="7">
        <f>CO_ATT_INPUTS!F82</f>
        <v>9</v>
      </c>
      <c r="G81" s="7">
        <f>CO_ATT_INPUTS!G82</f>
        <v>15</v>
      </c>
      <c r="H81" s="7">
        <f>CO_ATT_INPUTS!H82</f>
        <v>32</v>
      </c>
      <c r="I81" s="7">
        <f>CO_ATT_INPUTS!I82</f>
        <v>30</v>
      </c>
      <c r="J81" s="7">
        <f>CO_ATT_INPUTS!J82</f>
        <v>8</v>
      </c>
      <c r="K81" s="7">
        <f>CO_ATT_INPUTS!K82</f>
        <v>8</v>
      </c>
      <c r="L81" s="7">
        <f>CO_ATT_INPUTS!L82</f>
        <v>8</v>
      </c>
      <c r="M81" s="7">
        <f>CO_ATT_INPUTS!M82</f>
        <v>8</v>
      </c>
      <c r="N81" s="7">
        <f>CO_ATT_INPUTS!N82</f>
        <v>8</v>
      </c>
      <c r="O81" s="7">
        <f>CO_ATT_INPUTS!O82</f>
        <v>88</v>
      </c>
      <c r="P81" s="1">
        <f>CO_ATT_INPUTS!P82</f>
        <v>100</v>
      </c>
      <c r="Q81" s="7" t="e">
        <f>#REF!</f>
        <v>#REF!</v>
      </c>
      <c r="R81" s="7" t="e">
        <f>#REF!</f>
        <v>#REF!</v>
      </c>
      <c r="S81" s="7" t="e">
        <f>#REF!</f>
        <v>#REF!</v>
      </c>
      <c r="T81" s="7" t="e">
        <f>#REF!</f>
        <v>#REF!</v>
      </c>
      <c r="U81" s="7" t="e">
        <f>#REF!</f>
        <v>#REF!</v>
      </c>
      <c r="V81" s="7" t="e">
        <f>#REF!</f>
        <v>#REF!</v>
      </c>
      <c r="W81" s="7" t="e">
        <f t="shared" si="0"/>
        <v>#REF!</v>
      </c>
      <c r="X81" s="7" t="e">
        <f t="shared" si="1"/>
        <v>#REF!</v>
      </c>
      <c r="Y81" s="7" t="e">
        <f t="shared" si="2"/>
        <v>#REF!</v>
      </c>
      <c r="Z81" s="7" t="e">
        <f t="shared" si="3"/>
        <v>#REF!</v>
      </c>
      <c r="AA81" s="7" t="e">
        <f t="shared" si="4"/>
        <v>#REF!</v>
      </c>
      <c r="AB81" s="7" t="e">
        <f t="shared" si="5"/>
        <v>#REF!</v>
      </c>
      <c r="AC81" s="7" t="e">
        <f t="shared" si="6"/>
        <v>#REF!</v>
      </c>
      <c r="AD81" s="7" t="e">
        <f t="shared" si="7"/>
        <v>#REF!</v>
      </c>
      <c r="AE81" s="7" t="e">
        <f t="shared" si="8"/>
        <v>#REF!</v>
      </c>
      <c r="AF81" s="7" t="e">
        <f t="shared" si="9"/>
        <v>#REF!</v>
      </c>
      <c r="AG81" s="8" t="e">
        <f t="shared" si="10"/>
        <v>#REF!</v>
      </c>
      <c r="AH81" t="str">
        <f t="shared" si="11"/>
        <v>22CC301</v>
      </c>
    </row>
    <row r="82" spans="1:34" x14ac:dyDescent="0.25">
      <c r="A82" s="1">
        <f>CO_ATT_INPUTS!A83</f>
        <v>65</v>
      </c>
      <c r="B82" s="10" t="str">
        <f>CO_ATT_INPUTS!B83</f>
        <v>22CC302</v>
      </c>
      <c r="C82" s="10" t="str">
        <f>CO_ATT_INPUTS!C83</f>
        <v>722822115302</v>
      </c>
      <c r="D82" s="10" t="str">
        <f>CO_ATT_INPUTS!D83</f>
        <v>RAKESH M</v>
      </c>
      <c r="E82" s="7">
        <f>CO_ATT_INPUTS!E83</f>
        <v>16</v>
      </c>
      <c r="F82" s="7">
        <f>CO_ATT_INPUTS!F83</f>
        <v>8</v>
      </c>
      <c r="G82" s="7">
        <f>CO_ATT_INPUTS!G83</f>
        <v>22</v>
      </c>
      <c r="H82" s="7">
        <f>CO_ATT_INPUTS!H83</f>
        <v>32</v>
      </c>
      <c r="I82" s="7">
        <f>CO_ATT_INPUTS!I83</f>
        <v>29</v>
      </c>
      <c r="J82" s="7">
        <f>CO_ATT_INPUTS!J83</f>
        <v>8</v>
      </c>
      <c r="K82" s="7">
        <f>CO_ATT_INPUTS!K83</f>
        <v>8</v>
      </c>
      <c r="L82" s="7">
        <f>CO_ATT_INPUTS!L83</f>
        <v>8</v>
      </c>
      <c r="M82" s="7">
        <f>CO_ATT_INPUTS!M83</f>
        <v>8</v>
      </c>
      <c r="N82" s="7">
        <f>CO_ATT_INPUTS!N83</f>
        <v>8</v>
      </c>
      <c r="O82" s="7">
        <f>CO_ATT_INPUTS!O83</f>
        <v>92</v>
      </c>
      <c r="P82" s="1">
        <f>CO_ATT_INPUTS!P83</f>
        <v>90</v>
      </c>
      <c r="Q82" s="7" t="e">
        <f>#REF!</f>
        <v>#REF!</v>
      </c>
      <c r="R82" s="7" t="e">
        <f>#REF!</f>
        <v>#REF!</v>
      </c>
      <c r="S82" s="7" t="e">
        <f>#REF!</f>
        <v>#REF!</v>
      </c>
      <c r="T82" s="7" t="e">
        <f>#REF!</f>
        <v>#REF!</v>
      </c>
      <c r="U82" s="7" t="e">
        <f>#REF!</f>
        <v>#REF!</v>
      </c>
      <c r="V82" s="7" t="e">
        <f>#REF!</f>
        <v>#REF!</v>
      </c>
      <c r="W82" s="7" t="e">
        <f t="shared" si="0"/>
        <v>#REF!</v>
      </c>
      <c r="X82" s="7" t="e">
        <f t="shared" si="1"/>
        <v>#REF!</v>
      </c>
      <c r="Y82" s="7" t="e">
        <f t="shared" si="2"/>
        <v>#REF!</v>
      </c>
      <c r="Z82" s="7" t="e">
        <f t="shared" si="3"/>
        <v>#REF!</v>
      </c>
      <c r="AA82" s="7" t="e">
        <f t="shared" si="4"/>
        <v>#REF!</v>
      </c>
      <c r="AB82" s="7" t="e">
        <f t="shared" si="5"/>
        <v>#REF!</v>
      </c>
      <c r="AC82" s="7" t="e">
        <f t="shared" si="6"/>
        <v>#REF!</v>
      </c>
      <c r="AD82" s="7" t="e">
        <f t="shared" si="7"/>
        <v>#REF!</v>
      </c>
      <c r="AE82" s="7" t="e">
        <f t="shared" si="8"/>
        <v>#REF!</v>
      </c>
      <c r="AF82" s="7" t="e">
        <f t="shared" si="9"/>
        <v>#REF!</v>
      </c>
      <c r="AG82" s="8" t="e">
        <f t="shared" si="10"/>
        <v>#REF!</v>
      </c>
      <c r="AH82" t="str">
        <f t="shared" si="11"/>
        <v>22CC302</v>
      </c>
    </row>
    <row r="83" spans="1:34" x14ac:dyDescent="0.25">
      <c r="A83" s="1">
        <f>CO_ATT_INPUTS!A84</f>
        <v>66</v>
      </c>
      <c r="B83" s="10">
        <f>CO_ATT_INPUTS!B84</f>
        <v>0</v>
      </c>
      <c r="C83" s="10">
        <f>CO_ATT_INPUTS!C84</f>
        <v>0</v>
      </c>
      <c r="D83" s="10">
        <f>CO_ATT_INPUTS!D84</f>
        <v>0</v>
      </c>
      <c r="E83" s="7">
        <f>CO_ATT_INPUTS!E84</f>
        <v>0</v>
      </c>
      <c r="F83" s="7">
        <f>CO_ATT_INPUTS!F84</f>
        <v>0</v>
      </c>
      <c r="G83" s="7">
        <f>CO_ATT_INPUTS!G84</f>
        <v>0</v>
      </c>
      <c r="H83" s="7">
        <f>CO_ATT_INPUTS!H84</f>
        <v>0</v>
      </c>
      <c r="I83" s="7">
        <f>CO_ATT_INPUTS!I84</f>
        <v>0</v>
      </c>
      <c r="J83" s="7">
        <f>CO_ATT_INPUTS!J84</f>
        <v>0</v>
      </c>
      <c r="K83" s="7">
        <f>CO_ATT_INPUTS!K84</f>
        <v>0</v>
      </c>
      <c r="L83" s="7">
        <f>CO_ATT_INPUTS!L84</f>
        <v>0</v>
      </c>
      <c r="M83" s="7">
        <f>CO_ATT_INPUTS!M84</f>
        <v>0</v>
      </c>
      <c r="N83" s="7">
        <f>CO_ATT_INPUTS!N84</f>
        <v>0</v>
      </c>
      <c r="O83" s="7">
        <f>CO_ATT_INPUTS!O84</f>
        <v>0</v>
      </c>
      <c r="P83" s="1">
        <f>CO_ATT_INPUTS!P84</f>
        <v>0</v>
      </c>
      <c r="Q83" s="7" t="e">
        <f>#REF!</f>
        <v>#REF!</v>
      </c>
      <c r="R83" s="7" t="e">
        <f>#REF!</f>
        <v>#REF!</v>
      </c>
      <c r="S83" s="7" t="e">
        <f>#REF!</f>
        <v>#REF!</v>
      </c>
      <c r="T83" s="7" t="e">
        <f>#REF!</f>
        <v>#REF!</v>
      </c>
      <c r="U83" s="7" t="e">
        <f>#REF!</f>
        <v>#REF!</v>
      </c>
      <c r="V83" s="7" t="e">
        <f>#REF!</f>
        <v>#REF!</v>
      </c>
      <c r="W83" s="7" t="e">
        <f t="shared" ref="W83:W84" si="12">Q83*0.4</f>
        <v>#REF!</v>
      </c>
      <c r="X83" s="7" t="e">
        <f t="shared" ref="X83:X84" si="13">V83*0.6</f>
        <v>#REF!</v>
      </c>
      <c r="Y83" s="7" t="e">
        <f t="shared" ref="Y83:Y84" si="14">W83+X83</f>
        <v>#REF!</v>
      </c>
      <c r="Z83" s="7" t="e">
        <f t="shared" ref="Z83:Z84" si="15">0.4*R83</f>
        <v>#REF!</v>
      </c>
      <c r="AA83" s="7" t="e">
        <f t="shared" ref="AA83:AA84" si="16">Z83+X83</f>
        <v>#REF!</v>
      </c>
      <c r="AB83" s="7" t="e">
        <f t="shared" ref="AB83:AB84" si="17">0.4*S83</f>
        <v>#REF!</v>
      </c>
      <c r="AC83" s="7" t="e">
        <f t="shared" ref="AC83:AC84" si="18">AB83+X83</f>
        <v>#REF!</v>
      </c>
      <c r="AD83" s="7" t="e">
        <f t="shared" ref="AD83:AD84" si="19">0.4*T83</f>
        <v>#REF!</v>
      </c>
      <c r="AE83" s="7" t="e">
        <f t="shared" ref="AE83:AE84" si="20">AD83+X83</f>
        <v>#REF!</v>
      </c>
      <c r="AF83" s="7" t="e">
        <f t="shared" ref="AF83:AF84" si="21">0.4*U83</f>
        <v>#REF!</v>
      </c>
      <c r="AG83" s="8" t="e">
        <f t="shared" ref="AG83:AG84" si="22">AF83+X83</f>
        <v>#REF!</v>
      </c>
      <c r="AH83">
        <f t="shared" ref="AH83:AH84" si="23">B83</f>
        <v>0</v>
      </c>
    </row>
    <row r="84" spans="1:34" x14ac:dyDescent="0.25">
      <c r="A84" s="1">
        <f>CO_ATT_INPUTS!A85</f>
        <v>67</v>
      </c>
      <c r="B84" s="10">
        <f>CO_ATT_INPUTS!B85</f>
        <v>0</v>
      </c>
      <c r="C84" s="10">
        <f>CO_ATT_INPUTS!C85</f>
        <v>0</v>
      </c>
      <c r="D84" s="10">
        <f>CO_ATT_INPUTS!D85</f>
        <v>0</v>
      </c>
      <c r="E84" s="7">
        <f>CO_ATT_INPUTS!E85</f>
        <v>0</v>
      </c>
      <c r="F84" s="7">
        <f>CO_ATT_INPUTS!F85</f>
        <v>0</v>
      </c>
      <c r="G84" s="7">
        <f>CO_ATT_INPUTS!G85</f>
        <v>0</v>
      </c>
      <c r="H84" s="7">
        <f>CO_ATT_INPUTS!H85</f>
        <v>0</v>
      </c>
      <c r="I84" s="7">
        <f>CO_ATT_INPUTS!I85</f>
        <v>0</v>
      </c>
      <c r="J84" s="7">
        <f>CO_ATT_INPUTS!J85</f>
        <v>0</v>
      </c>
      <c r="K84" s="7">
        <f>CO_ATT_INPUTS!K85</f>
        <v>0</v>
      </c>
      <c r="L84" s="7">
        <f>CO_ATT_INPUTS!L85</f>
        <v>0</v>
      </c>
      <c r="M84" s="7">
        <f>CO_ATT_INPUTS!M85</f>
        <v>0</v>
      </c>
      <c r="N84" s="7">
        <f>CO_ATT_INPUTS!N85</f>
        <v>0</v>
      </c>
      <c r="O84" s="7">
        <f>CO_ATT_INPUTS!O85</f>
        <v>0</v>
      </c>
      <c r="P84" s="1">
        <f>CO_ATT_INPUTS!P85</f>
        <v>0</v>
      </c>
      <c r="Q84" s="7" t="e">
        <f>#REF!</f>
        <v>#REF!</v>
      </c>
      <c r="R84" s="7" t="e">
        <f>#REF!</f>
        <v>#REF!</v>
      </c>
      <c r="S84" s="7" t="e">
        <f>#REF!</f>
        <v>#REF!</v>
      </c>
      <c r="T84" s="7" t="e">
        <f>#REF!</f>
        <v>#REF!</v>
      </c>
      <c r="U84" s="7" t="e">
        <f>#REF!</f>
        <v>#REF!</v>
      </c>
      <c r="V84" s="7" t="e">
        <f>#REF!</f>
        <v>#REF!</v>
      </c>
      <c r="W84" s="7" t="e">
        <f t="shared" si="12"/>
        <v>#REF!</v>
      </c>
      <c r="X84" s="7" t="e">
        <f t="shared" si="13"/>
        <v>#REF!</v>
      </c>
      <c r="Y84" s="7" t="e">
        <f t="shared" si="14"/>
        <v>#REF!</v>
      </c>
      <c r="Z84" s="7" t="e">
        <f t="shared" si="15"/>
        <v>#REF!</v>
      </c>
      <c r="AA84" s="7" t="e">
        <f t="shared" si="16"/>
        <v>#REF!</v>
      </c>
      <c r="AB84" s="7" t="e">
        <f t="shared" si="17"/>
        <v>#REF!</v>
      </c>
      <c r="AC84" s="7" t="e">
        <f t="shared" si="18"/>
        <v>#REF!</v>
      </c>
      <c r="AD84" s="7" t="e">
        <f t="shared" si="19"/>
        <v>#REF!</v>
      </c>
      <c r="AE84" s="7" t="e">
        <f t="shared" si="20"/>
        <v>#REF!</v>
      </c>
      <c r="AF84" s="7" t="e">
        <f t="shared" si="21"/>
        <v>#REF!</v>
      </c>
      <c r="AG84" s="8" t="e">
        <f t="shared" si="22"/>
        <v>#REF!</v>
      </c>
      <c r="AH84">
        <f t="shared" si="23"/>
        <v>0</v>
      </c>
    </row>
  </sheetData>
  <mergeCells count="45">
    <mergeCell ref="N15:N17"/>
    <mergeCell ref="O15:O17"/>
    <mergeCell ref="P15:P17"/>
    <mergeCell ref="H15:H17"/>
    <mergeCell ref="I15:I17"/>
    <mergeCell ref="J15:J17"/>
    <mergeCell ref="L15:L17"/>
    <mergeCell ref="M15:M17"/>
    <mergeCell ref="AF16:AG16"/>
    <mergeCell ref="A15:A17"/>
    <mergeCell ref="B15:B17"/>
    <mergeCell ref="C15:C17"/>
    <mergeCell ref="D15:D17"/>
    <mergeCell ref="E15:E17"/>
    <mergeCell ref="V15:V16"/>
    <mergeCell ref="Q15:U16"/>
    <mergeCell ref="W15:AG15"/>
    <mergeCell ref="K15:K17"/>
    <mergeCell ref="W16:Y16"/>
    <mergeCell ref="Z16:AA16"/>
    <mergeCell ref="AB16:AC16"/>
    <mergeCell ref="AD16:AE16"/>
    <mergeCell ref="F15:F17"/>
    <mergeCell ref="G15:G17"/>
    <mergeCell ref="E14:I14"/>
    <mergeCell ref="J14:N14"/>
    <mergeCell ref="A9:D9"/>
    <mergeCell ref="F9:W9"/>
    <mergeCell ref="A10:D10"/>
    <mergeCell ref="F10:W10"/>
    <mergeCell ref="E13:O13"/>
    <mergeCell ref="P13:AA13"/>
    <mergeCell ref="A6:D6"/>
    <mergeCell ref="F6:W6"/>
    <mergeCell ref="A7:D7"/>
    <mergeCell ref="F7:W7"/>
    <mergeCell ref="A8:D8"/>
    <mergeCell ref="F8:W8"/>
    <mergeCell ref="A5:D5"/>
    <mergeCell ref="F5:W5"/>
    <mergeCell ref="A1:W1"/>
    <mergeCell ref="A2:W2"/>
    <mergeCell ref="A3:W3"/>
    <mergeCell ref="A4:D4"/>
    <mergeCell ref="F4:W4"/>
  </mergeCells>
  <pageMargins left="0.7" right="0.7" top="0.75" bottom="0.75" header="0.3" footer="0.3"/>
  <pageSetup scale="5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PO_AND_PSO</vt:lpstr>
      <vt:lpstr>CO_PO MAPPING_PRINT</vt:lpstr>
      <vt:lpstr>CO_ATT_INPUTS</vt:lpstr>
      <vt:lpstr>CO DIRECT ATT</vt:lpstr>
      <vt:lpstr>CO INDIRECT ATT</vt:lpstr>
      <vt:lpstr>CO ATT</vt:lpstr>
      <vt:lpstr>FOR SESSION PURPOSE</vt:lpstr>
      <vt:lpstr>'CO ATT'!Print_Area</vt:lpstr>
      <vt:lpstr>'CO DIRECT ATT'!Print_Area</vt:lpstr>
      <vt:lpstr>'CO INDIRECT ATT'!Print_Area</vt:lpstr>
      <vt:lpstr>CO_ATT_INPUTS!Print_Area</vt:lpstr>
      <vt:lpstr>'CO DIRECT ATT'!Print_Titles</vt:lpstr>
      <vt:lpstr>'CO INDIRECT ATT'!Print_Titles</vt:lpstr>
      <vt:lpstr>CO_ATT_INPUTS!Print_Titles</vt:lpstr>
      <vt:lpstr>'CO_PO MAPPING_PRINT'!Print_Titles</vt:lpstr>
      <vt:lpstr>PO_AND_PSO!Print_Titles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2026-08-08T10:36:04Z</dcterms:modified>
</cp:coreProperties>
</file>